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R\Downloads\"/>
    </mc:Choice>
  </mc:AlternateContent>
  <xr:revisionPtr revIDLastSave="0" documentId="8_{DE2BB64F-3084-46A4-BE89-2E6119374E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52" r:id="rId5"/>
    <pivotCache cacheId="59" r:id="rId6"/>
    <pivotCache cacheId="65" r:id="rId7"/>
  </pivotCaches>
</workbook>
</file>

<file path=xl/sharedStrings.xml><?xml version="1.0" encoding="utf-8"?>
<sst xmlns="http://schemas.openxmlformats.org/spreadsheetml/2006/main" count="556" uniqueCount="128">
  <si>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</si>
  <si>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</si>
  <si>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</si>
  <si>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</si>
  <si>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</si>
  <si>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</si>
  <si>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</si>
  <si>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</si>
  <si>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</si>
  <si>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</si>
  <si>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</si>
  <si>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</si>
  <si>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</si>
  <si>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</si>
  <si>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</si>
  <si>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</si>
  <si>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5594.1</t>
  </si>
  <si>
    <t>Kaituna</t>
  </si>
  <si>
    <t>Trout Pool</t>
  </si>
  <si>
    <t>22/04/2025</t>
  </si>
  <si>
    <t>20A</t>
  </si>
  <si>
    <t>160</t>
  </si>
  <si>
    <t>Aphanocapsa holsatica</t>
  </si>
  <si>
    <t>5594.2</t>
  </si>
  <si>
    <t>Dolichospermum planctonicum </t>
  </si>
  <si>
    <t>5594.3</t>
  </si>
  <si>
    <t>Microcystis aeruginosa</t>
  </si>
  <si>
    <t xml:space="preserve">Microcystis spp.
</t>
  </si>
  <si>
    <t>5594.4</t>
  </si>
  <si>
    <t>Aphanocapsa delicatissima</t>
  </si>
  <si>
    <t>5587.1</t>
  </si>
  <si>
    <t>Rotoehu</t>
  </si>
  <si>
    <t>Kennedy Bay</t>
  </si>
  <si>
    <t>5587.2</t>
  </si>
  <si>
    <t>5587.3</t>
  </si>
  <si>
    <t>Microcystis wesenbergii</t>
  </si>
  <si>
    <t>5587.4</t>
  </si>
  <si>
    <t>Pseudanabaena mucicola (rod)</t>
  </si>
  <si>
    <t>5588.1</t>
  </si>
  <si>
    <t>Otautu</t>
  </si>
  <si>
    <t>5588.2</t>
  </si>
  <si>
    <t>5582.1</t>
  </si>
  <si>
    <t>Rotoiti</t>
  </si>
  <si>
    <t>Hinehopu</t>
  </si>
  <si>
    <t>5582.2</t>
  </si>
  <si>
    <t>5582.3</t>
  </si>
  <si>
    <t>5586.1</t>
  </si>
  <si>
    <t>Okawa Bay</t>
  </si>
  <si>
    <t>5586.2</t>
  </si>
  <si>
    <t>5586.3</t>
  </si>
  <si>
    <t>Dolichospermum lemmermannii</t>
  </si>
  <si>
    <t>5586.4</t>
  </si>
  <si>
    <t>Coelosphaerium kuetzingianum</t>
  </si>
  <si>
    <t>5593.1</t>
  </si>
  <si>
    <t>Okere Arm</t>
  </si>
  <si>
    <t>5593.2</t>
  </si>
  <si>
    <t>5592.1</t>
  </si>
  <si>
    <t>Otaramarae</t>
  </si>
  <si>
    <t>5592.2</t>
  </si>
  <si>
    <t>5592.3</t>
  </si>
  <si>
    <t>5585.1</t>
  </si>
  <si>
    <t>Te Weta</t>
  </si>
  <si>
    <t>Whole Plate</t>
  </si>
  <si>
    <t>5585.2</t>
  </si>
  <si>
    <t>5585.3</t>
  </si>
  <si>
    <t>Phormidium sp</t>
  </si>
  <si>
    <t>5585.4</t>
  </si>
  <si>
    <t>Dolichospermum sp</t>
  </si>
  <si>
    <t>5585.5</t>
  </si>
  <si>
    <t>Microcystis sp. (large)</t>
  </si>
  <si>
    <t>5585.6</t>
  </si>
  <si>
    <t>5585.7</t>
  </si>
  <si>
    <t>5585.8</t>
  </si>
  <si>
    <t>Pseudanabaena galeata (cylinder)</t>
  </si>
  <si>
    <t>5585.9</t>
  </si>
  <si>
    <t>5585.10</t>
  </si>
  <si>
    <t>5585.11</t>
  </si>
  <si>
    <t>5585.12</t>
  </si>
  <si>
    <t>Geitlerinema sp</t>
  </si>
  <si>
    <t>5585.13</t>
  </si>
  <si>
    <t>Dolichospermum circinale</t>
  </si>
  <si>
    <t>5590.1</t>
  </si>
  <si>
    <t>Rotorua</t>
  </si>
  <si>
    <t>Hamurana</t>
  </si>
  <si>
    <t>5590.2</t>
  </si>
  <si>
    <t>Pseudanabaena limnetica (cylinder)</t>
  </si>
  <si>
    <t>5590.3</t>
  </si>
  <si>
    <t>5583.1</t>
  </si>
  <si>
    <t>Holdens Bay</t>
  </si>
  <si>
    <t>5583.2</t>
  </si>
  <si>
    <t>5583.3</t>
  </si>
  <si>
    <t>5591.1</t>
  </si>
  <si>
    <t>Ngongotaha</t>
  </si>
  <si>
    <t>No Cyanobacteria</t>
  </si>
  <si>
    <t>5589.1</t>
  </si>
  <si>
    <t>Ohau Channel</t>
  </si>
  <si>
    <t>5589.2</t>
  </si>
  <si>
    <t>5589.3</t>
  </si>
  <si>
    <t>5584.1</t>
  </si>
  <si>
    <t>Lake Okaro</t>
  </si>
  <si>
    <t>Boat ramp</t>
  </si>
  <si>
    <t>5584.2</t>
  </si>
  <si>
    <t>Woronichinia naegeliana</t>
  </si>
  <si>
    <t>5584.3</t>
  </si>
  <si>
    <t>5584.4</t>
  </si>
  <si>
    <t>5584.5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</si>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</sst>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4" borderId="0" xfId="0" applyNumberFormat="1" applyFont="1" applyFill="1" applyAlignment="1" applyProtection="1"/>
    <xf numFmtId="0" fontId="1" fillId="5" borderId="0" xfId="0" applyNumberFormat="1" applyFont="1" applyFill="1" applyAlignment="1" applyProtection="1"/>
    <xf numFmtId="0" fontId="0" fillId="0" borderId="0" xfId="0" pivotButton="1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71.46607303241" refreshedVersion="8" recordCount="50" xr:uid="{00000000-000A-0000-FFFF-FFFF02000000}">
  <cacheSource type="worksheet">
    <worksheetSource ref="A1:P51" sheet="Lakes Data"/>
  </cacheSource>
  <cacheFields count="16">
    <cacheField name="SampleId" numFmtId="0">
      <sharedItems/>
    </cacheField>
    <cacheField name="Location" numFmtId="0">
      <sharedItems count="5">
        <s v="Kaituna"/>
        <s v="Rotoehu"/>
        <s v="Rotoiti"/>
        <s v="Rotorua"/>
        <s v="Lake Okaro"/>
      </sharedItems>
    </cacheField>
    <cacheField name="Site" numFmtId="0">
      <sharedItems count="13">
        <s v="Trout Pool"/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1">
        <s v="22/04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 containsBlank="1"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0" maxValue="122"/>
    </cacheField>
    <cacheField name="NumberOfColonies" numFmtId="0">
      <sharedItems containsString="0" containsBlank="1" containsNumber="1" containsInteger="1" minValue="17" maxValue="359"/>
    </cacheField>
    <cacheField name="CellsPerMl" numFmtId="0">
      <sharedItems containsSemiMixedTypes="0" containsString="0" containsNumber="1" minValue="0" maxValue="13251.257083333299"/>
    </cacheField>
    <cacheField name="TotalBioVolume" numFmtId="0">
      <sharedItems containsSemiMixedTypes="0" containsString="0" containsNumber="1" minValue="0" maxValue="0.95300854391666301"/>
    </cacheField>
    <cacheField name="PotentiallyToxicCellMl" numFmtId="0">
      <sharedItems containsSemiMixedTypes="0" containsString="0" containsNumber="1" minValue="0" maxValue="10954.1211944444"/>
    </cacheField>
    <cacheField name="PotentiallyToxicBioVolume" numFmtId="0">
      <sharedItems containsSemiMixedTypes="0" containsString="0" containsNumber="1" minValue="0" maxValue="0.95300854391666301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71.466073148149" refreshedVersion="8" recordCount="9" xr:uid="{00000000-000A-0000-FFFF-FFFF01000000}">
  <cacheSource type="worksheet">
    <worksheetSource ref="A1:P10" sheet="Toxin Data"/>
  </cacheSource>
  <cacheFields count="16">
    <cacheField name="SampleId" numFmtId="0">
      <sharedItems/>
    </cacheField>
    <cacheField name="Location" numFmtId="0">
      <sharedItems count="4">
        <s v="Kaituna"/>
        <s v="Rotoehu"/>
        <s v="Rotoiti"/>
        <s v="Rotorua"/>
      </sharedItems>
    </cacheField>
    <cacheField name="Site" numFmtId="0">
      <sharedItems count="6">
        <s v="Trout Pool"/>
        <s v="Kennedy Bay"/>
        <s v="Otautu"/>
        <s v="Hinehopu"/>
        <s v="Te Weta"/>
        <s v="Ohau Channel"/>
      </sharedItems>
    </cacheField>
    <cacheField name="SampleDate" numFmtId="0">
      <sharedItems count="1">
        <s v="22/04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7" maxValue="122"/>
    </cacheField>
    <cacheField name="NumberOfColonies" numFmtId="0">
      <sharedItems containsString="0" containsBlank="1" containsNumber="1" containsInteger="1" minValue="17" maxValue="359"/>
    </cacheField>
    <cacheField name="CellsPerMl" numFmtId="0">
      <sharedItems containsSemiMixedTypes="0" containsString="0" containsNumber="1" minValue="16.100000000000001" maxValue="10954.1211944444"/>
    </cacheField>
    <cacheField name="TotalBioVolume" numFmtId="0">
      <sharedItems containsSemiMixedTypes="0" containsString="0" containsNumber="1" minValue="1.4006999999999999E-3" maxValue="0.95300854391666301"/>
    </cacheField>
    <cacheField name="PotentiallyToxicCellMl" numFmtId="0">
      <sharedItems containsSemiMixedTypes="0" containsString="0" containsNumber="1" minValue="16.100000000000001" maxValue="10954.1211944444"/>
    </cacheField>
    <cacheField name="PotentiallyToxicBioVolume" numFmtId="0">
      <sharedItems containsSemiMixedTypes="0" containsString="0" containsNumber="1" minValue="1.4006999999999999E-3" maxValue="0.95300854391666301"/>
    </cacheField>
    <cacheField name="ToxinCluster" numFmtId="0">
      <sharedItems count="2">
        <s v="Microcystis spp._x000a_"/>
        <s v="Microcystis spp.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na Raeburn" refreshedDate="45771.466073263888" refreshedVersion="8" recordCount="50" xr:uid="{00000000-000A-0000-FFFF-FFFF00000000}">
  <cacheSource type="worksheet">
    <worksheetSource ref="A1:P51" sheet="Lakes Data"/>
  </cacheSource>
  <cacheFields count="16">
    <cacheField name="SampleId" numFmtId="0">
      <sharedItems/>
    </cacheField>
    <cacheField name="Location" numFmtId="0">
      <sharedItems count="5">
        <s v="Kaituna"/>
        <s v="Rotoehu"/>
        <s v="Rotoiti"/>
        <s v="Rotorua"/>
        <s v="Lake Okaro"/>
      </sharedItems>
    </cacheField>
    <cacheField name="Site" numFmtId="0">
      <sharedItems count="13">
        <s v="Trout Pool"/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1">
        <s v="22/04/2025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 containsBlank="1"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0" maxValue="122"/>
    </cacheField>
    <cacheField name="NumberOfColonies" numFmtId="0">
      <sharedItems containsString="0" containsBlank="1" containsNumber="1" containsInteger="1" minValue="17" maxValue="359"/>
    </cacheField>
    <cacheField name="CellsPerMl" numFmtId="0">
      <sharedItems containsSemiMixedTypes="0" containsString="0" containsNumber="1" minValue="0" maxValue="13251.257083333299"/>
    </cacheField>
    <cacheField name="TotalBioVolume" numFmtId="0">
      <sharedItems containsSemiMixedTypes="0" containsString="0" containsNumber="1" minValue="0" maxValue="0.95300854391666301"/>
    </cacheField>
    <cacheField name="PotentiallyToxicCellMl" numFmtId="0">
      <sharedItems containsSemiMixedTypes="0" containsString="0" containsNumber="1" minValue="0" maxValue="10954.1211944444"/>
    </cacheField>
    <cacheField name="PotentiallyToxicBioVolume" numFmtId="0">
      <sharedItems containsSemiMixedTypes="0" containsString="0" containsNumber="1" minValue="0" maxValue="0.95300854391666301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5594.1"/>
    <x v="0"/>
    <x v="0"/>
    <x v="0"/>
    <s v="20A"/>
    <s v="160"/>
    <s v="Aphanocapsa holsatica"/>
    <b v="0"/>
    <n v="10"/>
    <n v="13.8"/>
    <n v="83"/>
    <n v="4465.4662916666703"/>
    <n v="2.23273314583334E-3"/>
    <n v="0"/>
    <n v="0"/>
    <m/>
  </r>
  <r>
    <s v="5594.2"/>
    <x v="0"/>
    <x v="0"/>
    <x v="0"/>
    <s v="20A"/>
    <s v="160"/>
    <s v="Dolichospermum planctonicum "/>
    <b v="1"/>
    <n v="10"/>
    <n v="29"/>
    <m/>
    <n v="91.106319444444395"/>
    <n v="3.3709338194444403E-2"/>
    <n v="91.106319444444395"/>
    <n v="3.3709338194444403E-2"/>
    <m/>
  </r>
  <r>
    <s v="5594.3"/>
    <x v="0"/>
    <x v="0"/>
    <x v="0"/>
    <s v="20A"/>
    <s v="160"/>
    <s v="Microcystis aeruginosa"/>
    <b v="1"/>
    <n v="10"/>
    <n v="7"/>
    <m/>
    <n v="43.982361111111103"/>
    <n v="3.8264654166666702E-3"/>
    <n v="43.982361111111103"/>
    <n v="3.8264654166666702E-3"/>
    <s v="Microcystis spp._x000a_"/>
  </r>
  <r>
    <s v="5594.4"/>
    <x v="0"/>
    <x v="0"/>
    <x v="0"/>
    <s v="20A"/>
    <s v="160"/>
    <s v="Aphanocapsa delicatissima"/>
    <b v="0"/>
    <n v="10"/>
    <n v="42.5"/>
    <m/>
    <n v="534.07152777777799"/>
    <n v="5.34071527777778E-5"/>
    <n v="0"/>
    <n v="0"/>
    <m/>
  </r>
  <r>
    <s v="5587.1"/>
    <x v="1"/>
    <x v="1"/>
    <x v="0"/>
    <s v="20A"/>
    <s v="160"/>
    <s v="Dolichospermum planctonicum "/>
    <b v="1"/>
    <n v="10"/>
    <n v="16"/>
    <m/>
    <n v="100.531111111111"/>
    <n v="3.7196511111111101E-2"/>
    <n v="100.531111111111"/>
    <n v="3.7196511111111101E-2"/>
    <m/>
  </r>
  <r>
    <s v="5587.2"/>
    <x v="1"/>
    <x v="1"/>
    <x v="0"/>
    <s v="20A"/>
    <s v="160"/>
    <s v="Microcystis aeruginosa"/>
    <b v="1"/>
    <n v="10"/>
    <n v="56.75"/>
    <n v="17"/>
    <n v="6596.5687673611101"/>
    <n v="0.57390148276041697"/>
    <n v="6596.5687673611101"/>
    <n v="0.57390148276041697"/>
    <s v="Microcystis spp._x000a_"/>
  </r>
  <r>
    <s v="5587.3"/>
    <x v="1"/>
    <x v="1"/>
    <x v="0"/>
    <s v="20A"/>
    <s v="160"/>
    <s v="Microcystis wesenbergii"/>
    <b v="1"/>
    <n v="10"/>
    <n v="10"/>
    <m/>
    <n v="31.415972222222202"/>
    <n v="5.9794019930555498E-3"/>
    <n v="31.415972222222202"/>
    <n v="5.9794019930555498E-3"/>
    <s v="Microcystis spp._x000a_"/>
  </r>
  <r>
    <s v="5587.4"/>
    <x v="1"/>
    <x v="1"/>
    <x v="0"/>
    <s v="20A"/>
    <s v="160"/>
    <s v="Pseudanabaena mucicola (rod)"/>
    <b v="0"/>
    <n v="10"/>
    <n v="7"/>
    <m/>
    <n v="21.991180555555601"/>
    <n v="1.01159430555556E-3"/>
    <n v="0"/>
    <n v="0"/>
    <m/>
  </r>
  <r>
    <s v="5588.1"/>
    <x v="1"/>
    <x v="2"/>
    <x v="0"/>
    <s v="20A"/>
    <s v="160"/>
    <s v="Microcystis aeruginosa"/>
    <b v="1"/>
    <n v="10"/>
    <n v="9.1999999999999993"/>
    <n v="359"/>
    <n v="10954.1211944444"/>
    <n v="0.95300854391666301"/>
    <n v="10954.1211944444"/>
    <n v="0.95300854391666301"/>
    <s v="Microcystis spp._x000a_"/>
  </r>
  <r>
    <s v="5588.2"/>
    <x v="1"/>
    <x v="2"/>
    <x v="0"/>
    <s v="20A"/>
    <s v="160"/>
    <s v="Dolichospermum planctonicum "/>
    <b v="1"/>
    <n v="10"/>
    <n v="22"/>
    <m/>
    <n v="69.115138888888893"/>
    <n v="2.5572601388888901E-2"/>
    <n v="69.115138888888893"/>
    <n v="2.5572601388888901E-2"/>
    <m/>
  </r>
  <r>
    <s v="5582.1"/>
    <x v="2"/>
    <x v="3"/>
    <x v="0"/>
    <s v="20A"/>
    <s v="160"/>
    <s v="Aphanocapsa holsatica"/>
    <b v="0"/>
    <n v="10"/>
    <n v="18.5"/>
    <n v="208"/>
    <n v="13251.257083333299"/>
    <n v="6.6256285416666496E-3"/>
    <n v="0"/>
    <n v="0"/>
    <m/>
  </r>
  <r>
    <s v="5582.2"/>
    <x v="2"/>
    <x v="3"/>
    <x v="0"/>
    <s v="20A"/>
    <s v="160"/>
    <s v="Dolichospermum planctonicum "/>
    <b v="1"/>
    <n v="10"/>
    <n v="19"/>
    <m/>
    <n v="119.380694444444"/>
    <n v="4.4170856944444302E-2"/>
    <n v="119.380694444444"/>
    <n v="4.4170856944444302E-2"/>
    <m/>
  </r>
  <r>
    <s v="5582.3"/>
    <x v="2"/>
    <x v="3"/>
    <x v="0"/>
    <s v="20A"/>
    <s v="160"/>
    <s v="Microcystis aeruginosa"/>
    <b v="1"/>
    <n v="10"/>
    <n v="37.3333333333333"/>
    <m/>
    <n v="351.858888888889"/>
    <n v="3.0611723333333299E-2"/>
    <n v="351.858888888889"/>
    <n v="3.0611723333333299E-2"/>
    <s v="Microcystis spp._x000a_"/>
  </r>
  <r>
    <s v="5586.1"/>
    <x v="2"/>
    <x v="4"/>
    <x v="0"/>
    <s v="20A"/>
    <s v="160"/>
    <s v="Pseudanabaena mucicola (rod)"/>
    <b v="0"/>
    <n v="10"/>
    <n v="5"/>
    <m/>
    <n v="15.707986111111101"/>
    <n v="7.2256736111111098E-4"/>
    <n v="0"/>
    <n v="0"/>
    <m/>
  </r>
  <r>
    <s v="5586.2"/>
    <x v="2"/>
    <x v="4"/>
    <x v="0"/>
    <s v="20A"/>
    <s v="160"/>
    <s v="Aphanocapsa delicatissima"/>
    <b v="0"/>
    <n v="10"/>
    <n v="92.5"/>
    <m/>
    <n v="2324.7819444444399"/>
    <n v="2.3247819444444399E-4"/>
    <n v="0"/>
    <n v="0"/>
    <m/>
  </r>
  <r>
    <s v="5586.3"/>
    <x v="2"/>
    <x v="4"/>
    <x v="0"/>
    <s v="20A"/>
    <s v="160"/>
    <s v="Dolichospermum lemmermannii"/>
    <b v="1"/>
    <n v="10"/>
    <n v="13.6"/>
    <m/>
    <n v="213.62861111111101"/>
    <n v="2.34991472222222E-2"/>
    <n v="213.62861111111101"/>
    <n v="2.34991472222222E-2"/>
    <m/>
  </r>
  <r>
    <s v="5586.4"/>
    <x v="2"/>
    <x v="4"/>
    <x v="0"/>
    <s v="20A"/>
    <s v="160"/>
    <s v="Coelosphaerium kuetzingianum"/>
    <b v="0"/>
    <n v="10"/>
    <n v="14"/>
    <m/>
    <n v="43.982361111111103"/>
    <n v="3.9100319027777797E-4"/>
    <n v="0"/>
    <n v="0"/>
    <m/>
  </r>
  <r>
    <s v="5593.1"/>
    <x v="2"/>
    <x v="5"/>
    <x v="0"/>
    <s v="20A"/>
    <s v="160"/>
    <s v="Aphanocapsa holsatica"/>
    <b v="0"/>
    <n v="10"/>
    <n v="17.600000000000001"/>
    <n v="43"/>
    <n v="3483.4029999999998"/>
    <n v="1.7417015E-3"/>
    <n v="0"/>
    <n v="0"/>
    <m/>
  </r>
  <r>
    <s v="5593.2"/>
    <x v="2"/>
    <x v="5"/>
    <x v="0"/>
    <s v="20A"/>
    <s v="160"/>
    <s v="Aphanocapsa delicatissima"/>
    <b v="0"/>
    <n v="10"/>
    <n v="77.3333333333333"/>
    <m/>
    <n v="1457.7011111111101"/>
    <n v="1.4577011111111099E-4"/>
    <n v="0"/>
    <n v="0"/>
    <m/>
  </r>
  <r>
    <s v="5592.1"/>
    <x v="2"/>
    <x v="6"/>
    <x v="0"/>
    <s v="20A"/>
    <s v="160"/>
    <s v="Aphanocapsa holsatica"/>
    <b v="0"/>
    <n v="10"/>
    <n v="16"/>
    <n v="20"/>
    <n v="2010.62222222222"/>
    <n v="1.0053111111111099E-3"/>
    <n v="0"/>
    <n v="0"/>
    <m/>
  </r>
  <r>
    <s v="5592.2"/>
    <x v="2"/>
    <x v="6"/>
    <x v="0"/>
    <s v="20A"/>
    <s v="160"/>
    <s v="Aphanocapsa delicatissima"/>
    <b v="0"/>
    <n v="10"/>
    <n v="53.6"/>
    <m/>
    <n v="841.94805555555502"/>
    <n v="8.4194805555555597E-5"/>
    <n v="0"/>
    <n v="0"/>
    <m/>
  </r>
  <r>
    <s v="5592.3"/>
    <x v="2"/>
    <x v="6"/>
    <x v="0"/>
    <s v="20A"/>
    <s v="160"/>
    <s v="Dolichospermum planctonicum "/>
    <b v="1"/>
    <n v="10"/>
    <n v="6"/>
    <m/>
    <n v="18.8495833333333"/>
    <n v="6.9743458333333197E-3"/>
    <n v="18.8495833333333"/>
    <n v="6.9743458333333197E-3"/>
    <m/>
  </r>
  <r>
    <s v="5585.1"/>
    <x v="2"/>
    <x v="7"/>
    <x v="0"/>
    <s v="20A"/>
    <s v="Whole Plate"/>
    <s v="Microcystis aeruginosa"/>
    <b v="1"/>
    <n v="10"/>
    <n v="40.25"/>
    <m/>
    <n v="16.100000000000001"/>
    <n v="1.4006999999999999E-3"/>
    <n v="16.100000000000001"/>
    <n v="1.4006999999999999E-3"/>
    <s v="Microcystis spp._x000a_"/>
  </r>
  <r>
    <s v="5585.2"/>
    <x v="2"/>
    <x v="7"/>
    <x v="0"/>
    <s v="20A"/>
    <s v="Whole Plate"/>
    <s v="Aphanocapsa holsatica"/>
    <b v="0"/>
    <n v="10"/>
    <n v="17.2"/>
    <n v="130"/>
    <n v="258"/>
    <n v="1.2899999999999999E-4"/>
    <n v="0"/>
    <n v="0"/>
    <m/>
  </r>
  <r>
    <s v="5585.3"/>
    <x v="2"/>
    <x v="7"/>
    <x v="0"/>
    <s v="20A"/>
    <s v="Whole Plate"/>
    <s v="Phormidium sp"/>
    <b v="1"/>
    <n v="10"/>
    <n v="50"/>
    <m/>
    <n v="25"/>
    <n v="2.3335000000000001E-3"/>
    <n v="25"/>
    <n v="2.3335000000000001E-3"/>
    <m/>
  </r>
  <r>
    <s v="5585.4"/>
    <x v="2"/>
    <x v="7"/>
    <x v="0"/>
    <s v="20A"/>
    <s v="Whole Plate"/>
    <s v="Dolichospermum sp"/>
    <b v="1"/>
    <n v="10"/>
    <n v="22.5"/>
    <m/>
    <n v="4.5"/>
    <n v="8.5499999999999997E-4"/>
    <n v="4.5"/>
    <n v="8.5499999999999997E-4"/>
    <m/>
  </r>
  <r>
    <s v="5585.5"/>
    <x v="2"/>
    <x v="7"/>
    <x v="0"/>
    <s v="20A"/>
    <s v="Whole Plate"/>
    <s v="Microcystis sp. (large)"/>
    <b v="1"/>
    <n v="10"/>
    <n v="62"/>
    <m/>
    <n v="24.8"/>
    <n v="2.3078880000000001E-3"/>
    <n v="24.8"/>
    <n v="2.3078880000000001E-3"/>
    <s v="Microcystis spp._x000a_"/>
  </r>
  <r>
    <s v="5585.6"/>
    <x v="2"/>
    <x v="7"/>
    <x v="0"/>
    <s v="20A"/>
    <s v="Whole Plate"/>
    <s v="Dolichospermum planctonicum "/>
    <b v="1"/>
    <n v="10"/>
    <n v="16.95"/>
    <n v="21"/>
    <n v="69.495000000000005"/>
    <n v="2.5713150000000001E-2"/>
    <n v="69.495000000000005"/>
    <n v="2.5713150000000001E-2"/>
    <m/>
  </r>
  <r>
    <s v="5585.7"/>
    <x v="2"/>
    <x v="7"/>
    <x v="0"/>
    <s v="20A"/>
    <s v="Whole Plate"/>
    <s v="Aphanocapsa delicatissima"/>
    <b v="0"/>
    <n v="10"/>
    <n v="108.933333333333"/>
    <m/>
    <n v="163.4"/>
    <n v="1.6339999999999999E-5"/>
    <n v="0"/>
    <n v="0"/>
    <m/>
  </r>
  <r>
    <s v="5585.8"/>
    <x v="2"/>
    <x v="7"/>
    <x v="0"/>
    <s v="20A"/>
    <s v="Whole Plate"/>
    <s v="Pseudanabaena galeata (cylinder)"/>
    <b v="1"/>
    <n v="10"/>
    <n v="19"/>
    <m/>
    <n v="3.8"/>
    <n v="2.2800000000000001E-4"/>
    <n v="3.8"/>
    <n v="2.2800000000000001E-4"/>
    <m/>
  </r>
  <r>
    <s v="5585.9"/>
    <x v="2"/>
    <x v="7"/>
    <x v="0"/>
    <s v="20A"/>
    <s v="Whole Plate"/>
    <s v="Microcystis wesenbergii"/>
    <b v="1"/>
    <n v="10"/>
    <n v="34.066666666666698"/>
    <m/>
    <n v="51.1"/>
    <n v="9.7258629999999995E-3"/>
    <n v="51.1"/>
    <n v="9.7258629999999995E-3"/>
    <s v="Microcystis spp._x000a_"/>
  </r>
  <r>
    <s v="5585.10"/>
    <x v="2"/>
    <x v="7"/>
    <x v="0"/>
    <s v="20A"/>
    <s v="Whole Plate"/>
    <s v="Dolichospermum lemmermannii"/>
    <b v="1"/>
    <n v="10"/>
    <n v="34.200000000000003"/>
    <m/>
    <n v="17.100000000000001"/>
    <n v="1.8810000000000001E-3"/>
    <n v="17.100000000000001"/>
    <n v="1.8810000000000001E-3"/>
    <m/>
  </r>
  <r>
    <s v="5585.11"/>
    <x v="2"/>
    <x v="7"/>
    <x v="0"/>
    <s v="20A"/>
    <s v="Whole Plate"/>
    <s v="Pseudanabaena mucicola (rod)"/>
    <b v="0"/>
    <n v="10"/>
    <n v="17.600000000000001"/>
    <m/>
    <n v="8.8000000000000007"/>
    <n v="4.0479999999999997E-4"/>
    <n v="0"/>
    <n v="0"/>
    <m/>
  </r>
  <r>
    <s v="5585.12"/>
    <x v="2"/>
    <x v="7"/>
    <x v="0"/>
    <s v="20A"/>
    <s v="Whole Plate"/>
    <s v="Geitlerinema sp"/>
    <b v="0"/>
    <n v="10"/>
    <n v="20"/>
    <m/>
    <n v="2"/>
    <n v="4.3999999999999999E-5"/>
    <n v="0"/>
    <n v="0"/>
    <m/>
  </r>
  <r>
    <s v="5585.13"/>
    <x v="2"/>
    <x v="7"/>
    <x v="0"/>
    <s v="20A"/>
    <s v="Whole Plate"/>
    <s v="Dolichospermum circinale"/>
    <b v="1"/>
    <n v="10"/>
    <n v="14"/>
    <m/>
    <n v="5.6"/>
    <n v="3.2235839999999998E-3"/>
    <n v="5.6"/>
    <n v="3.2235839999999998E-3"/>
    <m/>
  </r>
  <r>
    <s v="5590.1"/>
    <x v="3"/>
    <x v="8"/>
    <x v="0"/>
    <s v="20A"/>
    <s v="Whole Plate"/>
    <s v="Pseudanabaena galeata (cylinder)"/>
    <b v="1"/>
    <n v="10"/>
    <n v="11"/>
    <m/>
    <n v="1.1000000000000001"/>
    <n v="6.6000000000000005E-5"/>
    <n v="1.1000000000000001"/>
    <n v="6.6000000000000005E-5"/>
    <m/>
  </r>
  <r>
    <s v="5590.2"/>
    <x v="3"/>
    <x v="8"/>
    <x v="0"/>
    <s v="20A"/>
    <s v="Whole Plate"/>
    <s v="Pseudanabaena limnetica (cylinder)"/>
    <b v="1"/>
    <n v="10"/>
    <n v="30"/>
    <m/>
    <n v="3"/>
    <n v="2.3699999999999999E-4"/>
    <n v="3"/>
    <n v="2.3699999999999999E-4"/>
    <m/>
  </r>
  <r>
    <s v="5590.3"/>
    <x v="3"/>
    <x v="8"/>
    <x v="0"/>
    <s v="20A"/>
    <s v="Whole Plate"/>
    <s v="Phormidium sp"/>
    <b v="1"/>
    <n v="10"/>
    <n v="5"/>
    <m/>
    <n v="0.5"/>
    <n v="4.6669999999999999E-5"/>
    <n v="0.5"/>
    <n v="4.6669999999999999E-5"/>
    <m/>
  </r>
  <r>
    <s v="5583.1"/>
    <x v="3"/>
    <x v="9"/>
    <x v="0"/>
    <s v="20A"/>
    <s v="Whole Plate"/>
    <s v="Pseudanabaena limnetica (cylinder)"/>
    <b v="1"/>
    <n v="10"/>
    <n v="12"/>
    <m/>
    <n v="1.2"/>
    <n v="9.48E-5"/>
    <n v="1.2"/>
    <n v="9.48E-5"/>
    <m/>
  </r>
  <r>
    <s v="5583.2"/>
    <x v="3"/>
    <x v="9"/>
    <x v="0"/>
    <s v="20A"/>
    <s v="Whole Plate"/>
    <s v="Geitlerinema sp"/>
    <b v="0"/>
    <n v="10"/>
    <n v="54"/>
    <m/>
    <n v="5.4"/>
    <n v="1.188E-4"/>
    <n v="0"/>
    <n v="0"/>
    <m/>
  </r>
  <r>
    <s v="5583.3"/>
    <x v="3"/>
    <x v="9"/>
    <x v="0"/>
    <s v="20A"/>
    <s v="Whole Plate"/>
    <s v="Phormidium sp"/>
    <b v="1"/>
    <n v="10"/>
    <n v="40"/>
    <m/>
    <n v="4"/>
    <n v="3.7335999999999999E-4"/>
    <n v="4"/>
    <n v="3.7335999999999999E-4"/>
    <m/>
  </r>
  <r>
    <s v="5591.1"/>
    <x v="3"/>
    <x v="10"/>
    <x v="0"/>
    <s v="20A"/>
    <s v="Whole Plate"/>
    <s v="No Cyanobacteria"/>
    <m/>
    <n v="10"/>
    <n v="0"/>
    <m/>
    <n v="0"/>
    <n v="0"/>
    <n v="0"/>
    <n v="0"/>
    <m/>
  </r>
  <r>
    <s v="5589.1"/>
    <x v="3"/>
    <x v="11"/>
    <x v="0"/>
    <s v="20A"/>
    <s v="Whole Plate"/>
    <s v="Dolichospermum sp"/>
    <b v="1"/>
    <n v="10"/>
    <n v="42.6666666666667"/>
    <m/>
    <n v="12.8"/>
    <n v="2.4320000000000001E-3"/>
    <n v="12.8"/>
    <n v="2.4320000000000001E-3"/>
    <m/>
  </r>
  <r>
    <s v="5589.2"/>
    <x v="3"/>
    <x v="11"/>
    <x v="0"/>
    <s v="20A"/>
    <s v="Whole Plate"/>
    <s v="Microcystis wesenbergii"/>
    <b v="1"/>
    <n v="10"/>
    <n v="122"/>
    <m/>
    <n v="24.4"/>
    <n v="4.6440520000000001E-3"/>
    <n v="24.4"/>
    <n v="4.6440520000000001E-3"/>
    <s v="Microcystis spp._x000a_"/>
  </r>
  <r>
    <s v="5589.3"/>
    <x v="3"/>
    <x v="11"/>
    <x v="0"/>
    <s v="20A"/>
    <s v="Whole Plate"/>
    <s v="Dolichospermum planctonicum "/>
    <b v="1"/>
    <n v="10"/>
    <n v="11"/>
    <m/>
    <n v="1.1000000000000001"/>
    <n v="4.0700000000000003E-4"/>
    <n v="1.1000000000000001"/>
    <n v="4.0700000000000003E-4"/>
    <m/>
  </r>
  <r>
    <s v="5584.1"/>
    <x v="4"/>
    <x v="12"/>
    <x v="0"/>
    <s v="20A"/>
    <s v="160"/>
    <s v="Dolichospermum planctonicum "/>
    <b v="1"/>
    <n v="10"/>
    <n v="9.5"/>
    <m/>
    <n v="59.690347222222201"/>
    <n v="2.20854284722222E-2"/>
    <n v="59.690347222222201"/>
    <n v="2.20854284722222E-2"/>
    <m/>
  </r>
  <r>
    <s v="5584.2"/>
    <x v="4"/>
    <x v="12"/>
    <x v="0"/>
    <s v="20A"/>
    <s v="160"/>
    <s v="Woronichinia naegeliana"/>
    <b v="1"/>
    <n v="10"/>
    <n v="89"/>
    <m/>
    <n v="279.60215277777797"/>
    <n v="0"/>
    <n v="279.60215277777797"/>
    <n v="0"/>
    <m/>
  </r>
  <r>
    <s v="5584.3"/>
    <x v="4"/>
    <x v="12"/>
    <x v="0"/>
    <s v="20A"/>
    <s v="160"/>
    <s v="Dolichospermum circinale"/>
    <b v="1"/>
    <n v="10"/>
    <n v="10"/>
    <m/>
    <n v="157.079861111111"/>
    <n v="9.0421451249999896E-2"/>
    <n v="157.079861111111"/>
    <n v="9.0421451249999896E-2"/>
    <m/>
  </r>
  <r>
    <s v="5584.4"/>
    <x v="4"/>
    <x v="12"/>
    <x v="0"/>
    <s v="20A"/>
    <s v="160"/>
    <s v="Phormidium sp"/>
    <b v="1"/>
    <n v="10"/>
    <n v="39"/>
    <m/>
    <n v="122.522291666667"/>
    <n v="1.1436230704166699E-2"/>
    <n v="122.522291666667"/>
    <n v="1.1436230704166699E-2"/>
    <m/>
  </r>
  <r>
    <s v="5584.5"/>
    <x v="4"/>
    <x v="12"/>
    <x v="0"/>
    <s v="20A"/>
    <s v="160"/>
    <s v="Pseudanabaena limnetica (cylinder)"/>
    <b v="1"/>
    <n v="10"/>
    <n v="15.5"/>
    <m/>
    <n v="97.389513888888899"/>
    <n v="7.6937715972222199E-3"/>
    <n v="97.389513888888899"/>
    <n v="7.6937715972222199E-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5594.3"/>
    <x v="0"/>
    <x v="0"/>
    <x v="0"/>
    <s v="20A"/>
    <s v="160"/>
    <s v="Microcystis aeruginosa"/>
    <b v="1"/>
    <n v="10"/>
    <n v="7"/>
    <m/>
    <n v="43.982361111111103"/>
    <n v="3.8264654166666702E-3"/>
    <n v="43.982361111111103"/>
    <n v="3.8264654166666702E-3"/>
    <x v="0"/>
  </r>
  <r>
    <s v="5587.2"/>
    <x v="1"/>
    <x v="1"/>
    <x v="0"/>
    <s v="20A"/>
    <s v="160"/>
    <s v="Microcystis aeruginosa"/>
    <b v="1"/>
    <n v="10"/>
    <n v="56.75"/>
    <n v="17"/>
    <n v="6596.5687673611101"/>
    <n v="0.57390148276041697"/>
    <n v="6596.5687673611101"/>
    <n v="0.57390148276041697"/>
    <x v="0"/>
  </r>
  <r>
    <s v="5587.3"/>
    <x v="1"/>
    <x v="1"/>
    <x v="0"/>
    <s v="20A"/>
    <s v="160"/>
    <s v="Microcystis wesenbergii"/>
    <b v="1"/>
    <n v="10"/>
    <n v="10"/>
    <m/>
    <n v="31.415972222222202"/>
    <n v="5.9794019930555498E-3"/>
    <n v="31.415972222222202"/>
    <n v="5.9794019930555498E-3"/>
    <x v="0"/>
  </r>
  <r>
    <s v="5588.1"/>
    <x v="1"/>
    <x v="2"/>
    <x v="0"/>
    <s v="20A"/>
    <s v="160"/>
    <s v="Microcystis aeruginosa"/>
    <b v="1"/>
    <n v="10"/>
    <n v="9.1999999999999993"/>
    <n v="359"/>
    <n v="10954.1211944444"/>
    <n v="0.95300854391666301"/>
    <n v="10954.1211944444"/>
    <n v="0.95300854391666301"/>
    <x v="0"/>
  </r>
  <r>
    <s v="5582.3"/>
    <x v="2"/>
    <x v="3"/>
    <x v="0"/>
    <s v="20A"/>
    <s v="160"/>
    <s v="Microcystis aeruginosa"/>
    <b v="1"/>
    <n v="10"/>
    <n v="37.3333333333333"/>
    <m/>
    <n v="351.858888888889"/>
    <n v="3.0611723333333299E-2"/>
    <n v="351.858888888889"/>
    <n v="3.0611723333333299E-2"/>
    <x v="0"/>
  </r>
  <r>
    <s v="5585.1"/>
    <x v="2"/>
    <x v="4"/>
    <x v="0"/>
    <s v="20A"/>
    <s v="Whole Plate"/>
    <s v="Microcystis aeruginosa"/>
    <b v="1"/>
    <n v="10"/>
    <n v="40.25"/>
    <m/>
    <n v="16.100000000000001"/>
    <n v="1.4006999999999999E-3"/>
    <n v="16.100000000000001"/>
    <n v="1.4006999999999999E-3"/>
    <x v="0"/>
  </r>
  <r>
    <s v="5585.5"/>
    <x v="2"/>
    <x v="4"/>
    <x v="0"/>
    <s v="20A"/>
    <s v="Whole Plate"/>
    <s v="Microcystis sp. (large)"/>
    <b v="1"/>
    <n v="10"/>
    <n v="62"/>
    <m/>
    <n v="24.8"/>
    <n v="2.3078880000000001E-3"/>
    <n v="24.8"/>
    <n v="2.3078880000000001E-3"/>
    <x v="0"/>
  </r>
  <r>
    <s v="5585.9"/>
    <x v="2"/>
    <x v="4"/>
    <x v="0"/>
    <s v="20A"/>
    <s v="Whole Plate"/>
    <s v="Microcystis wesenbergii"/>
    <b v="1"/>
    <n v="10"/>
    <n v="34.066666666666698"/>
    <m/>
    <n v="51.1"/>
    <n v="9.7258629999999995E-3"/>
    <n v="51.1"/>
    <n v="9.7258629999999995E-3"/>
    <x v="0"/>
  </r>
  <r>
    <s v="5589.2"/>
    <x v="3"/>
    <x v="5"/>
    <x v="0"/>
    <s v="20A"/>
    <s v="Whole Plate"/>
    <s v="Microcystis wesenbergii"/>
    <b v="1"/>
    <n v="10"/>
    <n v="122"/>
    <m/>
    <n v="24.4"/>
    <n v="4.6440520000000001E-3"/>
    <n v="24.4"/>
    <n v="4.6440520000000001E-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5594.1"/>
    <x v="0"/>
    <x v="0"/>
    <x v="0"/>
    <s v="20A"/>
    <s v="160"/>
    <s v="Aphanocapsa holsatica"/>
    <b v="0"/>
    <n v="10"/>
    <n v="13.8"/>
    <n v="83"/>
    <n v="4465.4662916666703"/>
    <n v="2.23273314583334E-3"/>
    <n v="0"/>
    <n v="0"/>
    <m/>
  </r>
  <r>
    <s v="5594.2"/>
    <x v="0"/>
    <x v="0"/>
    <x v="0"/>
    <s v="20A"/>
    <s v="160"/>
    <s v="Dolichospermum planctonicum "/>
    <b v="1"/>
    <n v="10"/>
    <n v="29"/>
    <m/>
    <n v="91.106319444444395"/>
    <n v="3.3709338194444403E-2"/>
    <n v="91.106319444444395"/>
    <n v="3.3709338194444403E-2"/>
    <m/>
  </r>
  <r>
    <s v="5594.3"/>
    <x v="0"/>
    <x v="0"/>
    <x v="0"/>
    <s v="20A"/>
    <s v="160"/>
    <s v="Microcystis aeruginosa"/>
    <b v="1"/>
    <n v="10"/>
    <n v="7"/>
    <m/>
    <n v="43.982361111111103"/>
    <n v="3.8264654166666702E-3"/>
    <n v="43.982361111111103"/>
    <n v="3.8264654166666702E-3"/>
    <s v="Microcystis spp._x000a_"/>
  </r>
  <r>
    <s v="5594.4"/>
    <x v="0"/>
    <x v="0"/>
    <x v="0"/>
    <s v="20A"/>
    <s v="160"/>
    <s v="Aphanocapsa delicatissima"/>
    <b v="0"/>
    <n v="10"/>
    <n v="42.5"/>
    <m/>
    <n v="534.07152777777799"/>
    <n v="5.34071527777778E-5"/>
    <n v="0"/>
    <n v="0"/>
    <m/>
  </r>
  <r>
    <s v="5587.1"/>
    <x v="1"/>
    <x v="1"/>
    <x v="0"/>
    <s v="20A"/>
    <s v="160"/>
    <s v="Dolichospermum planctonicum "/>
    <b v="1"/>
    <n v="10"/>
    <n v="16"/>
    <m/>
    <n v="100.531111111111"/>
    <n v="3.7196511111111101E-2"/>
    <n v="100.531111111111"/>
    <n v="3.7196511111111101E-2"/>
    <m/>
  </r>
  <r>
    <s v="5587.2"/>
    <x v="1"/>
    <x v="1"/>
    <x v="0"/>
    <s v="20A"/>
    <s v="160"/>
    <s v="Microcystis aeruginosa"/>
    <b v="1"/>
    <n v="10"/>
    <n v="56.75"/>
    <n v="17"/>
    <n v="6596.5687673611101"/>
    <n v="0.57390148276041697"/>
    <n v="6596.5687673611101"/>
    <n v="0.57390148276041697"/>
    <s v="Microcystis spp._x000a_"/>
  </r>
  <r>
    <s v="5587.3"/>
    <x v="1"/>
    <x v="1"/>
    <x v="0"/>
    <s v="20A"/>
    <s v="160"/>
    <s v="Microcystis wesenbergii"/>
    <b v="1"/>
    <n v="10"/>
    <n v="10"/>
    <m/>
    <n v="31.415972222222202"/>
    <n v="5.9794019930555498E-3"/>
    <n v="31.415972222222202"/>
    <n v="5.9794019930555498E-3"/>
    <s v="Microcystis spp._x000a_"/>
  </r>
  <r>
    <s v="5587.4"/>
    <x v="1"/>
    <x v="1"/>
    <x v="0"/>
    <s v="20A"/>
    <s v="160"/>
    <s v="Pseudanabaena mucicola (rod)"/>
    <b v="0"/>
    <n v="10"/>
    <n v="7"/>
    <m/>
    <n v="21.991180555555601"/>
    <n v="1.01159430555556E-3"/>
    <n v="0"/>
    <n v="0"/>
    <m/>
  </r>
  <r>
    <s v="5588.1"/>
    <x v="1"/>
    <x v="2"/>
    <x v="0"/>
    <s v="20A"/>
    <s v="160"/>
    <s v="Microcystis aeruginosa"/>
    <b v="1"/>
    <n v="10"/>
    <n v="9.1999999999999993"/>
    <n v="359"/>
    <n v="10954.1211944444"/>
    <n v="0.95300854391666301"/>
    <n v="10954.1211944444"/>
    <n v="0.95300854391666301"/>
    <s v="Microcystis spp._x000a_"/>
  </r>
  <r>
    <s v="5588.2"/>
    <x v="1"/>
    <x v="2"/>
    <x v="0"/>
    <s v="20A"/>
    <s v="160"/>
    <s v="Dolichospermum planctonicum "/>
    <b v="1"/>
    <n v="10"/>
    <n v="22"/>
    <m/>
    <n v="69.115138888888893"/>
    <n v="2.5572601388888901E-2"/>
    <n v="69.115138888888893"/>
    <n v="2.5572601388888901E-2"/>
    <m/>
  </r>
  <r>
    <s v="5582.1"/>
    <x v="2"/>
    <x v="3"/>
    <x v="0"/>
    <s v="20A"/>
    <s v="160"/>
    <s v="Aphanocapsa holsatica"/>
    <b v="0"/>
    <n v="10"/>
    <n v="18.5"/>
    <n v="208"/>
    <n v="13251.257083333299"/>
    <n v="6.6256285416666496E-3"/>
    <n v="0"/>
    <n v="0"/>
    <m/>
  </r>
  <r>
    <s v="5582.2"/>
    <x v="2"/>
    <x v="3"/>
    <x v="0"/>
    <s v="20A"/>
    <s v="160"/>
    <s v="Dolichospermum planctonicum "/>
    <b v="1"/>
    <n v="10"/>
    <n v="19"/>
    <m/>
    <n v="119.380694444444"/>
    <n v="4.4170856944444302E-2"/>
    <n v="119.380694444444"/>
    <n v="4.4170856944444302E-2"/>
    <m/>
  </r>
  <r>
    <s v="5582.3"/>
    <x v="2"/>
    <x v="3"/>
    <x v="0"/>
    <s v="20A"/>
    <s v="160"/>
    <s v="Microcystis aeruginosa"/>
    <b v="1"/>
    <n v="10"/>
    <n v="37.3333333333333"/>
    <m/>
    <n v="351.858888888889"/>
    <n v="3.0611723333333299E-2"/>
    <n v="351.858888888889"/>
    <n v="3.0611723333333299E-2"/>
    <s v="Microcystis spp._x000a_"/>
  </r>
  <r>
    <s v="5586.1"/>
    <x v="2"/>
    <x v="4"/>
    <x v="0"/>
    <s v="20A"/>
    <s v="160"/>
    <s v="Pseudanabaena mucicola (rod)"/>
    <b v="0"/>
    <n v="10"/>
    <n v="5"/>
    <m/>
    <n v="15.707986111111101"/>
    <n v="7.2256736111111098E-4"/>
    <n v="0"/>
    <n v="0"/>
    <m/>
  </r>
  <r>
    <s v="5586.2"/>
    <x v="2"/>
    <x v="4"/>
    <x v="0"/>
    <s v="20A"/>
    <s v="160"/>
    <s v="Aphanocapsa delicatissima"/>
    <b v="0"/>
    <n v="10"/>
    <n v="92.5"/>
    <m/>
    <n v="2324.7819444444399"/>
    <n v="2.3247819444444399E-4"/>
    <n v="0"/>
    <n v="0"/>
    <m/>
  </r>
  <r>
    <s v="5586.3"/>
    <x v="2"/>
    <x v="4"/>
    <x v="0"/>
    <s v="20A"/>
    <s v="160"/>
    <s v="Dolichospermum lemmermannii"/>
    <b v="1"/>
    <n v="10"/>
    <n v="13.6"/>
    <m/>
    <n v="213.62861111111101"/>
    <n v="2.34991472222222E-2"/>
    <n v="213.62861111111101"/>
    <n v="2.34991472222222E-2"/>
    <m/>
  </r>
  <r>
    <s v="5586.4"/>
    <x v="2"/>
    <x v="4"/>
    <x v="0"/>
    <s v="20A"/>
    <s v="160"/>
    <s v="Coelosphaerium kuetzingianum"/>
    <b v="0"/>
    <n v="10"/>
    <n v="14"/>
    <m/>
    <n v="43.982361111111103"/>
    <n v="3.9100319027777797E-4"/>
    <n v="0"/>
    <n v="0"/>
    <m/>
  </r>
  <r>
    <s v="5593.1"/>
    <x v="2"/>
    <x v="5"/>
    <x v="0"/>
    <s v="20A"/>
    <s v="160"/>
    <s v="Aphanocapsa holsatica"/>
    <b v="0"/>
    <n v="10"/>
    <n v="17.600000000000001"/>
    <n v="43"/>
    <n v="3483.4029999999998"/>
    <n v="1.7417015E-3"/>
    <n v="0"/>
    <n v="0"/>
    <m/>
  </r>
  <r>
    <s v="5593.2"/>
    <x v="2"/>
    <x v="5"/>
    <x v="0"/>
    <s v="20A"/>
    <s v="160"/>
    <s v="Aphanocapsa delicatissima"/>
    <b v="0"/>
    <n v="10"/>
    <n v="77.3333333333333"/>
    <m/>
    <n v="1457.7011111111101"/>
    <n v="1.4577011111111099E-4"/>
    <n v="0"/>
    <n v="0"/>
    <m/>
  </r>
  <r>
    <s v="5592.1"/>
    <x v="2"/>
    <x v="6"/>
    <x v="0"/>
    <s v="20A"/>
    <s v="160"/>
    <s v="Aphanocapsa holsatica"/>
    <b v="0"/>
    <n v="10"/>
    <n v="16"/>
    <n v="20"/>
    <n v="2010.62222222222"/>
    <n v="1.0053111111111099E-3"/>
    <n v="0"/>
    <n v="0"/>
    <m/>
  </r>
  <r>
    <s v="5592.2"/>
    <x v="2"/>
    <x v="6"/>
    <x v="0"/>
    <s v="20A"/>
    <s v="160"/>
    <s v="Aphanocapsa delicatissima"/>
    <b v="0"/>
    <n v="10"/>
    <n v="53.6"/>
    <m/>
    <n v="841.94805555555502"/>
    <n v="8.4194805555555597E-5"/>
    <n v="0"/>
    <n v="0"/>
    <m/>
  </r>
  <r>
    <s v="5592.3"/>
    <x v="2"/>
    <x v="6"/>
    <x v="0"/>
    <s v="20A"/>
    <s v="160"/>
    <s v="Dolichospermum planctonicum "/>
    <b v="1"/>
    <n v="10"/>
    <n v="6"/>
    <m/>
    <n v="18.8495833333333"/>
    <n v="6.9743458333333197E-3"/>
    <n v="18.8495833333333"/>
    <n v="6.9743458333333197E-3"/>
    <m/>
  </r>
  <r>
    <s v="5585.1"/>
    <x v="2"/>
    <x v="7"/>
    <x v="0"/>
    <s v="20A"/>
    <s v="Whole Plate"/>
    <s v="Microcystis aeruginosa"/>
    <b v="1"/>
    <n v="10"/>
    <n v="40.25"/>
    <m/>
    <n v="16.100000000000001"/>
    <n v="1.4006999999999999E-3"/>
    <n v="16.100000000000001"/>
    <n v="1.4006999999999999E-3"/>
    <s v="Microcystis spp._x000a_"/>
  </r>
  <r>
    <s v="5585.2"/>
    <x v="2"/>
    <x v="7"/>
    <x v="0"/>
    <s v="20A"/>
    <s v="Whole Plate"/>
    <s v="Aphanocapsa holsatica"/>
    <b v="0"/>
    <n v="10"/>
    <n v="17.2"/>
    <n v="130"/>
    <n v="258"/>
    <n v="1.2899999999999999E-4"/>
    <n v="0"/>
    <n v="0"/>
    <m/>
  </r>
  <r>
    <s v="5585.3"/>
    <x v="2"/>
    <x v="7"/>
    <x v="0"/>
    <s v="20A"/>
    <s v="Whole Plate"/>
    <s v="Phormidium sp"/>
    <b v="1"/>
    <n v="10"/>
    <n v="50"/>
    <m/>
    <n v="25"/>
    <n v="2.3335000000000001E-3"/>
    <n v="25"/>
    <n v="2.3335000000000001E-3"/>
    <m/>
  </r>
  <r>
    <s v="5585.4"/>
    <x v="2"/>
    <x v="7"/>
    <x v="0"/>
    <s v="20A"/>
    <s v="Whole Plate"/>
    <s v="Dolichospermum sp"/>
    <b v="1"/>
    <n v="10"/>
    <n v="22.5"/>
    <m/>
    <n v="4.5"/>
    <n v="8.5499999999999997E-4"/>
    <n v="4.5"/>
    <n v="8.5499999999999997E-4"/>
    <m/>
  </r>
  <r>
    <s v="5585.5"/>
    <x v="2"/>
    <x v="7"/>
    <x v="0"/>
    <s v="20A"/>
    <s v="Whole Plate"/>
    <s v="Microcystis sp. (large)"/>
    <b v="1"/>
    <n v="10"/>
    <n v="62"/>
    <m/>
    <n v="24.8"/>
    <n v="2.3078880000000001E-3"/>
    <n v="24.8"/>
    <n v="2.3078880000000001E-3"/>
    <s v="Microcystis spp._x000a_"/>
  </r>
  <r>
    <s v="5585.6"/>
    <x v="2"/>
    <x v="7"/>
    <x v="0"/>
    <s v="20A"/>
    <s v="Whole Plate"/>
    <s v="Dolichospermum planctonicum "/>
    <b v="1"/>
    <n v="10"/>
    <n v="16.95"/>
    <n v="21"/>
    <n v="69.495000000000005"/>
    <n v="2.5713150000000001E-2"/>
    <n v="69.495000000000005"/>
    <n v="2.5713150000000001E-2"/>
    <m/>
  </r>
  <r>
    <s v="5585.7"/>
    <x v="2"/>
    <x v="7"/>
    <x v="0"/>
    <s v="20A"/>
    <s v="Whole Plate"/>
    <s v="Aphanocapsa delicatissima"/>
    <b v="0"/>
    <n v="10"/>
    <n v="108.933333333333"/>
    <m/>
    <n v="163.4"/>
    <n v="1.6339999999999999E-5"/>
    <n v="0"/>
    <n v="0"/>
    <m/>
  </r>
  <r>
    <s v="5585.8"/>
    <x v="2"/>
    <x v="7"/>
    <x v="0"/>
    <s v="20A"/>
    <s v="Whole Plate"/>
    <s v="Pseudanabaena galeata (cylinder)"/>
    <b v="1"/>
    <n v="10"/>
    <n v="19"/>
    <m/>
    <n v="3.8"/>
    <n v="2.2800000000000001E-4"/>
    <n v="3.8"/>
    <n v="2.2800000000000001E-4"/>
    <m/>
  </r>
  <r>
    <s v="5585.9"/>
    <x v="2"/>
    <x v="7"/>
    <x v="0"/>
    <s v="20A"/>
    <s v="Whole Plate"/>
    <s v="Microcystis wesenbergii"/>
    <b v="1"/>
    <n v="10"/>
    <n v="34.066666666666698"/>
    <m/>
    <n v="51.1"/>
    <n v="9.7258629999999995E-3"/>
    <n v="51.1"/>
    <n v="9.7258629999999995E-3"/>
    <s v="Microcystis spp._x000a_"/>
  </r>
  <r>
    <s v="5585.10"/>
    <x v="2"/>
    <x v="7"/>
    <x v="0"/>
    <s v="20A"/>
    <s v="Whole Plate"/>
    <s v="Dolichospermum lemmermannii"/>
    <b v="1"/>
    <n v="10"/>
    <n v="34.200000000000003"/>
    <m/>
    <n v="17.100000000000001"/>
    <n v="1.8810000000000001E-3"/>
    <n v="17.100000000000001"/>
    <n v="1.8810000000000001E-3"/>
    <m/>
  </r>
  <r>
    <s v="5585.11"/>
    <x v="2"/>
    <x v="7"/>
    <x v="0"/>
    <s v="20A"/>
    <s v="Whole Plate"/>
    <s v="Pseudanabaena mucicola (rod)"/>
    <b v="0"/>
    <n v="10"/>
    <n v="17.600000000000001"/>
    <m/>
    <n v="8.8000000000000007"/>
    <n v="4.0479999999999997E-4"/>
    <n v="0"/>
    <n v="0"/>
    <m/>
  </r>
  <r>
    <s v="5585.12"/>
    <x v="2"/>
    <x v="7"/>
    <x v="0"/>
    <s v="20A"/>
    <s v="Whole Plate"/>
    <s v="Geitlerinema sp"/>
    <b v="0"/>
    <n v="10"/>
    <n v="20"/>
    <m/>
    <n v="2"/>
    <n v="4.3999999999999999E-5"/>
    <n v="0"/>
    <n v="0"/>
    <m/>
  </r>
  <r>
    <s v="5585.13"/>
    <x v="2"/>
    <x v="7"/>
    <x v="0"/>
    <s v="20A"/>
    <s v="Whole Plate"/>
    <s v="Dolichospermum circinale"/>
    <b v="1"/>
    <n v="10"/>
    <n v="14"/>
    <m/>
    <n v="5.6"/>
    <n v="3.2235839999999998E-3"/>
    <n v="5.6"/>
    <n v="3.2235839999999998E-3"/>
    <m/>
  </r>
  <r>
    <s v="5590.1"/>
    <x v="3"/>
    <x v="8"/>
    <x v="0"/>
    <s v="20A"/>
    <s v="Whole Plate"/>
    <s v="Pseudanabaena galeata (cylinder)"/>
    <b v="1"/>
    <n v="10"/>
    <n v="11"/>
    <m/>
    <n v="1.1000000000000001"/>
    <n v="6.6000000000000005E-5"/>
    <n v="1.1000000000000001"/>
    <n v="6.6000000000000005E-5"/>
    <m/>
  </r>
  <r>
    <s v="5590.2"/>
    <x v="3"/>
    <x v="8"/>
    <x v="0"/>
    <s v="20A"/>
    <s v="Whole Plate"/>
    <s v="Pseudanabaena limnetica (cylinder)"/>
    <b v="1"/>
    <n v="10"/>
    <n v="30"/>
    <m/>
    <n v="3"/>
    <n v="2.3699999999999999E-4"/>
    <n v="3"/>
    <n v="2.3699999999999999E-4"/>
    <m/>
  </r>
  <r>
    <s v="5590.3"/>
    <x v="3"/>
    <x v="8"/>
    <x v="0"/>
    <s v="20A"/>
    <s v="Whole Plate"/>
    <s v="Phormidium sp"/>
    <b v="1"/>
    <n v="10"/>
    <n v="5"/>
    <m/>
    <n v="0.5"/>
    <n v="4.6669999999999999E-5"/>
    <n v="0.5"/>
    <n v="4.6669999999999999E-5"/>
    <m/>
  </r>
  <r>
    <s v="5583.1"/>
    <x v="3"/>
    <x v="9"/>
    <x v="0"/>
    <s v="20A"/>
    <s v="Whole Plate"/>
    <s v="Pseudanabaena limnetica (cylinder)"/>
    <b v="1"/>
    <n v="10"/>
    <n v="12"/>
    <m/>
    <n v="1.2"/>
    <n v="9.48E-5"/>
    <n v="1.2"/>
    <n v="9.48E-5"/>
    <m/>
  </r>
  <r>
    <s v="5583.2"/>
    <x v="3"/>
    <x v="9"/>
    <x v="0"/>
    <s v="20A"/>
    <s v="Whole Plate"/>
    <s v="Geitlerinema sp"/>
    <b v="0"/>
    <n v="10"/>
    <n v="54"/>
    <m/>
    <n v="5.4"/>
    <n v="1.188E-4"/>
    <n v="0"/>
    <n v="0"/>
    <m/>
  </r>
  <r>
    <s v="5583.3"/>
    <x v="3"/>
    <x v="9"/>
    <x v="0"/>
    <s v="20A"/>
    <s v="Whole Plate"/>
    <s v="Phormidium sp"/>
    <b v="1"/>
    <n v="10"/>
    <n v="40"/>
    <m/>
    <n v="4"/>
    <n v="3.7335999999999999E-4"/>
    <n v="4"/>
    <n v="3.7335999999999999E-4"/>
    <m/>
  </r>
  <r>
    <s v="5591.1"/>
    <x v="3"/>
    <x v="10"/>
    <x v="0"/>
    <s v="20A"/>
    <s v="Whole Plate"/>
    <s v="No Cyanobacteria"/>
    <m/>
    <n v="10"/>
    <n v="0"/>
    <m/>
    <n v="0"/>
    <n v="0"/>
    <n v="0"/>
    <n v="0"/>
    <m/>
  </r>
  <r>
    <s v="5589.1"/>
    <x v="3"/>
    <x v="11"/>
    <x v="0"/>
    <s v="20A"/>
    <s v="Whole Plate"/>
    <s v="Dolichospermum sp"/>
    <b v="1"/>
    <n v="10"/>
    <n v="42.6666666666667"/>
    <m/>
    <n v="12.8"/>
    <n v="2.4320000000000001E-3"/>
    <n v="12.8"/>
    <n v="2.4320000000000001E-3"/>
    <m/>
  </r>
  <r>
    <s v="5589.2"/>
    <x v="3"/>
    <x v="11"/>
    <x v="0"/>
    <s v="20A"/>
    <s v="Whole Plate"/>
    <s v="Microcystis wesenbergii"/>
    <b v="1"/>
    <n v="10"/>
    <n v="122"/>
    <m/>
    <n v="24.4"/>
    <n v="4.6440520000000001E-3"/>
    <n v="24.4"/>
    <n v="4.6440520000000001E-3"/>
    <s v="Microcystis spp._x000a_"/>
  </r>
  <r>
    <s v="5589.3"/>
    <x v="3"/>
    <x v="11"/>
    <x v="0"/>
    <s v="20A"/>
    <s v="Whole Plate"/>
    <s v="Dolichospermum planctonicum "/>
    <b v="1"/>
    <n v="10"/>
    <n v="11"/>
    <m/>
    <n v="1.1000000000000001"/>
    <n v="4.0700000000000003E-4"/>
    <n v="1.1000000000000001"/>
    <n v="4.0700000000000003E-4"/>
    <m/>
  </r>
  <r>
    <s v="5584.1"/>
    <x v="4"/>
    <x v="12"/>
    <x v="0"/>
    <s v="20A"/>
    <s v="160"/>
    <s v="Dolichospermum planctonicum "/>
    <b v="1"/>
    <n v="10"/>
    <n v="9.5"/>
    <m/>
    <n v="59.690347222222201"/>
    <n v="2.20854284722222E-2"/>
    <n v="59.690347222222201"/>
    <n v="2.20854284722222E-2"/>
    <m/>
  </r>
  <r>
    <s v="5584.2"/>
    <x v="4"/>
    <x v="12"/>
    <x v="0"/>
    <s v="20A"/>
    <s v="160"/>
    <s v="Woronichinia naegeliana"/>
    <b v="1"/>
    <n v="10"/>
    <n v="89"/>
    <m/>
    <n v="279.60215277777797"/>
    <n v="0"/>
    <n v="279.60215277777797"/>
    <n v="0"/>
    <m/>
  </r>
  <r>
    <s v="5584.3"/>
    <x v="4"/>
    <x v="12"/>
    <x v="0"/>
    <s v="20A"/>
    <s v="160"/>
    <s v="Dolichospermum circinale"/>
    <b v="1"/>
    <n v="10"/>
    <n v="10"/>
    <m/>
    <n v="157.079861111111"/>
    <n v="9.0421451249999896E-2"/>
    <n v="157.079861111111"/>
    <n v="9.0421451249999896E-2"/>
    <m/>
  </r>
  <r>
    <s v="5584.4"/>
    <x v="4"/>
    <x v="12"/>
    <x v="0"/>
    <s v="20A"/>
    <s v="160"/>
    <s v="Phormidium sp"/>
    <b v="1"/>
    <n v="10"/>
    <n v="39"/>
    <m/>
    <n v="122.522291666667"/>
    <n v="1.1436230704166699E-2"/>
    <n v="122.522291666667"/>
    <n v="1.1436230704166699E-2"/>
    <m/>
  </r>
  <r>
    <s v="5584.5"/>
    <x v="4"/>
    <x v="12"/>
    <x v="0"/>
    <s v="20A"/>
    <s v="160"/>
    <s v="Pseudanabaena limnetica (cylinder)"/>
    <b v="1"/>
    <n v="10"/>
    <n v="15.5"/>
    <m/>
    <n v="97.389513888888899"/>
    <n v="7.6937715972222199E-3"/>
    <n v="97.389513888888899"/>
    <n v="7.6937715972222199E-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AlertWarning" cacheId="65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23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 r="1">
      <x v="7"/>
    </i>
    <i>
      <x v="3"/>
      <x v="8"/>
    </i>
    <i r="1">
      <x v="9"/>
    </i>
    <i r="1">
      <x v="10"/>
    </i>
    <i r="1">
      <x v="11"/>
    </i>
    <i>
      <x v="4"/>
      <x v="12"/>
    </i>
  </rowItems>
  <colFields count="2">
    <field x="3"/>
    <field x="-2"/>
  </colFields>
  <colItems count="2">
    <i>
      <x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AlertWarning" cacheId="52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C51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5">
        <item x="0"/>
        <item x="1"/>
        <item x="2"/>
        <item x="3"/>
        <item x="4"/>
      </items>
    </pivotField>
    <pivotField name="Site"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3">
    <i>
      <x/>
      <x/>
    </i>
    <i>
      <x v="1"/>
      <x v="1"/>
    </i>
    <i r="1">
      <x v="2"/>
    </i>
    <i>
      <x v="2"/>
      <x v="3"/>
    </i>
    <i r="1">
      <x v="4"/>
    </i>
    <i r="1">
      <x v="5"/>
    </i>
    <i r="1">
      <x v="6"/>
    </i>
    <i r="1">
      <x v="7"/>
    </i>
    <i>
      <x v="3"/>
      <x v="8"/>
    </i>
    <i r="1">
      <x v="9"/>
    </i>
    <i r="1">
      <x v="10"/>
    </i>
    <i r="1">
      <x v="11"/>
    </i>
    <i>
      <x v="4"/>
      <x v="12"/>
    </i>
  </rowItems>
  <colFields count="1">
    <field x="3"/>
  </colFields>
  <colItems count="1">
    <i>
      <x/>
    </i>
  </colItems>
  <dataFields count="1">
    <dataField name="TotalBioVolume" fld="12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CellsPermL" cacheId="59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D16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4">
        <item x="0"/>
        <item x="1"/>
        <item x="2"/>
        <item x="3"/>
      </items>
    </pivotField>
    <pivotField name="Site" axis="axisRow" compact="0" outline="0" showAll="0" defaultSubtotal="0">
      <items count="6">
        <item x="0"/>
        <item x="1"/>
        <item x="2"/>
        <item x="3"/>
        <item x="4"/>
        <item x="5"/>
      </items>
    </pivotField>
    <pivotField name="Dates" axis="axisCol" compact="0" outline="0" showAll="0" defaultSubtotal="0">
      <items count="1">
        <item x="0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2">
        <item m="1" x="1"/>
        <item x="0"/>
      </items>
    </pivotField>
  </pivotFields>
  <rowFields count="2">
    <field x="1"/>
    <field x="2"/>
  </rowFields>
  <rowItems count="6">
    <i>
      <x/>
      <x/>
    </i>
    <i>
      <x v="1"/>
      <x v="1"/>
    </i>
    <i r="1">
      <x v="2"/>
    </i>
    <i>
      <x v="2"/>
      <x v="3"/>
    </i>
    <i r="1">
      <x v="4"/>
    </i>
    <i>
      <x v="3"/>
      <x v="5"/>
    </i>
  </rowItems>
  <colFields count="2">
    <field x="3"/>
    <field x="15"/>
  </colFields>
  <colItems count="1">
    <i>
      <x/>
      <x v="1"/>
    </i>
  </colItems>
  <dataFields count="1">
    <dataField name="CellsPerMl" fld="11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51" totalsRowShown="0">
  <autoFilter ref="A1:P51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10" totalsRowShown="0">
  <autoFilter ref="A1:P10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32.179687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2.5429687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0</v>
      </c>
      <c r="I2">
        <v>10</v>
      </c>
      <c r="J2">
        <v>13.8</v>
      </c>
      <c r="K2">
        <v>83</v>
      </c>
      <c r="L2">
        <v>4465.4662916666703</v>
      </c>
      <c r="M2">
        <v>2.23273314583334E-3</v>
      </c>
      <c r="N2">
        <v>0</v>
      </c>
      <c r="O2">
        <v>0</v>
      </c>
    </row>
    <row r="3" spans="1:16" x14ac:dyDescent="0.35">
      <c r="A3" t="s">
        <v>23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24</v>
      </c>
      <c r="H3" t="b">
        <v>1</v>
      </c>
      <c r="I3">
        <v>10</v>
      </c>
      <c r="J3">
        <v>29</v>
      </c>
      <c r="L3">
        <v>91.106319444444395</v>
      </c>
      <c r="M3">
        <v>3.3709338194444403E-2</v>
      </c>
      <c r="N3">
        <v>91.106319444444395</v>
      </c>
      <c r="O3">
        <v>3.3709338194444403E-2</v>
      </c>
    </row>
    <row r="4" spans="1:16" ht="29" x14ac:dyDescent="0.35">
      <c r="A4" t="s">
        <v>25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26</v>
      </c>
      <c r="H4" t="b">
        <v>1</v>
      </c>
      <c r="I4">
        <v>10</v>
      </c>
      <c r="J4">
        <v>7</v>
      </c>
      <c r="L4">
        <v>43.982361111111103</v>
      </c>
      <c r="M4">
        <v>3.8264654166666702E-3</v>
      </c>
      <c r="N4">
        <v>43.982361111111103</v>
      </c>
      <c r="O4">
        <v>3.8264654166666702E-3</v>
      </c>
      <c r="P4" s="1" t="s">
        <v>27</v>
      </c>
    </row>
    <row r="5" spans="1:16" x14ac:dyDescent="0.35">
      <c r="A5" t="s">
        <v>28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29</v>
      </c>
      <c r="H5" t="b">
        <v>0</v>
      </c>
      <c r="I5">
        <v>10</v>
      </c>
      <c r="J5">
        <v>42.5</v>
      </c>
      <c r="L5">
        <v>534.07152777777799</v>
      </c>
      <c r="M5">
        <v>5.34071527777778E-5</v>
      </c>
      <c r="N5">
        <v>0</v>
      </c>
      <c r="O5">
        <v>0</v>
      </c>
    </row>
    <row r="6" spans="1:16" x14ac:dyDescent="0.35">
      <c r="A6" t="s">
        <v>30</v>
      </c>
      <c r="B6" t="s">
        <v>31</v>
      </c>
      <c r="C6" t="s">
        <v>32</v>
      </c>
      <c r="D6" t="s">
        <v>19</v>
      </c>
      <c r="E6" t="s">
        <v>20</v>
      </c>
      <c r="F6" t="s">
        <v>21</v>
      </c>
      <c r="G6" t="s">
        <v>24</v>
      </c>
      <c r="H6" t="b">
        <v>1</v>
      </c>
      <c r="I6">
        <v>10</v>
      </c>
      <c r="J6">
        <v>16</v>
      </c>
      <c r="L6">
        <v>100.531111111111</v>
      </c>
      <c r="M6">
        <v>3.7196511111111101E-2</v>
      </c>
      <c r="N6">
        <v>100.531111111111</v>
      </c>
      <c r="O6">
        <v>3.7196511111111101E-2</v>
      </c>
    </row>
    <row r="7" spans="1:16" ht="29" x14ac:dyDescent="0.35">
      <c r="A7" t="s">
        <v>33</v>
      </c>
      <c r="B7" t="s">
        <v>31</v>
      </c>
      <c r="C7" t="s">
        <v>32</v>
      </c>
      <c r="D7" t="s">
        <v>19</v>
      </c>
      <c r="E7" t="s">
        <v>20</v>
      </c>
      <c r="F7" t="s">
        <v>21</v>
      </c>
      <c r="G7" t="s">
        <v>26</v>
      </c>
      <c r="H7" t="b">
        <v>1</v>
      </c>
      <c r="I7">
        <v>10</v>
      </c>
      <c r="J7">
        <v>56.75</v>
      </c>
      <c r="K7">
        <v>17</v>
      </c>
      <c r="L7">
        <v>6596.5687673611101</v>
      </c>
      <c r="M7">
        <v>0.57390148276041697</v>
      </c>
      <c r="N7">
        <v>6596.5687673611101</v>
      </c>
      <c r="O7">
        <v>0.57390148276041697</v>
      </c>
      <c r="P7" s="1" t="s">
        <v>27</v>
      </c>
    </row>
    <row r="8" spans="1:16" ht="29" x14ac:dyDescent="0.35">
      <c r="A8" t="s">
        <v>34</v>
      </c>
      <c r="B8" t="s">
        <v>31</v>
      </c>
      <c r="C8" t="s">
        <v>32</v>
      </c>
      <c r="D8" t="s">
        <v>19</v>
      </c>
      <c r="E8" t="s">
        <v>20</v>
      </c>
      <c r="F8" t="s">
        <v>21</v>
      </c>
      <c r="G8" t="s">
        <v>35</v>
      </c>
      <c r="H8" t="b">
        <v>1</v>
      </c>
      <c r="I8">
        <v>10</v>
      </c>
      <c r="J8">
        <v>10</v>
      </c>
      <c r="L8">
        <v>31.415972222222202</v>
      </c>
      <c r="M8">
        <v>5.9794019930555498E-3</v>
      </c>
      <c r="N8">
        <v>31.415972222222202</v>
      </c>
      <c r="O8">
        <v>5.9794019930555498E-3</v>
      </c>
      <c r="P8" s="1" t="s">
        <v>27</v>
      </c>
    </row>
    <row r="9" spans="1:16" x14ac:dyDescent="0.35">
      <c r="A9" t="s">
        <v>36</v>
      </c>
      <c r="B9" t="s">
        <v>31</v>
      </c>
      <c r="C9" t="s">
        <v>32</v>
      </c>
      <c r="D9" t="s">
        <v>19</v>
      </c>
      <c r="E9" t="s">
        <v>20</v>
      </c>
      <c r="F9" t="s">
        <v>21</v>
      </c>
      <c r="G9" t="s">
        <v>37</v>
      </c>
      <c r="H9" t="b">
        <v>0</v>
      </c>
      <c r="I9">
        <v>10</v>
      </c>
      <c r="J9">
        <v>7</v>
      </c>
      <c r="L9">
        <v>21.991180555555601</v>
      </c>
      <c r="M9">
        <v>1.01159430555556E-3</v>
      </c>
      <c r="N9">
        <v>0</v>
      </c>
      <c r="O9">
        <v>0</v>
      </c>
    </row>
    <row r="10" spans="1:16" ht="29" x14ac:dyDescent="0.35">
      <c r="A10" t="s">
        <v>38</v>
      </c>
      <c r="B10" t="s">
        <v>31</v>
      </c>
      <c r="C10" t="s">
        <v>39</v>
      </c>
      <c r="D10" t="s">
        <v>19</v>
      </c>
      <c r="E10" t="s">
        <v>20</v>
      </c>
      <c r="F10" t="s">
        <v>21</v>
      </c>
      <c r="G10" t="s">
        <v>26</v>
      </c>
      <c r="H10" t="b">
        <v>1</v>
      </c>
      <c r="I10">
        <v>10</v>
      </c>
      <c r="J10">
        <v>9.1999999999999993</v>
      </c>
      <c r="K10">
        <v>359</v>
      </c>
      <c r="L10">
        <v>10954.1211944444</v>
      </c>
      <c r="M10">
        <v>0.95300854391666301</v>
      </c>
      <c r="N10">
        <v>10954.1211944444</v>
      </c>
      <c r="O10">
        <v>0.95300854391666301</v>
      </c>
      <c r="P10" s="1" t="s">
        <v>27</v>
      </c>
    </row>
    <row r="11" spans="1:16" x14ac:dyDescent="0.35">
      <c r="A11" t="s">
        <v>40</v>
      </c>
      <c r="B11" t="s">
        <v>31</v>
      </c>
      <c r="C11" t="s">
        <v>39</v>
      </c>
      <c r="D11" t="s">
        <v>19</v>
      </c>
      <c r="E11" t="s">
        <v>20</v>
      </c>
      <c r="F11" t="s">
        <v>21</v>
      </c>
      <c r="G11" t="s">
        <v>24</v>
      </c>
      <c r="H11" t="b">
        <v>1</v>
      </c>
      <c r="I11">
        <v>10</v>
      </c>
      <c r="J11">
        <v>22</v>
      </c>
      <c r="L11">
        <v>69.115138888888893</v>
      </c>
      <c r="M11">
        <v>2.5572601388888901E-2</v>
      </c>
      <c r="N11">
        <v>69.115138888888893</v>
      </c>
      <c r="O11">
        <v>2.5572601388888901E-2</v>
      </c>
    </row>
    <row r="12" spans="1:16" x14ac:dyDescent="0.35">
      <c r="A12" t="s">
        <v>41</v>
      </c>
      <c r="B12" t="s">
        <v>42</v>
      </c>
      <c r="C12" t="s">
        <v>43</v>
      </c>
      <c r="D12" t="s">
        <v>19</v>
      </c>
      <c r="E12" t="s">
        <v>20</v>
      </c>
      <c r="F12" t="s">
        <v>21</v>
      </c>
      <c r="G12" t="s">
        <v>22</v>
      </c>
      <c r="H12" t="b">
        <v>0</v>
      </c>
      <c r="I12">
        <v>10</v>
      </c>
      <c r="J12">
        <v>18.5</v>
      </c>
      <c r="K12">
        <v>208</v>
      </c>
      <c r="L12">
        <v>13251.257083333299</v>
      </c>
      <c r="M12">
        <v>6.6256285416666496E-3</v>
      </c>
      <c r="N12">
        <v>0</v>
      </c>
      <c r="O12">
        <v>0</v>
      </c>
    </row>
    <row r="13" spans="1:16" x14ac:dyDescent="0.35">
      <c r="A13" t="s">
        <v>44</v>
      </c>
      <c r="B13" t="s">
        <v>42</v>
      </c>
      <c r="C13" t="s">
        <v>43</v>
      </c>
      <c r="D13" t="s">
        <v>19</v>
      </c>
      <c r="E13" t="s">
        <v>20</v>
      </c>
      <c r="F13" t="s">
        <v>21</v>
      </c>
      <c r="G13" t="s">
        <v>24</v>
      </c>
      <c r="H13" t="b">
        <v>1</v>
      </c>
      <c r="I13">
        <v>10</v>
      </c>
      <c r="J13">
        <v>19</v>
      </c>
      <c r="L13">
        <v>119.380694444444</v>
      </c>
      <c r="M13">
        <v>4.4170856944444302E-2</v>
      </c>
      <c r="N13">
        <v>119.380694444444</v>
      </c>
      <c r="O13">
        <v>4.4170856944444302E-2</v>
      </c>
    </row>
    <row r="14" spans="1:16" ht="29" x14ac:dyDescent="0.35">
      <c r="A14" t="s">
        <v>45</v>
      </c>
      <c r="B14" t="s">
        <v>42</v>
      </c>
      <c r="C14" t="s">
        <v>43</v>
      </c>
      <c r="D14" t="s">
        <v>19</v>
      </c>
      <c r="E14" t="s">
        <v>20</v>
      </c>
      <c r="F14" t="s">
        <v>21</v>
      </c>
      <c r="G14" t="s">
        <v>26</v>
      </c>
      <c r="H14" t="b">
        <v>1</v>
      </c>
      <c r="I14">
        <v>10</v>
      </c>
      <c r="J14">
        <v>37.3333333333333</v>
      </c>
      <c r="L14">
        <v>351.858888888889</v>
      </c>
      <c r="M14">
        <v>3.0611723333333299E-2</v>
      </c>
      <c r="N14">
        <v>351.858888888889</v>
      </c>
      <c r="O14">
        <v>3.0611723333333299E-2</v>
      </c>
      <c r="P14" s="1" t="s">
        <v>27</v>
      </c>
    </row>
    <row r="15" spans="1:16" x14ac:dyDescent="0.35">
      <c r="A15" t="s">
        <v>46</v>
      </c>
      <c r="B15" t="s">
        <v>42</v>
      </c>
      <c r="C15" t="s">
        <v>47</v>
      </c>
      <c r="D15" t="s">
        <v>19</v>
      </c>
      <c r="E15" t="s">
        <v>20</v>
      </c>
      <c r="F15" t="s">
        <v>21</v>
      </c>
      <c r="G15" t="s">
        <v>37</v>
      </c>
      <c r="H15" t="b">
        <v>0</v>
      </c>
      <c r="I15">
        <v>10</v>
      </c>
      <c r="J15">
        <v>5</v>
      </c>
      <c r="L15">
        <v>15.707986111111101</v>
      </c>
      <c r="M15">
        <v>7.2256736111111098E-4</v>
      </c>
      <c r="N15">
        <v>0</v>
      </c>
      <c r="O15">
        <v>0</v>
      </c>
    </row>
    <row r="16" spans="1:16" x14ac:dyDescent="0.35">
      <c r="A16" t="s">
        <v>48</v>
      </c>
      <c r="B16" t="s">
        <v>42</v>
      </c>
      <c r="C16" t="s">
        <v>47</v>
      </c>
      <c r="D16" t="s">
        <v>19</v>
      </c>
      <c r="E16" t="s">
        <v>20</v>
      </c>
      <c r="F16" t="s">
        <v>21</v>
      </c>
      <c r="G16" t="s">
        <v>29</v>
      </c>
      <c r="H16" t="b">
        <v>0</v>
      </c>
      <c r="I16">
        <v>10</v>
      </c>
      <c r="J16">
        <v>92.5</v>
      </c>
      <c r="L16">
        <v>2324.7819444444399</v>
      </c>
      <c r="M16">
        <v>2.3247819444444399E-4</v>
      </c>
      <c r="N16">
        <v>0</v>
      </c>
      <c r="O16">
        <v>0</v>
      </c>
    </row>
    <row r="17" spans="1:16" x14ac:dyDescent="0.35">
      <c r="A17" t="s">
        <v>49</v>
      </c>
      <c r="B17" t="s">
        <v>42</v>
      </c>
      <c r="C17" t="s">
        <v>47</v>
      </c>
      <c r="D17" t="s">
        <v>19</v>
      </c>
      <c r="E17" t="s">
        <v>20</v>
      </c>
      <c r="F17" t="s">
        <v>21</v>
      </c>
      <c r="G17" t="s">
        <v>50</v>
      </c>
      <c r="H17" t="b">
        <v>1</v>
      </c>
      <c r="I17">
        <v>10</v>
      </c>
      <c r="J17">
        <v>13.6</v>
      </c>
      <c r="L17">
        <v>213.62861111111101</v>
      </c>
      <c r="M17">
        <v>2.34991472222222E-2</v>
      </c>
      <c r="N17">
        <v>213.62861111111101</v>
      </c>
      <c r="O17">
        <v>2.34991472222222E-2</v>
      </c>
    </row>
    <row r="18" spans="1:16" x14ac:dyDescent="0.35">
      <c r="A18" t="s">
        <v>51</v>
      </c>
      <c r="B18" t="s">
        <v>42</v>
      </c>
      <c r="C18" t="s">
        <v>47</v>
      </c>
      <c r="D18" t="s">
        <v>19</v>
      </c>
      <c r="E18" t="s">
        <v>20</v>
      </c>
      <c r="F18" t="s">
        <v>21</v>
      </c>
      <c r="G18" t="s">
        <v>52</v>
      </c>
      <c r="H18" t="b">
        <v>0</v>
      </c>
      <c r="I18">
        <v>10</v>
      </c>
      <c r="J18">
        <v>14</v>
      </c>
      <c r="L18">
        <v>43.982361111111103</v>
      </c>
      <c r="M18">
        <v>3.9100319027777797E-4</v>
      </c>
      <c r="N18">
        <v>0</v>
      </c>
      <c r="O18">
        <v>0</v>
      </c>
    </row>
    <row r="19" spans="1:16" x14ac:dyDescent="0.35">
      <c r="A19" t="s">
        <v>53</v>
      </c>
      <c r="B19" t="s">
        <v>42</v>
      </c>
      <c r="C19" t="s">
        <v>54</v>
      </c>
      <c r="D19" t="s">
        <v>19</v>
      </c>
      <c r="E19" t="s">
        <v>20</v>
      </c>
      <c r="F19" t="s">
        <v>21</v>
      </c>
      <c r="G19" t="s">
        <v>22</v>
      </c>
      <c r="H19" t="b">
        <v>0</v>
      </c>
      <c r="I19">
        <v>10</v>
      </c>
      <c r="J19">
        <v>17.600000000000001</v>
      </c>
      <c r="K19">
        <v>43</v>
      </c>
      <c r="L19">
        <v>3483.4029999999998</v>
      </c>
      <c r="M19">
        <v>1.7417015E-3</v>
      </c>
      <c r="N19">
        <v>0</v>
      </c>
      <c r="O19">
        <v>0</v>
      </c>
    </row>
    <row r="20" spans="1:16" x14ac:dyDescent="0.35">
      <c r="A20" t="s">
        <v>55</v>
      </c>
      <c r="B20" t="s">
        <v>42</v>
      </c>
      <c r="C20" t="s">
        <v>54</v>
      </c>
      <c r="D20" t="s">
        <v>19</v>
      </c>
      <c r="E20" t="s">
        <v>20</v>
      </c>
      <c r="F20" t="s">
        <v>21</v>
      </c>
      <c r="G20" t="s">
        <v>29</v>
      </c>
      <c r="H20" t="b">
        <v>0</v>
      </c>
      <c r="I20">
        <v>10</v>
      </c>
      <c r="J20">
        <v>77.3333333333333</v>
      </c>
      <c r="L20">
        <v>1457.7011111111101</v>
      </c>
      <c r="M20">
        <v>1.4577011111111099E-4</v>
      </c>
      <c r="N20">
        <v>0</v>
      </c>
      <c r="O20">
        <v>0</v>
      </c>
    </row>
    <row r="21" spans="1:16" x14ac:dyDescent="0.35">
      <c r="A21" t="s">
        <v>56</v>
      </c>
      <c r="B21" t="s">
        <v>42</v>
      </c>
      <c r="C21" t="s">
        <v>57</v>
      </c>
      <c r="D21" t="s">
        <v>19</v>
      </c>
      <c r="E21" t="s">
        <v>20</v>
      </c>
      <c r="F21" t="s">
        <v>21</v>
      </c>
      <c r="G21" t="s">
        <v>22</v>
      </c>
      <c r="H21" t="b">
        <v>0</v>
      </c>
      <c r="I21">
        <v>10</v>
      </c>
      <c r="J21">
        <v>16</v>
      </c>
      <c r="K21">
        <v>20</v>
      </c>
      <c r="L21">
        <v>2010.62222222222</v>
      </c>
      <c r="M21">
        <v>1.0053111111111099E-3</v>
      </c>
      <c r="N21">
        <v>0</v>
      </c>
      <c r="O21">
        <v>0</v>
      </c>
    </row>
    <row r="22" spans="1:16" x14ac:dyDescent="0.35">
      <c r="A22" t="s">
        <v>58</v>
      </c>
      <c r="B22" t="s">
        <v>42</v>
      </c>
      <c r="C22" t="s">
        <v>57</v>
      </c>
      <c r="D22" t="s">
        <v>19</v>
      </c>
      <c r="E22" t="s">
        <v>20</v>
      </c>
      <c r="F22" t="s">
        <v>21</v>
      </c>
      <c r="G22" t="s">
        <v>29</v>
      </c>
      <c r="H22" t="b">
        <v>0</v>
      </c>
      <c r="I22">
        <v>10</v>
      </c>
      <c r="J22">
        <v>53.6</v>
      </c>
      <c r="L22">
        <v>841.94805555555502</v>
      </c>
      <c r="M22">
        <v>8.4194805555555597E-5</v>
      </c>
      <c r="N22">
        <v>0</v>
      </c>
      <c r="O22">
        <v>0</v>
      </c>
    </row>
    <row r="23" spans="1:16" x14ac:dyDescent="0.35">
      <c r="A23" t="s">
        <v>59</v>
      </c>
      <c r="B23" t="s">
        <v>42</v>
      </c>
      <c r="C23" t="s">
        <v>57</v>
      </c>
      <c r="D23" t="s">
        <v>19</v>
      </c>
      <c r="E23" t="s">
        <v>20</v>
      </c>
      <c r="F23" t="s">
        <v>21</v>
      </c>
      <c r="G23" t="s">
        <v>24</v>
      </c>
      <c r="H23" t="b">
        <v>1</v>
      </c>
      <c r="I23">
        <v>10</v>
      </c>
      <c r="J23">
        <v>6</v>
      </c>
      <c r="L23">
        <v>18.8495833333333</v>
      </c>
      <c r="M23">
        <v>6.9743458333333197E-3</v>
      </c>
      <c r="N23">
        <v>18.8495833333333</v>
      </c>
      <c r="O23">
        <v>6.9743458333333197E-3</v>
      </c>
    </row>
    <row r="24" spans="1:16" ht="29" x14ac:dyDescent="0.35">
      <c r="A24" t="s">
        <v>60</v>
      </c>
      <c r="B24" t="s">
        <v>42</v>
      </c>
      <c r="C24" t="s">
        <v>61</v>
      </c>
      <c r="D24" t="s">
        <v>19</v>
      </c>
      <c r="E24" t="s">
        <v>20</v>
      </c>
      <c r="F24" t="s">
        <v>62</v>
      </c>
      <c r="G24" t="s">
        <v>26</v>
      </c>
      <c r="H24" t="b">
        <v>1</v>
      </c>
      <c r="I24">
        <v>10</v>
      </c>
      <c r="J24">
        <v>40.25</v>
      </c>
      <c r="L24">
        <v>16.100000000000001</v>
      </c>
      <c r="M24">
        <v>1.4006999999999999E-3</v>
      </c>
      <c r="N24">
        <v>16.100000000000001</v>
      </c>
      <c r="O24">
        <v>1.4006999999999999E-3</v>
      </c>
      <c r="P24" s="1" t="s">
        <v>27</v>
      </c>
    </row>
    <row r="25" spans="1:16" x14ac:dyDescent="0.35">
      <c r="A25" t="s">
        <v>63</v>
      </c>
      <c r="B25" t="s">
        <v>42</v>
      </c>
      <c r="C25" t="s">
        <v>61</v>
      </c>
      <c r="D25" t="s">
        <v>19</v>
      </c>
      <c r="E25" t="s">
        <v>20</v>
      </c>
      <c r="F25" t="s">
        <v>62</v>
      </c>
      <c r="G25" t="s">
        <v>22</v>
      </c>
      <c r="H25" t="b">
        <v>0</v>
      </c>
      <c r="I25">
        <v>10</v>
      </c>
      <c r="J25">
        <v>17.2</v>
      </c>
      <c r="K25">
        <v>130</v>
      </c>
      <c r="L25">
        <v>258</v>
      </c>
      <c r="M25">
        <v>1.2899999999999999E-4</v>
      </c>
      <c r="N25">
        <v>0</v>
      </c>
      <c r="O25">
        <v>0</v>
      </c>
    </row>
    <row r="26" spans="1:16" x14ac:dyDescent="0.35">
      <c r="A26" t="s">
        <v>64</v>
      </c>
      <c r="B26" t="s">
        <v>42</v>
      </c>
      <c r="C26" t="s">
        <v>61</v>
      </c>
      <c r="D26" t="s">
        <v>19</v>
      </c>
      <c r="E26" t="s">
        <v>20</v>
      </c>
      <c r="F26" t="s">
        <v>62</v>
      </c>
      <c r="G26" t="s">
        <v>65</v>
      </c>
      <c r="H26" t="b">
        <v>1</v>
      </c>
      <c r="I26">
        <v>10</v>
      </c>
      <c r="J26">
        <v>50</v>
      </c>
      <c r="L26">
        <v>25</v>
      </c>
      <c r="M26">
        <v>2.3335000000000001E-3</v>
      </c>
      <c r="N26">
        <v>25</v>
      </c>
      <c r="O26">
        <v>2.3335000000000001E-3</v>
      </c>
    </row>
    <row r="27" spans="1:16" x14ac:dyDescent="0.35">
      <c r="A27" t="s">
        <v>66</v>
      </c>
      <c r="B27" t="s">
        <v>42</v>
      </c>
      <c r="C27" t="s">
        <v>61</v>
      </c>
      <c r="D27" t="s">
        <v>19</v>
      </c>
      <c r="E27" t="s">
        <v>20</v>
      </c>
      <c r="F27" t="s">
        <v>62</v>
      </c>
      <c r="G27" t="s">
        <v>67</v>
      </c>
      <c r="H27" t="b">
        <v>1</v>
      </c>
      <c r="I27">
        <v>10</v>
      </c>
      <c r="J27">
        <v>22.5</v>
      </c>
      <c r="L27">
        <v>4.5</v>
      </c>
      <c r="M27">
        <v>8.5499999999999997E-4</v>
      </c>
      <c r="N27">
        <v>4.5</v>
      </c>
      <c r="O27">
        <v>8.5499999999999997E-4</v>
      </c>
    </row>
    <row r="28" spans="1:16" ht="29" x14ac:dyDescent="0.35">
      <c r="A28" t="s">
        <v>68</v>
      </c>
      <c r="B28" t="s">
        <v>42</v>
      </c>
      <c r="C28" t="s">
        <v>61</v>
      </c>
      <c r="D28" t="s">
        <v>19</v>
      </c>
      <c r="E28" t="s">
        <v>20</v>
      </c>
      <c r="F28" t="s">
        <v>62</v>
      </c>
      <c r="G28" t="s">
        <v>69</v>
      </c>
      <c r="H28" t="b">
        <v>1</v>
      </c>
      <c r="I28">
        <v>10</v>
      </c>
      <c r="J28">
        <v>62</v>
      </c>
      <c r="L28">
        <v>24.8</v>
      </c>
      <c r="M28">
        <v>2.3078880000000001E-3</v>
      </c>
      <c r="N28">
        <v>24.8</v>
      </c>
      <c r="O28">
        <v>2.3078880000000001E-3</v>
      </c>
      <c r="P28" s="1" t="s">
        <v>27</v>
      </c>
    </row>
    <row r="29" spans="1:16" x14ac:dyDescent="0.35">
      <c r="A29" t="s">
        <v>70</v>
      </c>
      <c r="B29" t="s">
        <v>42</v>
      </c>
      <c r="C29" t="s">
        <v>61</v>
      </c>
      <c r="D29" t="s">
        <v>19</v>
      </c>
      <c r="E29" t="s">
        <v>20</v>
      </c>
      <c r="F29" t="s">
        <v>62</v>
      </c>
      <c r="G29" t="s">
        <v>24</v>
      </c>
      <c r="H29" t="b">
        <v>1</v>
      </c>
      <c r="I29">
        <v>10</v>
      </c>
      <c r="J29">
        <v>16.95</v>
      </c>
      <c r="K29">
        <v>21</v>
      </c>
      <c r="L29">
        <v>69.495000000000005</v>
      </c>
      <c r="M29">
        <v>2.5713150000000001E-2</v>
      </c>
      <c r="N29">
        <v>69.495000000000005</v>
      </c>
      <c r="O29">
        <v>2.5713150000000001E-2</v>
      </c>
    </row>
    <row r="30" spans="1:16" x14ac:dyDescent="0.35">
      <c r="A30" t="s">
        <v>71</v>
      </c>
      <c r="B30" t="s">
        <v>42</v>
      </c>
      <c r="C30" t="s">
        <v>61</v>
      </c>
      <c r="D30" t="s">
        <v>19</v>
      </c>
      <c r="E30" t="s">
        <v>20</v>
      </c>
      <c r="F30" t="s">
        <v>62</v>
      </c>
      <c r="G30" t="s">
        <v>29</v>
      </c>
      <c r="H30" t="b">
        <v>0</v>
      </c>
      <c r="I30">
        <v>10</v>
      </c>
      <c r="J30">
        <v>108.933333333333</v>
      </c>
      <c r="L30">
        <v>163.4</v>
      </c>
      <c r="M30">
        <v>1.6339999999999999E-5</v>
      </c>
      <c r="N30">
        <v>0</v>
      </c>
      <c r="O30">
        <v>0</v>
      </c>
    </row>
    <row r="31" spans="1:16" x14ac:dyDescent="0.35">
      <c r="A31" t="s">
        <v>72</v>
      </c>
      <c r="B31" t="s">
        <v>42</v>
      </c>
      <c r="C31" t="s">
        <v>61</v>
      </c>
      <c r="D31" t="s">
        <v>19</v>
      </c>
      <c r="E31" t="s">
        <v>20</v>
      </c>
      <c r="F31" t="s">
        <v>62</v>
      </c>
      <c r="G31" t="s">
        <v>73</v>
      </c>
      <c r="H31" t="b">
        <v>1</v>
      </c>
      <c r="I31">
        <v>10</v>
      </c>
      <c r="J31">
        <v>19</v>
      </c>
      <c r="L31">
        <v>3.8</v>
      </c>
      <c r="M31">
        <v>2.2800000000000001E-4</v>
      </c>
      <c r="N31">
        <v>3.8</v>
      </c>
      <c r="O31">
        <v>2.2800000000000001E-4</v>
      </c>
    </row>
    <row r="32" spans="1:16" x14ac:dyDescent="0.35">
      <c r="A32" t="s">
        <v>74</v>
      </c>
      <c r="B32" t="s">
        <v>42</v>
      </c>
      <c r="C32" t="s">
        <v>61</v>
      </c>
      <c r="D32" t="s">
        <v>19</v>
      </c>
      <c r="E32" t="s">
        <v>20</v>
      </c>
      <c r="F32" t="s">
        <v>62</v>
      </c>
      <c r="G32" t="s">
        <v>35</v>
      </c>
      <c r="H32" t="b">
        <v>1</v>
      </c>
      <c r="I32">
        <v>10</v>
      </c>
      <c r="J32">
        <v>34.066666666666698</v>
      </c>
      <c r="L32">
        <v>51.1</v>
      </c>
      <c r="M32">
        <v>9.7258629999999995E-3</v>
      </c>
      <c r="N32">
        <v>51.1</v>
      </c>
      <c r="O32">
        <v>9.7258629999999995E-3</v>
      </c>
      <c r="P32" s="1" t="s">
        <v>27</v>
      </c>
    </row>
    <row r="33" spans="1:16" x14ac:dyDescent="0.35">
      <c r="A33" t="s">
        <v>75</v>
      </c>
      <c r="B33" t="s">
        <v>42</v>
      </c>
      <c r="C33" t="s">
        <v>61</v>
      </c>
      <c r="D33" t="s">
        <v>19</v>
      </c>
      <c r="E33" t="s">
        <v>20</v>
      </c>
      <c r="F33" t="s">
        <v>62</v>
      </c>
      <c r="G33" t="s">
        <v>50</v>
      </c>
      <c r="H33" t="b">
        <v>1</v>
      </c>
      <c r="I33">
        <v>10</v>
      </c>
      <c r="J33">
        <v>34.200000000000003</v>
      </c>
      <c r="L33">
        <v>17.100000000000001</v>
      </c>
      <c r="M33">
        <v>1.8810000000000001E-3</v>
      </c>
      <c r="N33">
        <v>17.100000000000001</v>
      </c>
      <c r="O33">
        <v>1.8810000000000001E-3</v>
      </c>
    </row>
    <row r="34" spans="1:16" x14ac:dyDescent="0.35">
      <c r="A34" t="s">
        <v>76</v>
      </c>
      <c r="B34" t="s">
        <v>42</v>
      </c>
      <c r="C34" t="s">
        <v>61</v>
      </c>
      <c r="D34" t="s">
        <v>19</v>
      </c>
      <c r="E34" t="s">
        <v>20</v>
      </c>
      <c r="F34" t="s">
        <v>62</v>
      </c>
      <c r="G34" t="s">
        <v>37</v>
      </c>
      <c r="H34" t="b">
        <v>0</v>
      </c>
      <c r="I34">
        <v>10</v>
      </c>
      <c r="J34">
        <v>17.600000000000001</v>
      </c>
      <c r="L34">
        <v>8.8000000000000007</v>
      </c>
      <c r="M34">
        <v>4.0479999999999997E-4</v>
      </c>
      <c r="N34">
        <v>0</v>
      </c>
      <c r="O34">
        <v>0</v>
      </c>
    </row>
    <row r="35" spans="1:16" x14ac:dyDescent="0.35">
      <c r="A35" t="s">
        <v>77</v>
      </c>
      <c r="B35" t="s">
        <v>42</v>
      </c>
      <c r="C35" t="s">
        <v>61</v>
      </c>
      <c r="D35" t="s">
        <v>19</v>
      </c>
      <c r="E35" t="s">
        <v>20</v>
      </c>
      <c r="F35" t="s">
        <v>62</v>
      </c>
      <c r="G35" t="s">
        <v>78</v>
      </c>
      <c r="H35" t="b">
        <v>0</v>
      </c>
      <c r="I35">
        <v>10</v>
      </c>
      <c r="J35">
        <v>20</v>
      </c>
      <c r="L35">
        <v>2</v>
      </c>
      <c r="M35">
        <v>4.3999999999999999E-5</v>
      </c>
      <c r="N35">
        <v>0</v>
      </c>
      <c r="O35">
        <v>0</v>
      </c>
    </row>
    <row r="36" spans="1:16" x14ac:dyDescent="0.35">
      <c r="A36" t="s">
        <v>79</v>
      </c>
      <c r="B36" t="s">
        <v>42</v>
      </c>
      <c r="C36" t="s">
        <v>61</v>
      </c>
      <c r="D36" t="s">
        <v>19</v>
      </c>
      <c r="E36" t="s">
        <v>20</v>
      </c>
      <c r="F36" t="s">
        <v>62</v>
      </c>
      <c r="G36" t="s">
        <v>80</v>
      </c>
      <c r="H36" t="b">
        <v>1</v>
      </c>
      <c r="I36">
        <v>10</v>
      </c>
      <c r="J36">
        <v>14</v>
      </c>
      <c r="L36">
        <v>5.6</v>
      </c>
      <c r="M36">
        <v>3.2235839999999998E-3</v>
      </c>
      <c r="N36">
        <v>5.6</v>
      </c>
      <c r="O36">
        <v>3.2235839999999998E-3</v>
      </c>
    </row>
    <row r="37" spans="1:16" x14ac:dyDescent="0.35">
      <c r="A37" t="s">
        <v>81</v>
      </c>
      <c r="B37" t="s">
        <v>82</v>
      </c>
      <c r="C37" t="s">
        <v>83</v>
      </c>
      <c r="D37" t="s">
        <v>19</v>
      </c>
      <c r="E37" t="s">
        <v>20</v>
      </c>
      <c r="F37" t="s">
        <v>62</v>
      </c>
      <c r="G37" t="s">
        <v>73</v>
      </c>
      <c r="H37" t="b">
        <v>1</v>
      </c>
      <c r="I37">
        <v>10</v>
      </c>
      <c r="J37">
        <v>11</v>
      </c>
      <c r="L37">
        <v>1.1000000000000001</v>
      </c>
      <c r="M37">
        <v>6.6000000000000005E-5</v>
      </c>
      <c r="N37">
        <v>1.1000000000000001</v>
      </c>
      <c r="O37">
        <v>6.6000000000000005E-5</v>
      </c>
    </row>
    <row r="38" spans="1:16" x14ac:dyDescent="0.35">
      <c r="A38" t="s">
        <v>84</v>
      </c>
      <c r="B38" t="s">
        <v>82</v>
      </c>
      <c r="C38" t="s">
        <v>83</v>
      </c>
      <c r="D38" t="s">
        <v>19</v>
      </c>
      <c r="E38" t="s">
        <v>20</v>
      </c>
      <c r="F38" t="s">
        <v>62</v>
      </c>
      <c r="G38" t="s">
        <v>85</v>
      </c>
      <c r="H38" t="b">
        <v>1</v>
      </c>
      <c r="I38">
        <v>10</v>
      </c>
      <c r="J38">
        <v>30</v>
      </c>
      <c r="L38">
        <v>3</v>
      </c>
      <c r="M38">
        <v>2.3699999999999999E-4</v>
      </c>
      <c r="N38">
        <v>3</v>
      </c>
      <c r="O38">
        <v>2.3699999999999999E-4</v>
      </c>
    </row>
    <row r="39" spans="1:16" x14ac:dyDescent="0.35">
      <c r="A39" t="s">
        <v>86</v>
      </c>
      <c r="B39" t="s">
        <v>82</v>
      </c>
      <c r="C39" t="s">
        <v>83</v>
      </c>
      <c r="D39" t="s">
        <v>19</v>
      </c>
      <c r="E39" t="s">
        <v>20</v>
      </c>
      <c r="F39" t="s">
        <v>62</v>
      </c>
      <c r="G39" t="s">
        <v>65</v>
      </c>
      <c r="H39" t="b">
        <v>1</v>
      </c>
      <c r="I39">
        <v>10</v>
      </c>
      <c r="J39">
        <v>5</v>
      </c>
      <c r="L39">
        <v>0.5</v>
      </c>
      <c r="M39">
        <v>4.6669999999999999E-5</v>
      </c>
      <c r="N39">
        <v>0.5</v>
      </c>
      <c r="O39">
        <v>4.6669999999999999E-5</v>
      </c>
    </row>
    <row r="40" spans="1:16" x14ac:dyDescent="0.35">
      <c r="A40" t="s">
        <v>87</v>
      </c>
      <c r="B40" t="s">
        <v>82</v>
      </c>
      <c r="C40" t="s">
        <v>88</v>
      </c>
      <c r="D40" t="s">
        <v>19</v>
      </c>
      <c r="E40" t="s">
        <v>20</v>
      </c>
      <c r="F40" t="s">
        <v>62</v>
      </c>
      <c r="G40" t="s">
        <v>85</v>
      </c>
      <c r="H40" t="b">
        <v>1</v>
      </c>
      <c r="I40">
        <v>10</v>
      </c>
      <c r="J40">
        <v>12</v>
      </c>
      <c r="L40">
        <v>1.2</v>
      </c>
      <c r="M40">
        <v>9.48E-5</v>
      </c>
      <c r="N40">
        <v>1.2</v>
      </c>
      <c r="O40">
        <v>9.48E-5</v>
      </c>
    </row>
    <row r="41" spans="1:16" x14ac:dyDescent="0.35">
      <c r="A41" t="s">
        <v>89</v>
      </c>
      <c r="B41" t="s">
        <v>82</v>
      </c>
      <c r="C41" t="s">
        <v>88</v>
      </c>
      <c r="D41" t="s">
        <v>19</v>
      </c>
      <c r="E41" t="s">
        <v>20</v>
      </c>
      <c r="F41" t="s">
        <v>62</v>
      </c>
      <c r="G41" t="s">
        <v>78</v>
      </c>
      <c r="H41" t="b">
        <v>0</v>
      </c>
      <c r="I41">
        <v>10</v>
      </c>
      <c r="J41">
        <v>54</v>
      </c>
      <c r="L41">
        <v>5.4</v>
      </c>
      <c r="M41">
        <v>1.188E-4</v>
      </c>
      <c r="N41">
        <v>0</v>
      </c>
      <c r="O41">
        <v>0</v>
      </c>
    </row>
    <row r="42" spans="1:16" x14ac:dyDescent="0.35">
      <c r="A42" t="s">
        <v>90</v>
      </c>
      <c r="B42" t="s">
        <v>82</v>
      </c>
      <c r="C42" t="s">
        <v>88</v>
      </c>
      <c r="D42" t="s">
        <v>19</v>
      </c>
      <c r="E42" t="s">
        <v>20</v>
      </c>
      <c r="F42" t="s">
        <v>62</v>
      </c>
      <c r="G42" t="s">
        <v>65</v>
      </c>
      <c r="H42" t="b">
        <v>1</v>
      </c>
      <c r="I42">
        <v>10</v>
      </c>
      <c r="J42">
        <v>40</v>
      </c>
      <c r="L42">
        <v>4</v>
      </c>
      <c r="M42">
        <v>3.7335999999999999E-4</v>
      </c>
      <c r="N42">
        <v>4</v>
      </c>
      <c r="O42">
        <v>3.7335999999999999E-4</v>
      </c>
    </row>
    <row r="43" spans="1:16" x14ac:dyDescent="0.35">
      <c r="A43" t="s">
        <v>91</v>
      </c>
      <c r="B43" t="s">
        <v>82</v>
      </c>
      <c r="C43" t="s">
        <v>92</v>
      </c>
      <c r="D43" t="s">
        <v>19</v>
      </c>
      <c r="E43" t="s">
        <v>20</v>
      </c>
      <c r="F43" t="s">
        <v>62</v>
      </c>
      <c r="G43" t="s">
        <v>93</v>
      </c>
      <c r="I43">
        <v>10</v>
      </c>
      <c r="J43">
        <v>0</v>
      </c>
      <c r="L43">
        <v>0</v>
      </c>
      <c r="M43">
        <v>0</v>
      </c>
      <c r="N43">
        <v>0</v>
      </c>
      <c r="O43">
        <v>0</v>
      </c>
    </row>
    <row r="44" spans="1:16" x14ac:dyDescent="0.35">
      <c r="A44" t="s">
        <v>94</v>
      </c>
      <c r="B44" t="s">
        <v>82</v>
      </c>
      <c r="C44" t="s">
        <v>95</v>
      </c>
      <c r="D44" t="s">
        <v>19</v>
      </c>
      <c r="E44" t="s">
        <v>20</v>
      </c>
      <c r="F44" t="s">
        <v>62</v>
      </c>
      <c r="G44" t="s">
        <v>67</v>
      </c>
      <c r="H44" t="b">
        <v>1</v>
      </c>
      <c r="I44">
        <v>10</v>
      </c>
      <c r="J44">
        <v>42.6666666666667</v>
      </c>
      <c r="L44">
        <v>12.8</v>
      </c>
      <c r="M44">
        <v>2.4320000000000001E-3</v>
      </c>
      <c r="N44">
        <v>12.8</v>
      </c>
      <c r="O44">
        <v>2.4320000000000001E-3</v>
      </c>
    </row>
    <row r="45" spans="1:16" x14ac:dyDescent="0.35">
      <c r="A45" t="s">
        <v>96</v>
      </c>
      <c r="B45" t="s">
        <v>82</v>
      </c>
      <c r="C45" t="s">
        <v>95</v>
      </c>
      <c r="D45" t="s">
        <v>19</v>
      </c>
      <c r="E45" t="s">
        <v>20</v>
      </c>
      <c r="F45" t="s">
        <v>62</v>
      </c>
      <c r="G45" t="s">
        <v>35</v>
      </c>
      <c r="H45" t="b">
        <v>1</v>
      </c>
      <c r="I45">
        <v>10</v>
      </c>
      <c r="J45">
        <v>122</v>
      </c>
      <c r="L45">
        <v>24.4</v>
      </c>
      <c r="M45">
        <v>4.6440520000000001E-3</v>
      </c>
      <c r="N45">
        <v>24.4</v>
      </c>
      <c r="O45">
        <v>4.6440520000000001E-3</v>
      </c>
      <c r="P45" s="1" t="s">
        <v>27</v>
      </c>
    </row>
    <row r="46" spans="1:16" x14ac:dyDescent="0.35">
      <c r="A46" t="s">
        <v>97</v>
      </c>
      <c r="B46" t="s">
        <v>82</v>
      </c>
      <c r="C46" t="s">
        <v>95</v>
      </c>
      <c r="D46" t="s">
        <v>19</v>
      </c>
      <c r="E46" t="s">
        <v>20</v>
      </c>
      <c r="F46" t="s">
        <v>62</v>
      </c>
      <c r="G46" t="s">
        <v>24</v>
      </c>
      <c r="H46" t="b">
        <v>1</v>
      </c>
      <c r="I46">
        <v>10</v>
      </c>
      <c r="J46">
        <v>11</v>
      </c>
      <c r="L46">
        <v>1.1000000000000001</v>
      </c>
      <c r="M46">
        <v>4.0700000000000003E-4</v>
      </c>
      <c r="N46">
        <v>1.1000000000000001</v>
      </c>
      <c r="O46">
        <v>4.0700000000000003E-4</v>
      </c>
    </row>
    <row r="47" spans="1:16" x14ac:dyDescent="0.35">
      <c r="A47" t="s">
        <v>98</v>
      </c>
      <c r="B47" t="s">
        <v>99</v>
      </c>
      <c r="C47" t="s">
        <v>100</v>
      </c>
      <c r="D47" t="s">
        <v>19</v>
      </c>
      <c r="E47" t="s">
        <v>20</v>
      </c>
      <c r="F47" t="s">
        <v>21</v>
      </c>
      <c r="G47" t="s">
        <v>24</v>
      </c>
      <c r="H47" t="b">
        <v>1</v>
      </c>
      <c r="I47">
        <v>10</v>
      </c>
      <c r="J47">
        <v>9.5</v>
      </c>
      <c r="L47">
        <v>59.690347222222201</v>
      </c>
      <c r="M47">
        <v>2.20854284722222E-2</v>
      </c>
      <c r="N47">
        <v>59.690347222222201</v>
      </c>
      <c r="O47">
        <v>2.20854284722222E-2</v>
      </c>
    </row>
    <row r="48" spans="1:16" x14ac:dyDescent="0.35">
      <c r="A48" t="s">
        <v>101</v>
      </c>
      <c r="B48" t="s">
        <v>99</v>
      </c>
      <c r="C48" t="s">
        <v>100</v>
      </c>
      <c r="D48" t="s">
        <v>19</v>
      </c>
      <c r="E48" t="s">
        <v>20</v>
      </c>
      <c r="F48" t="s">
        <v>21</v>
      </c>
      <c r="G48" t="s">
        <v>102</v>
      </c>
      <c r="H48" t="b">
        <v>1</v>
      </c>
      <c r="I48">
        <v>10</v>
      </c>
      <c r="J48">
        <v>89</v>
      </c>
      <c r="L48">
        <v>279.60215277777797</v>
      </c>
      <c r="M48">
        <v>0</v>
      </c>
      <c r="N48">
        <v>279.60215277777797</v>
      </c>
      <c r="O48">
        <v>0</v>
      </c>
    </row>
    <row r="49" spans="1:15" x14ac:dyDescent="0.35">
      <c r="A49" t="s">
        <v>103</v>
      </c>
      <c r="B49" t="s">
        <v>99</v>
      </c>
      <c r="C49" t="s">
        <v>100</v>
      </c>
      <c r="D49" t="s">
        <v>19</v>
      </c>
      <c r="E49" t="s">
        <v>20</v>
      </c>
      <c r="F49" t="s">
        <v>21</v>
      </c>
      <c r="G49" t="s">
        <v>80</v>
      </c>
      <c r="H49" t="b">
        <v>1</v>
      </c>
      <c r="I49">
        <v>10</v>
      </c>
      <c r="J49">
        <v>10</v>
      </c>
      <c r="L49">
        <v>157.079861111111</v>
      </c>
      <c r="M49">
        <v>9.0421451249999896E-2</v>
      </c>
      <c r="N49">
        <v>157.079861111111</v>
      </c>
      <c r="O49">
        <v>9.0421451249999896E-2</v>
      </c>
    </row>
    <row r="50" spans="1:15" x14ac:dyDescent="0.35">
      <c r="A50" t="s">
        <v>104</v>
      </c>
      <c r="B50" t="s">
        <v>99</v>
      </c>
      <c r="C50" t="s">
        <v>100</v>
      </c>
      <c r="D50" t="s">
        <v>19</v>
      </c>
      <c r="E50" t="s">
        <v>20</v>
      </c>
      <c r="F50" t="s">
        <v>21</v>
      </c>
      <c r="G50" t="s">
        <v>65</v>
      </c>
      <c r="H50" t="b">
        <v>1</v>
      </c>
      <c r="I50">
        <v>10</v>
      </c>
      <c r="J50">
        <v>39</v>
      </c>
      <c r="L50">
        <v>122.522291666667</v>
      </c>
      <c r="M50">
        <v>1.1436230704166699E-2</v>
      </c>
      <c r="N50">
        <v>122.522291666667</v>
      </c>
      <c r="O50">
        <v>1.1436230704166699E-2</v>
      </c>
    </row>
    <row r="51" spans="1:15" x14ac:dyDescent="0.35">
      <c r="A51" t="s">
        <v>105</v>
      </c>
      <c r="B51" t="s">
        <v>99</v>
      </c>
      <c r="C51" t="s">
        <v>100</v>
      </c>
      <c r="D51" t="s">
        <v>19</v>
      </c>
      <c r="E51" t="s">
        <v>20</v>
      </c>
      <c r="F51" t="s">
        <v>21</v>
      </c>
      <c r="G51" t="s">
        <v>85</v>
      </c>
      <c r="H51" t="b">
        <v>1</v>
      </c>
      <c r="I51">
        <v>10</v>
      </c>
      <c r="J51">
        <v>15.5</v>
      </c>
      <c r="L51">
        <v>97.389513888888899</v>
      </c>
      <c r="M51">
        <v>7.6937715972222199E-3</v>
      </c>
      <c r="N51">
        <v>97.389513888888899</v>
      </c>
      <c r="O51">
        <v>7.6937715972222199E-3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21.3632812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1.45312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9" x14ac:dyDescent="0.35">
      <c r="A2" t="s">
        <v>25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26</v>
      </c>
      <c r="H2" t="b">
        <v>1</v>
      </c>
      <c r="I2">
        <v>10</v>
      </c>
      <c r="J2">
        <v>7</v>
      </c>
      <c r="L2">
        <v>43.982361111111103</v>
      </c>
      <c r="M2">
        <v>3.8264654166666702E-3</v>
      </c>
      <c r="N2">
        <v>43.982361111111103</v>
      </c>
      <c r="O2">
        <v>3.8264654166666702E-3</v>
      </c>
      <c r="P2" s="1" t="s">
        <v>27</v>
      </c>
    </row>
    <row r="3" spans="1:16" ht="29" x14ac:dyDescent="0.35">
      <c r="A3" t="s">
        <v>33</v>
      </c>
      <c r="B3" t="s">
        <v>31</v>
      </c>
      <c r="C3" t="s">
        <v>32</v>
      </c>
      <c r="D3" t="s">
        <v>19</v>
      </c>
      <c r="E3" t="s">
        <v>20</v>
      </c>
      <c r="F3" t="s">
        <v>21</v>
      </c>
      <c r="G3" t="s">
        <v>26</v>
      </c>
      <c r="H3" t="b">
        <v>1</v>
      </c>
      <c r="I3">
        <v>10</v>
      </c>
      <c r="J3">
        <v>56.75</v>
      </c>
      <c r="K3">
        <v>17</v>
      </c>
      <c r="L3">
        <v>6596.5687673611101</v>
      </c>
      <c r="M3">
        <v>0.57390148276041697</v>
      </c>
      <c r="N3">
        <v>6596.5687673611101</v>
      </c>
      <c r="O3">
        <v>0.57390148276041697</v>
      </c>
      <c r="P3" s="1" t="s">
        <v>27</v>
      </c>
    </row>
    <row r="4" spans="1:16" ht="29" x14ac:dyDescent="0.35">
      <c r="A4" t="s">
        <v>34</v>
      </c>
      <c r="B4" t="s">
        <v>31</v>
      </c>
      <c r="C4" t="s">
        <v>32</v>
      </c>
      <c r="D4" t="s">
        <v>19</v>
      </c>
      <c r="E4" t="s">
        <v>20</v>
      </c>
      <c r="F4" t="s">
        <v>21</v>
      </c>
      <c r="G4" t="s">
        <v>35</v>
      </c>
      <c r="H4" t="b">
        <v>1</v>
      </c>
      <c r="I4">
        <v>10</v>
      </c>
      <c r="J4">
        <v>10</v>
      </c>
      <c r="L4">
        <v>31.415972222222202</v>
      </c>
      <c r="M4">
        <v>5.9794019930555498E-3</v>
      </c>
      <c r="N4">
        <v>31.415972222222202</v>
      </c>
      <c r="O4">
        <v>5.9794019930555498E-3</v>
      </c>
      <c r="P4" s="1" t="s">
        <v>27</v>
      </c>
    </row>
    <row r="5" spans="1:16" ht="29" x14ac:dyDescent="0.35">
      <c r="A5" t="s">
        <v>38</v>
      </c>
      <c r="B5" t="s">
        <v>31</v>
      </c>
      <c r="C5" t="s">
        <v>39</v>
      </c>
      <c r="D5" t="s">
        <v>19</v>
      </c>
      <c r="E5" t="s">
        <v>20</v>
      </c>
      <c r="F5" t="s">
        <v>21</v>
      </c>
      <c r="G5" t="s">
        <v>26</v>
      </c>
      <c r="H5" t="b">
        <v>1</v>
      </c>
      <c r="I5">
        <v>10</v>
      </c>
      <c r="J5">
        <v>9.1999999999999993</v>
      </c>
      <c r="K5">
        <v>359</v>
      </c>
      <c r="L5">
        <v>10954.1211944444</v>
      </c>
      <c r="M5">
        <v>0.95300854391666301</v>
      </c>
      <c r="N5">
        <v>10954.1211944444</v>
      </c>
      <c r="O5">
        <v>0.95300854391666301</v>
      </c>
      <c r="P5" s="1" t="s">
        <v>27</v>
      </c>
    </row>
    <row r="6" spans="1:16" ht="29" x14ac:dyDescent="0.35">
      <c r="A6" t="s">
        <v>45</v>
      </c>
      <c r="B6" t="s">
        <v>42</v>
      </c>
      <c r="C6" t="s">
        <v>43</v>
      </c>
      <c r="D6" t="s">
        <v>19</v>
      </c>
      <c r="E6" t="s">
        <v>20</v>
      </c>
      <c r="F6" t="s">
        <v>21</v>
      </c>
      <c r="G6" t="s">
        <v>26</v>
      </c>
      <c r="H6" t="b">
        <v>1</v>
      </c>
      <c r="I6">
        <v>10</v>
      </c>
      <c r="J6">
        <v>37.3333333333333</v>
      </c>
      <c r="L6">
        <v>351.858888888889</v>
      </c>
      <c r="M6">
        <v>3.0611723333333299E-2</v>
      </c>
      <c r="N6">
        <v>351.858888888889</v>
      </c>
      <c r="O6">
        <v>3.0611723333333299E-2</v>
      </c>
      <c r="P6" s="1" t="s">
        <v>27</v>
      </c>
    </row>
    <row r="7" spans="1:16" ht="29" x14ac:dyDescent="0.35">
      <c r="A7" t="s">
        <v>60</v>
      </c>
      <c r="B7" t="s">
        <v>42</v>
      </c>
      <c r="C7" t="s">
        <v>61</v>
      </c>
      <c r="D7" t="s">
        <v>19</v>
      </c>
      <c r="E7" t="s">
        <v>20</v>
      </c>
      <c r="F7" t="s">
        <v>62</v>
      </c>
      <c r="G7" t="s">
        <v>26</v>
      </c>
      <c r="H7" t="b">
        <v>1</v>
      </c>
      <c r="I7">
        <v>10</v>
      </c>
      <c r="J7">
        <v>40.25</v>
      </c>
      <c r="L7">
        <v>16.100000000000001</v>
      </c>
      <c r="M7">
        <v>1.4006999999999999E-3</v>
      </c>
      <c r="N7">
        <v>16.100000000000001</v>
      </c>
      <c r="O7">
        <v>1.4006999999999999E-3</v>
      </c>
      <c r="P7" s="1" t="s">
        <v>27</v>
      </c>
    </row>
    <row r="8" spans="1:16" ht="29" x14ac:dyDescent="0.35">
      <c r="A8" t="s">
        <v>68</v>
      </c>
      <c r="B8" t="s">
        <v>42</v>
      </c>
      <c r="C8" t="s">
        <v>61</v>
      </c>
      <c r="D8" t="s">
        <v>19</v>
      </c>
      <c r="E8" t="s">
        <v>20</v>
      </c>
      <c r="F8" t="s">
        <v>62</v>
      </c>
      <c r="G8" t="s">
        <v>69</v>
      </c>
      <c r="H8" t="b">
        <v>1</v>
      </c>
      <c r="I8">
        <v>10</v>
      </c>
      <c r="J8">
        <v>62</v>
      </c>
      <c r="L8">
        <v>24.8</v>
      </c>
      <c r="M8">
        <v>2.3078880000000001E-3</v>
      </c>
      <c r="N8">
        <v>24.8</v>
      </c>
      <c r="O8">
        <v>2.3078880000000001E-3</v>
      </c>
      <c r="P8" s="1" t="s">
        <v>27</v>
      </c>
    </row>
    <row r="9" spans="1:16" ht="29" x14ac:dyDescent="0.35">
      <c r="A9" t="s">
        <v>74</v>
      </c>
      <c r="B9" t="s">
        <v>42</v>
      </c>
      <c r="C9" t="s">
        <v>61</v>
      </c>
      <c r="D9" t="s">
        <v>19</v>
      </c>
      <c r="E9" t="s">
        <v>20</v>
      </c>
      <c r="F9" t="s">
        <v>62</v>
      </c>
      <c r="G9" t="s">
        <v>35</v>
      </c>
      <c r="H9" t="b">
        <v>1</v>
      </c>
      <c r="I9">
        <v>10</v>
      </c>
      <c r="J9">
        <v>34.066666666666698</v>
      </c>
      <c r="L9">
        <v>51.1</v>
      </c>
      <c r="M9">
        <v>9.7258629999999995E-3</v>
      </c>
      <c r="N9">
        <v>51.1</v>
      </c>
      <c r="O9">
        <v>9.7258629999999995E-3</v>
      </c>
      <c r="P9" s="1" t="s">
        <v>27</v>
      </c>
    </row>
    <row r="10" spans="1:16" ht="29" x14ac:dyDescent="0.35">
      <c r="A10" t="s">
        <v>96</v>
      </c>
      <c r="B10" t="s">
        <v>82</v>
      </c>
      <c r="C10" t="s">
        <v>95</v>
      </c>
      <c r="D10" t="s">
        <v>19</v>
      </c>
      <c r="E10" t="s">
        <v>20</v>
      </c>
      <c r="F10" t="s">
        <v>62</v>
      </c>
      <c r="G10" t="s">
        <v>35</v>
      </c>
      <c r="H10" t="b">
        <v>1</v>
      </c>
      <c r="I10">
        <v>10</v>
      </c>
      <c r="J10">
        <v>122</v>
      </c>
      <c r="L10">
        <v>24.4</v>
      </c>
      <c r="M10">
        <v>4.6440520000000001E-3</v>
      </c>
      <c r="N10">
        <v>24.4</v>
      </c>
      <c r="O10">
        <v>4.6440520000000001E-3</v>
      </c>
      <c r="P10" s="1" t="s">
        <v>27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/>
  </sheetViews>
  <sheetFormatPr defaultRowHeight="14.5" x14ac:dyDescent="0.35"/>
  <cols>
    <col min="1" max="1" width="24" customWidth="1"/>
    <col min="2" max="2" width="32.08984375" customWidth="1"/>
  </cols>
  <sheetData>
    <row r="1" spans="1:4" x14ac:dyDescent="0.35">
      <c r="A1" s="2" t="s">
        <v>106</v>
      </c>
      <c r="B1" s="2" t="s">
        <v>107</v>
      </c>
    </row>
    <row r="2" spans="1:4" x14ac:dyDescent="0.35">
      <c r="A2" s="3" t="s">
        <v>108</v>
      </c>
      <c r="B2" s="3" t="s">
        <v>108</v>
      </c>
    </row>
    <row r="3" spans="1:4" x14ac:dyDescent="0.35">
      <c r="A3" s="4" t="s">
        <v>109</v>
      </c>
      <c r="B3" s="4" t="s">
        <v>110</v>
      </c>
    </row>
    <row r="4" spans="1:4" x14ac:dyDescent="0.35">
      <c r="A4" s="5" t="s">
        <v>111</v>
      </c>
      <c r="B4" s="5" t="s">
        <v>112</v>
      </c>
    </row>
    <row r="8" spans="1:4" x14ac:dyDescent="0.35">
      <c r="C8" s="6" t="s">
        <v>126</v>
      </c>
      <c r="D8" s="6" t="s">
        <v>127</v>
      </c>
    </row>
    <row r="9" spans="1:4" x14ac:dyDescent="0.35">
      <c r="C9" t="s">
        <v>19</v>
      </c>
    </row>
    <row r="10" spans="1:4" x14ac:dyDescent="0.35">
      <c r="A10" s="6" t="s">
        <v>1</v>
      </c>
      <c r="B10" s="6" t="s">
        <v>2</v>
      </c>
      <c r="C10" t="s">
        <v>12</v>
      </c>
      <c r="D10" t="s">
        <v>14</v>
      </c>
    </row>
    <row r="11" spans="1:4" x14ac:dyDescent="0.35">
      <c r="A11" t="s">
        <v>17</v>
      </c>
      <c r="B11" t="s">
        <v>18</v>
      </c>
      <c r="C11">
        <v>3.9821943909722185E-2</v>
      </c>
      <c r="D11">
        <v>3.7535803611111071E-2</v>
      </c>
    </row>
    <row r="12" spans="1:4" x14ac:dyDescent="0.35">
      <c r="A12" t="s">
        <v>31</v>
      </c>
      <c r="B12" t="s">
        <v>32</v>
      </c>
      <c r="C12">
        <v>0.61808899017013919</v>
      </c>
      <c r="D12">
        <v>0.61707739586458366</v>
      </c>
    </row>
    <row r="13" spans="1:4" x14ac:dyDescent="0.35">
      <c r="B13" t="s">
        <v>39</v>
      </c>
      <c r="C13">
        <v>0.97858114530555196</v>
      </c>
      <c r="D13">
        <v>0.97858114530555196</v>
      </c>
    </row>
    <row r="14" spans="1:4" x14ac:dyDescent="0.35">
      <c r="A14" t="s">
        <v>42</v>
      </c>
      <c r="B14" t="s">
        <v>43</v>
      </c>
      <c r="C14">
        <v>8.1408208819444244E-2</v>
      </c>
      <c r="D14">
        <v>7.4782580277777594E-2</v>
      </c>
    </row>
    <row r="15" spans="1:4" x14ac:dyDescent="0.35">
      <c r="B15" t="s">
        <v>47</v>
      </c>
      <c r="C15">
        <v>2.4845195968055532E-2</v>
      </c>
      <c r="D15">
        <v>2.34991472222222E-2</v>
      </c>
    </row>
    <row r="16" spans="1:4" x14ac:dyDescent="0.35">
      <c r="B16" t="s">
        <v>54</v>
      </c>
      <c r="C16">
        <v>1.8874716111111109E-3</v>
      </c>
      <c r="D16">
        <v>0</v>
      </c>
    </row>
    <row r="17" spans="1:4" x14ac:dyDescent="0.35">
      <c r="B17" t="s">
        <v>57</v>
      </c>
      <c r="C17">
        <v>8.0638517499999861E-3</v>
      </c>
      <c r="D17">
        <v>6.9743458333333197E-3</v>
      </c>
    </row>
    <row r="18" spans="1:4" x14ac:dyDescent="0.35">
      <c r="B18" t="s">
        <v>61</v>
      </c>
      <c r="C18">
        <v>4.8262825000000002E-2</v>
      </c>
      <c r="D18">
        <v>4.7668685000000002E-2</v>
      </c>
    </row>
    <row r="19" spans="1:4" x14ac:dyDescent="0.35">
      <c r="A19" t="s">
        <v>82</v>
      </c>
      <c r="B19" t="s">
        <v>83</v>
      </c>
      <c r="C19">
        <v>3.4967E-4</v>
      </c>
      <c r="D19">
        <v>3.4967E-4</v>
      </c>
    </row>
    <row r="20" spans="1:4" x14ac:dyDescent="0.35">
      <c r="B20" t="s">
        <v>88</v>
      </c>
      <c r="C20">
        <v>5.8695999999999998E-4</v>
      </c>
      <c r="D20">
        <v>4.6816000000000002E-4</v>
      </c>
    </row>
    <row r="21" spans="1:4" x14ac:dyDescent="0.35">
      <c r="B21" t="s">
        <v>92</v>
      </c>
      <c r="C21">
        <v>0</v>
      </c>
      <c r="D21">
        <v>0</v>
      </c>
    </row>
    <row r="22" spans="1:4" x14ac:dyDescent="0.35">
      <c r="B22" t="s">
        <v>95</v>
      </c>
      <c r="C22">
        <v>7.4830520000000005E-3</v>
      </c>
      <c r="D22">
        <v>7.4830520000000005E-3</v>
      </c>
    </row>
    <row r="23" spans="1:4" x14ac:dyDescent="0.35">
      <c r="A23" t="s">
        <v>99</v>
      </c>
      <c r="B23" t="s">
        <v>100</v>
      </c>
      <c r="C23">
        <v>0.13163688202361101</v>
      </c>
      <c r="D23">
        <v>0.13163688202361101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/>
  </sheetViews>
  <sheetFormatPr defaultRowHeight="14.5" x14ac:dyDescent="0.35"/>
  <cols>
    <col min="1" max="1" width="24.6328125" customWidth="1"/>
    <col min="2" max="2" width="33.7265625" customWidth="1"/>
    <col min="3" max="3" width="31.36328125" customWidth="1"/>
    <col min="4" max="4" width="29.54296875" customWidth="1"/>
  </cols>
  <sheetData>
    <row r="1" spans="1:4" x14ac:dyDescent="0.35">
      <c r="A1" s="2" t="s">
        <v>113</v>
      </c>
      <c r="B1" s="2" t="s">
        <v>114</v>
      </c>
      <c r="C1" s="2" t="s">
        <v>115</v>
      </c>
      <c r="D1" s="2" t="s">
        <v>116</v>
      </c>
    </row>
    <row r="2" spans="1:4" x14ac:dyDescent="0.35">
      <c r="A2" s="3" t="s">
        <v>117</v>
      </c>
      <c r="B2" s="3" t="s">
        <v>117</v>
      </c>
      <c r="C2" s="3" t="s">
        <v>117</v>
      </c>
      <c r="D2" s="3" t="s">
        <v>117</v>
      </c>
    </row>
    <row r="3" spans="1:4" x14ac:dyDescent="0.35">
      <c r="A3" s="4" t="s">
        <v>118</v>
      </c>
      <c r="B3" s="4" t="s">
        <v>119</v>
      </c>
      <c r="C3" s="4" t="s">
        <v>120</v>
      </c>
      <c r="D3" s="4" t="s">
        <v>121</v>
      </c>
    </row>
    <row r="4" spans="1:4" x14ac:dyDescent="0.35">
      <c r="A4" s="5" t="s">
        <v>122</v>
      </c>
      <c r="B4" s="5" t="s">
        <v>123</v>
      </c>
      <c r="C4" s="5" t="s">
        <v>124</v>
      </c>
      <c r="D4" s="5" t="s">
        <v>125</v>
      </c>
    </row>
    <row r="8" spans="1:4" x14ac:dyDescent="0.35">
      <c r="A8" s="6" t="s">
        <v>11</v>
      </c>
      <c r="C8" s="6" t="s">
        <v>126</v>
      </c>
      <c r="D8" s="6" t="s">
        <v>15</v>
      </c>
    </row>
    <row r="9" spans="1:4" x14ac:dyDescent="0.35">
      <c r="C9" t="s">
        <v>19</v>
      </c>
    </row>
    <row r="10" spans="1:4" x14ac:dyDescent="0.35">
      <c r="A10" s="6" t="s">
        <v>1</v>
      </c>
      <c r="B10" s="6" t="s">
        <v>2</v>
      </c>
      <c r="C10" t="s">
        <v>27</v>
      </c>
    </row>
    <row r="11" spans="1:4" x14ac:dyDescent="0.35">
      <c r="A11" t="s">
        <v>17</v>
      </c>
      <c r="B11" t="s">
        <v>18</v>
      </c>
      <c r="C11">
        <v>43.982361111111103</v>
      </c>
    </row>
    <row r="12" spans="1:4" x14ac:dyDescent="0.35">
      <c r="A12" t="s">
        <v>31</v>
      </c>
      <c r="B12" t="s">
        <v>32</v>
      </c>
      <c r="C12">
        <v>6627.9847395833322</v>
      </c>
    </row>
    <row r="13" spans="1:4" x14ac:dyDescent="0.35">
      <c r="B13" t="s">
        <v>39</v>
      </c>
      <c r="C13">
        <v>10954.1211944444</v>
      </c>
    </row>
    <row r="14" spans="1:4" x14ac:dyDescent="0.35">
      <c r="A14" t="s">
        <v>42</v>
      </c>
      <c r="B14" t="s">
        <v>43</v>
      </c>
      <c r="C14">
        <v>351.858888888889</v>
      </c>
    </row>
    <row r="15" spans="1:4" x14ac:dyDescent="0.35">
      <c r="B15" t="s">
        <v>61</v>
      </c>
      <c r="C15">
        <v>92</v>
      </c>
    </row>
    <row r="16" spans="1:4" x14ac:dyDescent="0.35">
      <c r="A16" t="s">
        <v>82</v>
      </c>
      <c r="B16" t="s">
        <v>95</v>
      </c>
      <c r="C16">
        <v>24.4</v>
      </c>
    </row>
    <row r="30" spans="1:1" x14ac:dyDescent="0.35">
      <c r="A30" s="2" t="s">
        <v>106</v>
      </c>
    </row>
    <row r="31" spans="1:1" x14ac:dyDescent="0.35">
      <c r="A31" s="3" t="s">
        <v>108</v>
      </c>
    </row>
    <row r="32" spans="1:1" x14ac:dyDescent="0.35">
      <c r="A32" s="4" t="s">
        <v>109</v>
      </c>
    </row>
    <row r="33" spans="1:3" x14ac:dyDescent="0.35">
      <c r="A33" s="5" t="s">
        <v>111</v>
      </c>
    </row>
    <row r="37" spans="1:3" x14ac:dyDescent="0.35">
      <c r="A37" s="6" t="s">
        <v>12</v>
      </c>
      <c r="C37" s="6" t="s">
        <v>126</v>
      </c>
    </row>
    <row r="38" spans="1:3" x14ac:dyDescent="0.35">
      <c r="A38" s="6" t="s">
        <v>1</v>
      </c>
      <c r="B38" s="6" t="s">
        <v>2</v>
      </c>
      <c r="C38" t="s">
        <v>19</v>
      </c>
    </row>
    <row r="39" spans="1:3" x14ac:dyDescent="0.35">
      <c r="A39" t="s">
        <v>17</v>
      </c>
      <c r="B39" t="s">
        <v>18</v>
      </c>
      <c r="C39">
        <v>3.9821943909722185E-2</v>
      </c>
    </row>
    <row r="40" spans="1:3" x14ac:dyDescent="0.35">
      <c r="A40" t="s">
        <v>31</v>
      </c>
      <c r="B40" t="s">
        <v>32</v>
      </c>
      <c r="C40">
        <v>0.61808899017013919</v>
      </c>
    </row>
    <row r="41" spans="1:3" x14ac:dyDescent="0.35">
      <c r="B41" t="s">
        <v>39</v>
      </c>
      <c r="C41">
        <v>0.97858114530555196</v>
      </c>
    </row>
    <row r="42" spans="1:3" x14ac:dyDescent="0.35">
      <c r="A42" t="s">
        <v>42</v>
      </c>
      <c r="B42" t="s">
        <v>43</v>
      </c>
      <c r="C42">
        <v>8.1408208819444244E-2</v>
      </c>
    </row>
    <row r="43" spans="1:3" x14ac:dyDescent="0.35">
      <c r="B43" t="s">
        <v>47</v>
      </c>
      <c r="C43">
        <v>2.4845195968055532E-2</v>
      </c>
    </row>
    <row r="44" spans="1:3" x14ac:dyDescent="0.35">
      <c r="B44" t="s">
        <v>54</v>
      </c>
      <c r="C44">
        <v>1.8874716111111109E-3</v>
      </c>
    </row>
    <row r="45" spans="1:3" x14ac:dyDescent="0.35">
      <c r="B45" t="s">
        <v>57</v>
      </c>
      <c r="C45">
        <v>8.0638517499999861E-3</v>
      </c>
    </row>
    <row r="46" spans="1:3" x14ac:dyDescent="0.35">
      <c r="B46" t="s">
        <v>61</v>
      </c>
      <c r="C46">
        <v>4.8262825000000002E-2</v>
      </c>
    </row>
    <row r="47" spans="1:3" x14ac:dyDescent="0.35">
      <c r="A47" t="s">
        <v>82</v>
      </c>
      <c r="B47" t="s">
        <v>83</v>
      </c>
      <c r="C47">
        <v>3.4967E-4</v>
      </c>
    </row>
    <row r="48" spans="1:3" x14ac:dyDescent="0.35">
      <c r="B48" t="s">
        <v>88</v>
      </c>
      <c r="C48">
        <v>5.8695999999999998E-4</v>
      </c>
    </row>
    <row r="49" spans="1:3" x14ac:dyDescent="0.35">
      <c r="B49" t="s">
        <v>92</v>
      </c>
      <c r="C49">
        <v>0</v>
      </c>
    </row>
    <row r="50" spans="1:3" x14ac:dyDescent="0.35">
      <c r="B50" t="s">
        <v>95</v>
      </c>
      <c r="C50">
        <v>7.4830520000000005E-3</v>
      </c>
    </row>
    <row r="51" spans="1:3" x14ac:dyDescent="0.35">
      <c r="A51" t="s">
        <v>99</v>
      </c>
      <c r="B51" t="s">
        <v>100</v>
      </c>
      <c r="C51">
        <v>0.13163688202361101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Raeburn</cp:lastModifiedBy>
  <dcterms:created xsi:type="dcterms:W3CDTF">2025-04-23T23:11:02Z</dcterms:created>
  <dcterms:modified xsi:type="dcterms:W3CDTF">2025-04-23T23:11:14Z</dcterms:modified>
</cp:coreProperties>
</file>