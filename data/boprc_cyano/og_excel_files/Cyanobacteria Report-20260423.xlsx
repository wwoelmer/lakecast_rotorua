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boprc-my.sharepoint.com/personal/amber_sutherland_boprc_govt_nz/Documents/Desktop/Amber Sutherland 2025-2026/Cyanobacteria weekly results 2025-2026/"/>
    </mc:Choice>
  </mc:AlternateContent>
  <xr:revisionPtr revIDLastSave="0" documentId="8_{0B789F4F-A34D-49C7-B645-21067E4D167F}" xr6:coauthVersionLast="47" xr6:coauthVersionMax="47" xr10:uidLastSave="{00000000-0000-0000-0000-000000000000}"/>
  <bookViews>
    <workbookView xWindow="-9440" yWindow="11890" windowWidth="19420" windowHeight="11500" activeTab="3" xr2:uid="{00000000-000D-0000-FFFF-FFFF00000000}"/>
  </bookViews>
  <sheets>
    <sheet name="Lakes Data" sheetId="2" r:id="rId1"/>
    <sheet name="Toxin Data" sheetId="3" r:id="rId2"/>
    <sheet name="Warnings" sheetId="4" r:id="rId3"/>
    <sheet name="Warnings New" sheetId="5" r:id="rId4"/>
  </sheets>
  <calcPr calcId="0"/>
  <pivotCaches>
    <pivotCache cacheId="8" r:id="rId5"/>
    <pivotCache cacheId="15" r:id="rId6"/>
    <pivotCache cacheId="21" r:id="rId7"/>
  </pivotCaches>
</workbook>
</file>

<file path=xl/sharedStrings.xml><?xml version="1.0" encoding="utf-8"?>
<sst xmlns="http://schemas.openxmlformats.org/spreadsheetml/2006/main" count="2572" uniqueCount="324">
  <si>
    <t>SampleId</t>
  </si>
  <si>
    <t>Location</t>
  </si>
  <si>
    <t>Site</t>
  </si>
  <si>
    <t>SampleDate</t>
  </si>
  <si>
    <t>MicroscopeType</t>
  </si>
  <si>
    <t>WholePlate</t>
  </si>
  <si>
    <t>Species</t>
  </si>
  <si>
    <t>IsSpeciesToxic</t>
  </si>
  <si>
    <t>VolumeInMillilitres</t>
  </si>
  <si>
    <t>Average</t>
  </si>
  <si>
    <t>NumberOfColonies</t>
  </si>
  <si>
    <t>CellsPerMl</t>
  </si>
  <si>
    <t>TotalBioVolume</t>
  </si>
  <si>
    <t>PotentiallyToxicCellMl</t>
  </si>
  <si>
    <t>PotentiallyToxicBioVolume</t>
  </si>
  <si>
    <t>ToxinCluster</t>
  </si>
  <si>
    <t>6007.1</t>
  </si>
  <si>
    <t>Rotoehu</t>
  </si>
  <si>
    <t>Kennedy Bay</t>
  </si>
  <si>
    <t>20/04/2026</t>
  </si>
  <si>
    <t>20A</t>
  </si>
  <si>
    <t>Whole Plate</t>
  </si>
  <si>
    <t>Microcystis sp</t>
  </si>
  <si>
    <t xml:space="preserve">Microcystis spp.
</t>
  </si>
  <si>
    <t>6007.2</t>
  </si>
  <si>
    <t>Microcystis wesenbergii</t>
  </si>
  <si>
    <t>6007.3</t>
  </si>
  <si>
    <t>Aphanocapsa sp</t>
  </si>
  <si>
    <t>6007.4</t>
  </si>
  <si>
    <t>Pseudanabaena sp.</t>
  </si>
  <si>
    <t>6007.5</t>
  </si>
  <si>
    <t>Dolichospermum sp</t>
  </si>
  <si>
    <t>6006.1</t>
  </si>
  <si>
    <t>Otautu</t>
  </si>
  <si>
    <t>6006.2</t>
  </si>
  <si>
    <t>6006.3</t>
  </si>
  <si>
    <t>Oscillatoria sp</t>
  </si>
  <si>
    <t>6006.4</t>
  </si>
  <si>
    <t>6006.5</t>
  </si>
  <si>
    <t>6006.6</t>
  </si>
  <si>
    <t>6006.7</t>
  </si>
  <si>
    <t>Dolichospermum spiroides</t>
  </si>
  <si>
    <t>6013.1</t>
  </si>
  <si>
    <t>Rotoiti</t>
  </si>
  <si>
    <t>Hinehopu</t>
  </si>
  <si>
    <t>Dolichospermum planctonicum </t>
  </si>
  <si>
    <t>6013.2</t>
  </si>
  <si>
    <t>6013.3</t>
  </si>
  <si>
    <t>6013.4</t>
  </si>
  <si>
    <t xml:space="preserve">Limnococcus limneticus
</t>
  </si>
  <si>
    <t>6008.1</t>
  </si>
  <si>
    <t>Okawa Bay</t>
  </si>
  <si>
    <t>6008.2</t>
  </si>
  <si>
    <t>6008.3</t>
  </si>
  <si>
    <t>Dolichospermum lemmermannii</t>
  </si>
  <si>
    <t>6008.4</t>
  </si>
  <si>
    <t>6008.5</t>
  </si>
  <si>
    <t>Geitlerinema sp</t>
  </si>
  <si>
    <t>6008.6</t>
  </si>
  <si>
    <t>6008.7</t>
  </si>
  <si>
    <t>Dolichospermum circinale</t>
  </si>
  <si>
    <t>6008.8</t>
  </si>
  <si>
    <t>6004.1</t>
  </si>
  <si>
    <t>Okere Arm</t>
  </si>
  <si>
    <t>160</t>
  </si>
  <si>
    <t>6004.2</t>
  </si>
  <si>
    <t>6004.3</t>
  </si>
  <si>
    <t>6004.4</t>
  </si>
  <si>
    <t>6012.1</t>
  </si>
  <si>
    <t>Otaramarae</t>
  </si>
  <si>
    <t>6012.2</t>
  </si>
  <si>
    <t>6012.3</t>
  </si>
  <si>
    <t>6011.1</t>
  </si>
  <si>
    <t>Te Weta</t>
  </si>
  <si>
    <t>6011.2</t>
  </si>
  <si>
    <t>6011.3</t>
  </si>
  <si>
    <t>6011.4</t>
  </si>
  <si>
    <t>6011.5</t>
  </si>
  <si>
    <t>6011.6</t>
  </si>
  <si>
    <t>6011.7</t>
  </si>
  <si>
    <t>Anabaena torulosa</t>
  </si>
  <si>
    <t>6010.1</t>
  </si>
  <si>
    <t>Rotorua</t>
  </si>
  <si>
    <t>Hamurana</t>
  </si>
  <si>
    <t>6010.2</t>
  </si>
  <si>
    <t>6005.1</t>
  </si>
  <si>
    <t>Holdens Bay</t>
  </si>
  <si>
    <t>6005.2</t>
  </si>
  <si>
    <t>6005.3</t>
  </si>
  <si>
    <t>6009.1</t>
  </si>
  <si>
    <t>Ngongotaha</t>
  </si>
  <si>
    <t>6009.2</t>
  </si>
  <si>
    <t>6003.1</t>
  </si>
  <si>
    <t>Ohau Channel</t>
  </si>
  <si>
    <t>6003.2</t>
  </si>
  <si>
    <t>6014.1</t>
  </si>
  <si>
    <t>Lake Okaro</t>
  </si>
  <si>
    <t>Boat ramp</t>
  </si>
  <si>
    <t>6014.2</t>
  </si>
  <si>
    <t>6014.3</t>
  </si>
  <si>
    <t>Woronichinia naegeliana</t>
  </si>
  <si>
    <t>6014.4</t>
  </si>
  <si>
    <t>6014.5</t>
  </si>
  <si>
    <t>6014.6</t>
  </si>
  <si>
    <t>6014.7</t>
  </si>
  <si>
    <t>5996.1</t>
  </si>
  <si>
    <t>14/04/2026</t>
  </si>
  <si>
    <t>5996.2</t>
  </si>
  <si>
    <t>5996.3</t>
  </si>
  <si>
    <t>5996.4</t>
  </si>
  <si>
    <t>5996.5</t>
  </si>
  <si>
    <t>6002.1</t>
  </si>
  <si>
    <t>6002.2</t>
  </si>
  <si>
    <t>6002.3</t>
  </si>
  <si>
    <t>Phormidium sp</t>
  </si>
  <si>
    <t>6002.4</t>
  </si>
  <si>
    <t>6002.5</t>
  </si>
  <si>
    <t>6001.1</t>
  </si>
  <si>
    <t>6001.2</t>
  </si>
  <si>
    <t>6001.3</t>
  </si>
  <si>
    <t>5995.1</t>
  </si>
  <si>
    <t>5995.2</t>
  </si>
  <si>
    <t>5995.3</t>
  </si>
  <si>
    <t>5995.4</t>
  </si>
  <si>
    <t>5995.5</t>
  </si>
  <si>
    <t>5995.6</t>
  </si>
  <si>
    <t>5995.7</t>
  </si>
  <si>
    <t>Coelosphaerium cf natans</t>
  </si>
  <si>
    <t>5995.8</t>
  </si>
  <si>
    <t>5995.9</t>
  </si>
  <si>
    <t>5995.10</t>
  </si>
  <si>
    <t>5995.11</t>
  </si>
  <si>
    <t>5994.1</t>
  </si>
  <si>
    <t>5994.2</t>
  </si>
  <si>
    <t>5994.3</t>
  </si>
  <si>
    <t>5998.1</t>
  </si>
  <si>
    <t>5998.2</t>
  </si>
  <si>
    <t>5998.3</t>
  </si>
  <si>
    <t>5998.4</t>
  </si>
  <si>
    <t>5997.1</t>
  </si>
  <si>
    <t>5997.2</t>
  </si>
  <si>
    <t>5997.3</t>
  </si>
  <si>
    <t>5997.4</t>
  </si>
  <si>
    <t>5997.5</t>
  </si>
  <si>
    <t>Dolichospermum smithii</t>
  </si>
  <si>
    <t>5997.6</t>
  </si>
  <si>
    <t>5993.1</t>
  </si>
  <si>
    <t>5993.2</t>
  </si>
  <si>
    <t>5993.3</t>
  </si>
  <si>
    <t>5992.1</t>
  </si>
  <si>
    <t>5992.2</t>
  </si>
  <si>
    <t>5992.3</t>
  </si>
  <si>
    <t>5992.4</t>
  </si>
  <si>
    <t>5992.5</t>
  </si>
  <si>
    <t>5999.1</t>
  </si>
  <si>
    <t>5999.2</t>
  </si>
  <si>
    <t>5991.1</t>
  </si>
  <si>
    <t>5991.2</t>
  </si>
  <si>
    <t>5991.3</t>
  </si>
  <si>
    <t>6000.1</t>
  </si>
  <si>
    <t>6000.2</t>
  </si>
  <si>
    <t>6000.3</t>
  </si>
  <si>
    <t>6000.4</t>
  </si>
  <si>
    <t>6000.5</t>
  </si>
  <si>
    <t>6000.6</t>
  </si>
  <si>
    <t>6000.7</t>
  </si>
  <si>
    <t>5984.1</t>
  </si>
  <si>
    <t>06/04/2026</t>
  </si>
  <si>
    <t>5984.2</t>
  </si>
  <si>
    <t>5984.3</t>
  </si>
  <si>
    <t>5984.4</t>
  </si>
  <si>
    <t>5984.5</t>
  </si>
  <si>
    <t>5984.6</t>
  </si>
  <si>
    <t>5984.7</t>
  </si>
  <si>
    <t>5985.1</t>
  </si>
  <si>
    <t>5985.2</t>
  </si>
  <si>
    <t>5985.3</t>
  </si>
  <si>
    <t>5985.4</t>
  </si>
  <si>
    <t>5985.5</t>
  </si>
  <si>
    <t>5985.6</t>
  </si>
  <si>
    <t>5985.7</t>
  </si>
  <si>
    <t>5985.8</t>
  </si>
  <si>
    <t>5985.9</t>
  </si>
  <si>
    <t>5989.1</t>
  </si>
  <si>
    <t>5989.2</t>
  </si>
  <si>
    <t>5989.3</t>
  </si>
  <si>
    <t>5989.4</t>
  </si>
  <si>
    <t>5989.5</t>
  </si>
  <si>
    <t>5982.1</t>
  </si>
  <si>
    <t>5982.2</t>
  </si>
  <si>
    <t>5982.3</t>
  </si>
  <si>
    <t>5982.4</t>
  </si>
  <si>
    <t>5982.5</t>
  </si>
  <si>
    <t>5982.6</t>
  </si>
  <si>
    <t>5982.7</t>
  </si>
  <si>
    <t>5982.8</t>
  </si>
  <si>
    <t>5982.9</t>
  </si>
  <si>
    <t>5980.1</t>
  </si>
  <si>
    <t>5980.2</t>
  </si>
  <si>
    <t>5980.3</t>
  </si>
  <si>
    <t>5980.4</t>
  </si>
  <si>
    <t>5987.1</t>
  </si>
  <si>
    <t>5987.2</t>
  </si>
  <si>
    <t>5987.3</t>
  </si>
  <si>
    <t>5987.4</t>
  </si>
  <si>
    <t>5987.5</t>
  </si>
  <si>
    <t>5987.6</t>
  </si>
  <si>
    <t>5986.1</t>
  </si>
  <si>
    <t>5986.2</t>
  </si>
  <si>
    <t>5986.3</t>
  </si>
  <si>
    <t>5986.4</t>
  </si>
  <si>
    <t>5988.1</t>
  </si>
  <si>
    <t>5988.2</t>
  </si>
  <si>
    <t>5988.3</t>
  </si>
  <si>
    <t>5979.1</t>
  </si>
  <si>
    <t>5979.2</t>
  </si>
  <si>
    <t>5981.1</t>
  </si>
  <si>
    <t>5981.2</t>
  </si>
  <si>
    <t>5981.3</t>
  </si>
  <si>
    <t>5981.4</t>
  </si>
  <si>
    <t>5981.5</t>
  </si>
  <si>
    <t>5983.1</t>
  </si>
  <si>
    <t>5983.2</t>
  </si>
  <si>
    <t>5983.3</t>
  </si>
  <si>
    <t>5983.4</t>
  </si>
  <si>
    <t>5990.1</t>
  </si>
  <si>
    <t>5990.2</t>
  </si>
  <si>
    <t>5990.3</t>
  </si>
  <si>
    <t>5990.4</t>
  </si>
  <si>
    <t>5990.5</t>
  </si>
  <si>
    <t>5990.6</t>
  </si>
  <si>
    <t>5990.7</t>
  </si>
  <si>
    <t>5973.1</t>
  </si>
  <si>
    <t>30/03/2026</t>
  </si>
  <si>
    <t>5973.2</t>
  </si>
  <si>
    <t>5973.3</t>
  </si>
  <si>
    <t>5973.4</t>
  </si>
  <si>
    <t>5973.5</t>
  </si>
  <si>
    <t>5973.6</t>
  </si>
  <si>
    <t>5973.7</t>
  </si>
  <si>
    <t>5973.8</t>
  </si>
  <si>
    <t>5975.1</t>
  </si>
  <si>
    <t>5975.2</t>
  </si>
  <si>
    <t>5975.3</t>
  </si>
  <si>
    <t>5975.4</t>
  </si>
  <si>
    <t>5975.5</t>
  </si>
  <si>
    <t>5975.6</t>
  </si>
  <si>
    <t>5975.7</t>
  </si>
  <si>
    <t>5975.8</t>
  </si>
  <si>
    <t>5975.9</t>
  </si>
  <si>
    <t>5974.1</t>
  </si>
  <si>
    <t>5974.2</t>
  </si>
  <si>
    <t>5974.3</t>
  </si>
  <si>
    <t>5974.4</t>
  </si>
  <si>
    <t>5974.5</t>
  </si>
  <si>
    <t>5972.1</t>
  </si>
  <si>
    <t>5972.2</t>
  </si>
  <si>
    <t>5972.3</t>
  </si>
  <si>
    <t>5972.4</t>
  </si>
  <si>
    <t>5972.5</t>
  </si>
  <si>
    <t>5972.6</t>
  </si>
  <si>
    <t>5972.7</t>
  </si>
  <si>
    <t>5972.8</t>
  </si>
  <si>
    <t>5968.1</t>
  </si>
  <si>
    <t>5968.2</t>
  </si>
  <si>
    <t>5968.3</t>
  </si>
  <si>
    <t>5968.4</t>
  </si>
  <si>
    <t>5968.5</t>
  </si>
  <si>
    <t>5978.1</t>
  </si>
  <si>
    <t>5978.3</t>
  </si>
  <si>
    <t>5978.4</t>
  </si>
  <si>
    <t>5978.5</t>
  </si>
  <si>
    <t>5976.1</t>
  </si>
  <si>
    <t>5976.2</t>
  </si>
  <si>
    <t>5976.3</t>
  </si>
  <si>
    <t>5976.4</t>
  </si>
  <si>
    <t>5976.5</t>
  </si>
  <si>
    <t>5976.6</t>
  </si>
  <si>
    <t>5976.7</t>
  </si>
  <si>
    <t>5976.8</t>
  </si>
  <si>
    <t>5971.1</t>
  </si>
  <si>
    <t>5971.2</t>
  </si>
  <si>
    <t>5971.3</t>
  </si>
  <si>
    <t>5971.4</t>
  </si>
  <si>
    <t>5969.1</t>
  </si>
  <si>
    <t>5969.2</t>
  </si>
  <si>
    <t>5969.3</t>
  </si>
  <si>
    <t>5969.4</t>
  </si>
  <si>
    <t>5969.5</t>
  </si>
  <si>
    <t>5970.1</t>
  </si>
  <si>
    <t>5970.2</t>
  </si>
  <si>
    <t>5970.3</t>
  </si>
  <si>
    <t>5970.4</t>
  </si>
  <si>
    <t>5967.1</t>
  </si>
  <si>
    <t>5967.2</t>
  </si>
  <si>
    <t>5967.3</t>
  </si>
  <si>
    <t>5967.4</t>
  </si>
  <si>
    <t>5977.1</t>
  </si>
  <si>
    <t>5977.2</t>
  </si>
  <si>
    <t>5977.3</t>
  </si>
  <si>
    <t>5977.4</t>
  </si>
  <si>
    <t>5977.5</t>
  </si>
  <si>
    <t>Total Biovolume (mm3/L)</t>
  </si>
  <si>
    <t>Potential toxic Biovolume (mm3/L)</t>
  </si>
  <si>
    <t>&lt; 0.5</t>
  </si>
  <si>
    <t>0.5 - 9.99</t>
  </si>
  <si>
    <t>0.5 - 1.8</t>
  </si>
  <si>
    <t>&gt;= 10</t>
  </si>
  <si>
    <t>&gt; 1.8</t>
  </si>
  <si>
    <t>Mycrocystis spp (cells/mL)</t>
  </si>
  <si>
    <t>Cuspidothrix issatschenkoi (cells/mL)</t>
  </si>
  <si>
    <t>Raphidiopsis raciborskii (cells/mL)</t>
  </si>
  <si>
    <t>Nodularia spumigena (cells/mL)</t>
  </si>
  <si>
    <t>&lt; 500</t>
  </si>
  <si>
    <t>500 to &lt; 30000</t>
  </si>
  <si>
    <t>500 to &lt; 100000</t>
  </si>
  <si>
    <t>500 to &lt; 5000</t>
  </si>
  <si>
    <t>500 to &lt; 10000</t>
  </si>
  <si>
    <t>&gt;= 30000</t>
  </si>
  <si>
    <t>&gt;= 100000</t>
  </si>
  <si>
    <t>&gt;= 5000</t>
  </si>
  <si>
    <t>&gt;= 10000</t>
  </si>
  <si>
    <t>Dates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</si>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</sst>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4" x14ac:knownFonts="1">
    <font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DFF2F"/>
      </patternFill>
    </fill>
    <fill>
      <patternFill patternType="solid">
        <fgColor rgb="FFFFA500"/>
      </patternFill>
    </fill>
    <fill>
      <patternFill patternType="solid">
        <fgColor rgb="FFFF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20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0" fontId="1" fillId="2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0" fontId="1" fillId="4" borderId="0" xfId="0" applyNumberFormat="1" applyFont="1" applyFill="1" applyAlignment="1" applyProtection="1"/>
    <xf numFmtId="0" fontId="1" fillId="5" borderId="0" xfId="0" applyNumberFormat="1" applyFont="1" applyFill="1" applyAlignment="1" applyProtection="1"/>
    <xf numFmtId="0" fontId="0" fillId="0" borderId="0" xfId="0" pivotButton="1" applyNumberFormat="1" applyFill="1" applyAlignment="1" applyProtection="1"/>
    <xf numFmtId="0" fontId="3" fillId="6" borderId="0" xfId="0" applyFont="1" applyFill="1"/>
    <xf numFmtId="0" fontId="3" fillId="6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6" borderId="0" xfId="0" applyNumberFormat="1" applyFont="1" applyFill="1" applyAlignment="1"/>
    <xf numFmtId="0" fontId="3" fillId="6" borderId="1" xfId="0" applyNumberFormat="1" applyFont="1" applyFill="1" applyBorder="1" applyAlignment="1"/>
    <xf numFmtId="1" fontId="0" fillId="7" borderId="0" xfId="0" applyNumberFormat="1" applyFill="1" applyAlignment="1" applyProtection="1"/>
    <xf numFmtId="1" fontId="0" fillId="8" borderId="0" xfId="0" applyNumberFormat="1" applyFill="1" applyAlignment="1" applyProtection="1"/>
    <xf numFmtId="168" fontId="0" fillId="0" borderId="0" xfId="0" applyNumberFormat="1" applyFill="1" applyAlignment="1" applyProtection="1">
      <alignment horizontal="center"/>
    </xf>
    <xf numFmtId="168" fontId="2" fillId="7" borderId="0" xfId="0" applyNumberFormat="1" applyFont="1" applyFill="1" applyAlignment="1" applyProtection="1">
      <alignment horizontal="center"/>
    </xf>
    <xf numFmtId="168" fontId="0" fillId="7" borderId="0" xfId="0" applyNumberFormat="1" applyFill="1" applyAlignment="1" applyProtection="1">
      <alignment horizontal="center"/>
    </xf>
    <xf numFmtId="168" fontId="0" fillId="8" borderId="0" xfId="0" applyNumberFormat="1" applyFill="1" applyAlignment="1" applyProtection="1">
      <alignment horizontal="center"/>
    </xf>
  </cellXfs>
  <cellStyles count="1">
    <cellStyle name="Normal" xfId="0" builtinId="0"/>
  </cellStyles>
  <dxfs count="51"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ill>
        <patternFill patternType="solid">
          <bgColor rgb="FF99FF33"/>
        </patternFill>
      </fill>
    </dxf>
    <dxf>
      <font>
        <color rgb="FFFF0000"/>
      </font>
    </dxf>
    <dxf>
      <font>
        <color theme="1"/>
      </font>
    </dxf>
    <dxf>
      <font>
        <color rgb="FFFF0000"/>
      </font>
    </dxf>
    <dxf>
      <font>
        <color theme="1"/>
      </font>
    </dxf>
    <dxf>
      <numFmt numFmtId="168" formatCode="0.000"/>
    </dxf>
    <dxf>
      <numFmt numFmtId="168" formatCode="0.000"/>
    </dxf>
    <dxf>
      <numFmt numFmtId="168" formatCode="0.000"/>
    </dxf>
    <dxf>
      <alignment horizontal="center"/>
    </dxf>
    <dxf>
      <alignment horizontal="center"/>
    </dxf>
    <dxf>
      <numFmt numFmtId="167" formatCode="0.0000"/>
    </dxf>
    <dxf>
      <numFmt numFmtId="168" formatCode="0.000"/>
    </dxf>
    <dxf>
      <numFmt numFmtId="166" formatCode="0.00000"/>
    </dxf>
    <dxf>
      <numFmt numFmtId="165" formatCode="0.000000"/>
    </dxf>
    <dxf>
      <numFmt numFmtId="164" formatCode="0.0000000"/>
    </dxf>
    <dxf>
      <numFmt numFmtId="167" formatCode="0.0000"/>
    </dxf>
    <dxf>
      <numFmt numFmtId="168" formatCode="0.000"/>
    </dxf>
    <dxf>
      <numFmt numFmtId="167" formatCode="0.0000"/>
    </dxf>
    <dxf>
      <numFmt numFmtId="168" formatCode="0.000"/>
    </dxf>
    <dxf>
      <numFmt numFmtId="166" formatCode="0.00000"/>
    </dxf>
    <dxf>
      <numFmt numFmtId="166" formatCode="0.00000"/>
    </dxf>
    <dxf>
      <numFmt numFmtId="165" formatCode="0.000000"/>
    </dxf>
    <dxf>
      <numFmt numFmtId="165" formatCode="0.000000"/>
    </dxf>
    <dxf>
      <numFmt numFmtId="164" formatCode="0.0000000"/>
    </dxf>
    <dxf>
      <numFmt numFmtId="164" formatCode="0.0000000"/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35.359538773148" refreshedVersion="8" recordCount="245" xr:uid="{00000000-000A-0000-FFFF-FFFF02000000}">
  <cacheSource type="worksheet">
    <worksheetSource ref="A1:P246" sheet="Lakes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20/04/2026"/>
        <s v="14/04/2026"/>
        <s v="06/04/2026"/>
        <s v="30/03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2.5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0.4" maxValue="17469.7938333333"/>
    </cacheField>
    <cacheField name="TotalBioVolume" numFmtId="0">
      <sharedItems containsSemiMixedTypes="0" containsString="0" containsNumber="1" minValue="0" maxValue="3.32502586029833"/>
    </cacheField>
    <cacheField name="PotentiallyToxicCellMl" numFmtId="0">
      <sharedItems containsSemiMixedTypes="0" containsString="0" containsNumber="1" minValue="0" maxValue="17469.7938333333"/>
    </cacheField>
    <cacheField name="PotentiallyToxicBioVolume" numFmtId="0">
      <sharedItems containsSemiMixedTypes="0" containsString="0" containsNumber="1" minValue="0" maxValue="3.32502586029833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35.359539004632" refreshedVersion="8" recordCount="74" xr:uid="{00000000-000A-0000-FFFF-FFFF01000000}">
  <cacheSource type="worksheet">
    <worksheetSource ref="A1:P75" sheet="Toxin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20/04/2026"/>
        <s v="14/04/2026"/>
        <s v="06/04/2026"/>
        <s v="30/03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15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2.8" maxValue="17469.7938333333"/>
    </cacheField>
    <cacheField name="TotalBioVolume" numFmtId="0">
      <sharedItems containsSemiMixedTypes="0" containsString="0" containsNumber="1" minValue="2.01035999976E-4" maxValue="3.32502586029833"/>
    </cacheField>
    <cacheField name="PotentiallyToxicCellMl" numFmtId="0">
      <sharedItems containsSemiMixedTypes="0" containsString="0" containsNumber="1" minValue="2.8" maxValue="17469.7938333333"/>
    </cacheField>
    <cacheField name="PotentiallyToxicBioVolume" numFmtId="0">
      <sharedItems containsSemiMixedTypes="0" containsString="0" containsNumber="1" minValue="2.01035999976E-4" maxValue="3.32502586029833"/>
    </cacheField>
    <cacheField name="ToxinCluster" numFmtId="0">
      <sharedItems count="2">
        <s v="Microcystis spp._x000a_"/>
        <s v="Microcystis spp._x000d__x000a_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mber Sutherland" refreshedDate="46135.359539236109" refreshedVersion="8" recordCount="245" xr:uid="{00000000-000A-0000-FFFF-FFFF00000000}">
  <cacheSource type="worksheet">
    <worksheetSource ref="A1:P246" sheet="Lakes Data"/>
  </cacheSource>
  <cacheFields count="16">
    <cacheField name="SampleId" numFmtId="0">
      <sharedItems/>
    </cacheField>
    <cacheField name="Location" numFmtId="0">
      <sharedItems count="4">
        <s v="Rotoehu"/>
        <s v="Rotoiti"/>
        <s v="Rotorua"/>
        <s v="Lake Okaro"/>
      </sharedItems>
    </cacheField>
    <cacheField name="Site" numFmtId="0">
      <sharedItems count="12">
        <s v="Kennedy Bay"/>
        <s v="Otautu"/>
        <s v="Hinehopu"/>
        <s v="Okawa Bay"/>
        <s v="Okere Arm"/>
        <s v="Otaramarae"/>
        <s v="Te Weta"/>
        <s v="Hamurana"/>
        <s v="Holdens Bay"/>
        <s v="Ngongotaha"/>
        <s v="Ohau Channel"/>
        <s v="Boat ramp"/>
      </sharedItems>
    </cacheField>
    <cacheField name="SampleDate" numFmtId="0">
      <sharedItems count="4">
        <s v="20/04/2026"/>
        <s v="14/04/2026"/>
        <s v="06/04/2026"/>
        <s v="30/03/2026"/>
      </sharedItems>
    </cacheField>
    <cacheField name="MicroscopeType" numFmtId="0">
      <sharedItems/>
    </cacheField>
    <cacheField name="WholePlate" numFmtId="0">
      <sharedItems/>
    </cacheField>
    <cacheField name="Species" numFmtId="0">
      <sharedItems/>
    </cacheField>
    <cacheField name="IsSpeciesToxic" numFmtId="0">
      <sharedItems/>
    </cacheField>
    <cacheField name="VolumeInMillilitres" numFmtId="0">
      <sharedItems containsSemiMixedTypes="0" containsString="0" containsNumber="1" containsInteger="1" minValue="10" maxValue="10"/>
    </cacheField>
    <cacheField name="Average" numFmtId="0">
      <sharedItems containsSemiMixedTypes="0" containsString="0" containsNumber="1" minValue="2.5" maxValue="700"/>
    </cacheField>
    <cacheField name="NumberOfColonies" numFmtId="0">
      <sharedItems containsString="0" containsBlank="1" containsNumber="1" containsInteger="1" minValue="3" maxValue="206"/>
    </cacheField>
    <cacheField name="CellsPerMl" numFmtId="0">
      <sharedItems containsSemiMixedTypes="0" containsString="0" containsNumber="1" minValue="0.4" maxValue="17469.7938333333"/>
    </cacheField>
    <cacheField name="TotalBioVolume" numFmtId="0">
      <sharedItems containsSemiMixedTypes="0" containsString="0" containsNumber="1" minValue="0" maxValue="3.32502586029833"/>
    </cacheField>
    <cacheField name="PotentiallyToxicCellMl" numFmtId="0">
      <sharedItems containsSemiMixedTypes="0" containsString="0" containsNumber="1" minValue="0" maxValue="17469.7938333333"/>
    </cacheField>
    <cacheField name="PotentiallyToxicBioVolume" numFmtId="0">
      <sharedItems containsSemiMixedTypes="0" containsString="0" containsNumber="1" minValue="0" maxValue="3.32502586029833"/>
    </cacheField>
    <cacheField name="ToxinClust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6007.1"/>
    <x v="0"/>
    <x v="0"/>
    <x v="0"/>
    <s v="20A"/>
    <s v="Whole Plate"/>
    <s v="Microcystis sp"/>
    <b v="1"/>
    <n v="10"/>
    <n v="25"/>
    <n v="83"/>
    <n v="257.5"/>
    <n v="1.8488132140649999E-2"/>
    <n v="257.5"/>
    <n v="1.8488132140649999E-2"/>
    <s v="Microcystis spp._x000a_"/>
  </r>
  <r>
    <s v="6007.2"/>
    <x v="0"/>
    <x v="0"/>
    <x v="0"/>
    <s v="20A"/>
    <s v="Whole Plate"/>
    <s v="Microcystis wesenbergii"/>
    <b v="1"/>
    <n v="10"/>
    <n v="74.5"/>
    <m/>
    <n v="14.9"/>
    <n v="2.8359169999999999E-3"/>
    <n v="14.9"/>
    <n v="2.8359169999999999E-3"/>
    <s v="Microcystis spp._x000a_"/>
  </r>
  <r>
    <s v="6007.3"/>
    <x v="0"/>
    <x v="0"/>
    <x v="0"/>
    <s v="20A"/>
    <s v="Whole Plate"/>
    <s v="Aphanocapsa sp"/>
    <b v="0"/>
    <n v="10"/>
    <n v="40.3333333333333"/>
    <m/>
    <n v="36.299999999999997"/>
    <n v="8.1675000000000007E-5"/>
    <n v="0"/>
    <n v="0"/>
    <m/>
  </r>
  <r>
    <s v="6007.4"/>
    <x v="0"/>
    <x v="0"/>
    <x v="0"/>
    <s v="20A"/>
    <s v="Whole Plate"/>
    <s v="Pseudanabaena sp."/>
    <b v="1"/>
    <n v="10"/>
    <n v="7.5"/>
    <m/>
    <n v="1.5"/>
    <n v="5.8499999999999999E-5"/>
    <n v="1.5"/>
    <n v="5.8499999999999999E-5"/>
    <m/>
  </r>
  <r>
    <s v="6007.5"/>
    <x v="0"/>
    <x v="0"/>
    <x v="0"/>
    <s v="20A"/>
    <s v="Whole Plate"/>
    <s v="Dolichospermum sp"/>
    <b v="1"/>
    <n v="10"/>
    <n v="12"/>
    <m/>
    <n v="1.2"/>
    <n v="2.2800000000000001E-4"/>
    <n v="1.2"/>
    <n v="2.2800000000000001E-4"/>
    <m/>
  </r>
  <r>
    <s v="6006.1"/>
    <x v="0"/>
    <x v="1"/>
    <x v="0"/>
    <s v="20A"/>
    <s v="Whole Plate"/>
    <s v="Microcystis sp"/>
    <b v="1"/>
    <n v="10"/>
    <n v="17.25"/>
    <n v="94"/>
    <n v="196.65"/>
    <n v="1.4119189069743E-2"/>
    <n v="196.65"/>
    <n v="1.4119189069743E-2"/>
    <s v="Microcystis spp._x000a_"/>
  </r>
  <r>
    <s v="6006.2"/>
    <x v="0"/>
    <x v="1"/>
    <x v="0"/>
    <s v="20A"/>
    <s v="Whole Plate"/>
    <s v="Dolichospermum sp"/>
    <b v="1"/>
    <n v="10"/>
    <n v="12.363636363636401"/>
    <m/>
    <n v="13.6"/>
    <n v="2.5839999999999999E-3"/>
    <n v="13.6"/>
    <n v="2.5839999999999999E-3"/>
    <m/>
  </r>
  <r>
    <s v="6006.3"/>
    <x v="0"/>
    <x v="1"/>
    <x v="0"/>
    <s v="20A"/>
    <s v="Whole Plate"/>
    <s v="Oscillatoria sp"/>
    <b v="1"/>
    <n v="10"/>
    <n v="37.200000000000003"/>
    <m/>
    <n v="18.600000000000001"/>
    <n v="5.03037E-2"/>
    <n v="18.600000000000001"/>
    <n v="5.03037E-2"/>
    <m/>
  </r>
  <r>
    <s v="6006.4"/>
    <x v="0"/>
    <x v="1"/>
    <x v="0"/>
    <s v="20A"/>
    <s v="Whole Plate"/>
    <s v="Pseudanabaena sp."/>
    <b v="1"/>
    <n v="10"/>
    <n v="8.6666666666666696"/>
    <m/>
    <n v="2.6"/>
    <n v="1.014E-4"/>
    <n v="2.6"/>
    <n v="1.014E-4"/>
    <m/>
  </r>
  <r>
    <s v="6006.5"/>
    <x v="0"/>
    <x v="1"/>
    <x v="0"/>
    <s v="20A"/>
    <s v="Whole Plate"/>
    <s v="Microcystis wesenbergii"/>
    <b v="1"/>
    <n v="10"/>
    <n v="38.5"/>
    <m/>
    <n v="7.7"/>
    <n v="1.4655409999999999E-3"/>
    <n v="7.7"/>
    <n v="1.4655409999999999E-3"/>
    <s v="Microcystis spp._x000a_"/>
  </r>
  <r>
    <s v="6006.6"/>
    <x v="0"/>
    <x v="1"/>
    <x v="0"/>
    <s v="20A"/>
    <s v="Whole Plate"/>
    <s v="Aphanocapsa sp"/>
    <b v="0"/>
    <n v="10"/>
    <n v="68"/>
    <m/>
    <n v="6.8"/>
    <n v="1.5299999999999999E-5"/>
    <n v="0"/>
    <n v="0"/>
    <m/>
  </r>
  <r>
    <s v="6006.7"/>
    <x v="0"/>
    <x v="1"/>
    <x v="0"/>
    <s v="20A"/>
    <s v="Whole Plate"/>
    <s v="Dolichospermum spiroides"/>
    <b v="1"/>
    <n v="10"/>
    <n v="15"/>
    <m/>
    <n v="1.5"/>
    <n v="3.8999999999999999E-4"/>
    <n v="1.5"/>
    <n v="3.8999999999999999E-4"/>
    <m/>
  </r>
  <r>
    <s v="6013.1"/>
    <x v="1"/>
    <x v="2"/>
    <x v="0"/>
    <s v="20A"/>
    <s v="Whole Plate"/>
    <s v="Dolichospermum planctonicum "/>
    <b v="1"/>
    <n v="10"/>
    <n v="12"/>
    <m/>
    <n v="3.6"/>
    <n v="1.3320000000000001E-3"/>
    <n v="3.6"/>
    <n v="1.3320000000000001E-3"/>
    <m/>
  </r>
  <r>
    <s v="6013.2"/>
    <x v="1"/>
    <x v="2"/>
    <x v="0"/>
    <s v="20A"/>
    <s v="Whole Plate"/>
    <s v="Microcystis wesenbergii"/>
    <b v="1"/>
    <n v="10"/>
    <n v="40.4444444444444"/>
    <m/>
    <n v="72.8"/>
    <n v="1.3856024E-2"/>
    <n v="72.8"/>
    <n v="1.3856024E-2"/>
    <s v="Microcystis spp._x000a_"/>
  </r>
  <r>
    <s v="6013.3"/>
    <x v="1"/>
    <x v="2"/>
    <x v="0"/>
    <s v="20A"/>
    <s v="Whole Plate"/>
    <s v="Pseudanabaena sp."/>
    <b v="1"/>
    <n v="10"/>
    <n v="3.5"/>
    <m/>
    <n v="0.7"/>
    <n v="2.73E-5"/>
    <n v="0.7"/>
    <n v="2.73E-5"/>
    <m/>
  </r>
  <r>
    <s v="6013.4"/>
    <x v="1"/>
    <x v="2"/>
    <x v="0"/>
    <s v="20A"/>
    <s v="Whole Plate"/>
    <s v="Limnococcus limneticus_x000a_"/>
    <b v="0"/>
    <n v="10"/>
    <n v="18"/>
    <m/>
    <n v="1.8"/>
    <n v="8.0999999999999996E-4"/>
    <n v="0"/>
    <n v="0"/>
    <m/>
  </r>
  <r>
    <s v="6008.1"/>
    <x v="1"/>
    <x v="3"/>
    <x v="0"/>
    <s v="20A"/>
    <s v="Whole Plate"/>
    <s v="Microcystis wesenbergii"/>
    <b v="1"/>
    <n v="10"/>
    <n v="34.549999999999997"/>
    <n v="3"/>
    <n v="79.465000000000003"/>
    <n v="1.512457345E-2"/>
    <n v="79.465000000000003"/>
    <n v="1.512457345E-2"/>
    <s v="Microcystis spp._x000a_"/>
  </r>
  <r>
    <s v="6008.2"/>
    <x v="1"/>
    <x v="3"/>
    <x v="0"/>
    <s v="20A"/>
    <s v="Whole Plate"/>
    <s v="Oscillatoria sp"/>
    <b v="1"/>
    <n v="10"/>
    <n v="236.15"/>
    <n v="4"/>
    <n v="566.76"/>
    <n v="1.5328024200000001"/>
    <n v="566.76"/>
    <n v="1.5328024200000001"/>
    <m/>
  </r>
  <r>
    <s v="6008.3"/>
    <x v="1"/>
    <x v="3"/>
    <x v="0"/>
    <s v="20A"/>
    <s v="Whole Plate"/>
    <s v="Dolichospermum lemmermannii"/>
    <b v="1"/>
    <n v="10"/>
    <n v="13.4285714285714"/>
    <m/>
    <n v="9.4"/>
    <n v="1.034E-3"/>
    <n v="9.4"/>
    <n v="1.034E-3"/>
    <m/>
  </r>
  <r>
    <s v="6008.4"/>
    <x v="1"/>
    <x v="3"/>
    <x v="0"/>
    <s v="20A"/>
    <s v="Whole Plate"/>
    <s v="Microcystis sp"/>
    <b v="1"/>
    <n v="10"/>
    <n v="22.3333333333333"/>
    <m/>
    <n v="6.7"/>
    <n v="4.8105042851400001E-4"/>
    <n v="6.7"/>
    <n v="4.8105042851400001E-4"/>
    <s v="Microcystis spp._x000a_"/>
  </r>
  <r>
    <s v="6008.5"/>
    <x v="1"/>
    <x v="3"/>
    <x v="0"/>
    <s v="20A"/>
    <s v="Whole Plate"/>
    <s v="Geitlerinema sp"/>
    <b v="0"/>
    <n v="10"/>
    <n v="34"/>
    <m/>
    <n v="3.4"/>
    <n v="7.4800000000000002E-5"/>
    <n v="0"/>
    <n v="0"/>
    <m/>
  </r>
  <r>
    <s v="6008.6"/>
    <x v="1"/>
    <x v="3"/>
    <x v="0"/>
    <s v="20A"/>
    <s v="Whole Plate"/>
    <s v="Aphanocapsa sp"/>
    <b v="0"/>
    <n v="10"/>
    <n v="28"/>
    <m/>
    <n v="2.8"/>
    <n v="6.2999999999999998E-6"/>
    <n v="0"/>
    <n v="0"/>
    <m/>
  </r>
  <r>
    <s v="6008.7"/>
    <x v="1"/>
    <x v="3"/>
    <x v="0"/>
    <s v="20A"/>
    <s v="Whole Plate"/>
    <s v="Dolichospermum circinale"/>
    <b v="1"/>
    <n v="10"/>
    <n v="15"/>
    <m/>
    <n v="3"/>
    <n v="1.7269200000000001E-3"/>
    <n v="3"/>
    <n v="1.7269200000000001E-3"/>
    <m/>
  </r>
  <r>
    <s v="6008.8"/>
    <x v="1"/>
    <x v="3"/>
    <x v="0"/>
    <s v="20A"/>
    <s v="Whole Plate"/>
    <s v="Pseudanabaena sp."/>
    <b v="1"/>
    <n v="10"/>
    <n v="16"/>
    <m/>
    <n v="1.6"/>
    <n v="6.2399999999999999E-5"/>
    <n v="1.6"/>
    <n v="6.2399999999999999E-5"/>
    <m/>
  </r>
  <r>
    <s v="6004.1"/>
    <x v="1"/>
    <x v="4"/>
    <x v="0"/>
    <s v="20A"/>
    <s v="160"/>
    <s v="Microcystis wesenbergii"/>
    <b v="1"/>
    <n v="10"/>
    <n v="44.9"/>
    <n v="5"/>
    <n v="3526.4428819444402"/>
    <n v="0.67118787372048505"/>
    <n v="3526.4428819444402"/>
    <n v="0.67118787372048505"/>
    <s v="Microcystis spp._x000a_"/>
  </r>
  <r>
    <s v="6004.2"/>
    <x v="1"/>
    <x v="4"/>
    <x v="0"/>
    <s v="20A"/>
    <s v="160"/>
    <s v="Microcystis sp"/>
    <b v="1"/>
    <n v="10"/>
    <n v="32"/>
    <m/>
    <n v="301.59333333333302"/>
    <n v="2.1653970483129201E-2"/>
    <n v="301.59333333333302"/>
    <n v="2.1653970483129201E-2"/>
    <s v="Microcystis spp._x000a_"/>
  </r>
  <r>
    <s v="6004.3"/>
    <x v="1"/>
    <x v="4"/>
    <x v="0"/>
    <s v="20A"/>
    <s v="160"/>
    <s v="Dolichospermum planctonicum "/>
    <b v="1"/>
    <n v="10"/>
    <n v="10"/>
    <m/>
    <n v="31.415972222222202"/>
    <n v="1.16239097222222E-2"/>
    <n v="31.415972222222202"/>
    <n v="1.16239097222222E-2"/>
    <m/>
  </r>
  <r>
    <s v="6004.4"/>
    <x v="1"/>
    <x v="4"/>
    <x v="0"/>
    <s v="20A"/>
    <s v="160"/>
    <s v="Pseudanabaena sp."/>
    <b v="1"/>
    <n v="10"/>
    <n v="2.5"/>
    <m/>
    <n v="15.707986111111101"/>
    <n v="6.1261145833333298E-4"/>
    <n v="15.707986111111101"/>
    <n v="6.1261145833333298E-4"/>
    <m/>
  </r>
  <r>
    <s v="6012.1"/>
    <x v="1"/>
    <x v="5"/>
    <x v="0"/>
    <s v="20A"/>
    <s v="Whole Plate"/>
    <s v="Microcystis wesenbergii"/>
    <b v="1"/>
    <n v="10"/>
    <n v="49.4"/>
    <m/>
    <n v="98.8"/>
    <n v="1.8804603999999999E-2"/>
    <n v="98.8"/>
    <n v="1.8804603999999999E-2"/>
    <s v="Microcystis spp._x000a_"/>
  </r>
  <r>
    <s v="6012.2"/>
    <x v="1"/>
    <x v="5"/>
    <x v="0"/>
    <s v="20A"/>
    <s v="Whole Plate"/>
    <s v="Oscillatoria sp"/>
    <b v="1"/>
    <n v="10"/>
    <n v="258"/>
    <m/>
    <n v="51.6"/>
    <n v="0.13955219999999999"/>
    <n v="51.6"/>
    <n v="0.13955219999999999"/>
    <m/>
  </r>
  <r>
    <s v="6012.3"/>
    <x v="1"/>
    <x v="5"/>
    <x v="0"/>
    <s v="20A"/>
    <s v="Whole Plate"/>
    <s v="Dolichospermum lemmermannii"/>
    <b v="1"/>
    <n v="10"/>
    <n v="48"/>
    <m/>
    <n v="4.8"/>
    <n v="5.2800000000000004E-4"/>
    <n v="4.8"/>
    <n v="5.2800000000000004E-4"/>
    <m/>
  </r>
  <r>
    <s v="6011.1"/>
    <x v="1"/>
    <x v="6"/>
    <x v="0"/>
    <s v="20A"/>
    <s v="Whole Plate"/>
    <s v="Dolichospermum planctonicum "/>
    <b v="1"/>
    <n v="10"/>
    <n v="13.8571428571429"/>
    <m/>
    <n v="9.6999999999999993"/>
    <n v="3.5890000000000002E-3"/>
    <n v="9.6999999999999993"/>
    <n v="3.5890000000000002E-3"/>
    <m/>
  </r>
  <r>
    <s v="6011.2"/>
    <x v="1"/>
    <x v="6"/>
    <x v="0"/>
    <s v="20A"/>
    <s v="Whole Plate"/>
    <s v="Microcystis wesenbergii"/>
    <b v="1"/>
    <n v="10"/>
    <n v="43.75"/>
    <n v="30"/>
    <n v="218.75"/>
    <n v="4.1634687500000003E-2"/>
    <n v="218.75"/>
    <n v="4.1634687500000003E-2"/>
    <s v="Microcystis spp._x000a_"/>
  </r>
  <r>
    <s v="6011.3"/>
    <x v="1"/>
    <x v="6"/>
    <x v="0"/>
    <s v="20A"/>
    <s v="Whole Plate"/>
    <s v="Dolichospermum lemmermannii"/>
    <b v="1"/>
    <n v="10"/>
    <n v="34.5"/>
    <m/>
    <n v="6.9"/>
    <n v="7.5900000000000002E-4"/>
    <n v="6.9"/>
    <n v="7.5900000000000002E-4"/>
    <m/>
  </r>
  <r>
    <s v="6011.4"/>
    <x v="1"/>
    <x v="6"/>
    <x v="0"/>
    <s v="20A"/>
    <s v="Whole Plate"/>
    <s v="Dolichospermum circinale"/>
    <b v="1"/>
    <n v="10"/>
    <n v="13"/>
    <m/>
    <n v="2.6"/>
    <n v="1.496664E-3"/>
    <n v="2.6"/>
    <n v="1.496664E-3"/>
    <m/>
  </r>
  <r>
    <s v="6011.5"/>
    <x v="1"/>
    <x v="6"/>
    <x v="0"/>
    <s v="20A"/>
    <s v="Whole Plate"/>
    <s v="Pseudanabaena sp."/>
    <b v="1"/>
    <n v="10"/>
    <n v="4"/>
    <m/>
    <n v="0.4"/>
    <n v="1.56E-5"/>
    <n v="0.4"/>
    <n v="1.56E-5"/>
    <m/>
  </r>
  <r>
    <s v="6011.6"/>
    <x v="1"/>
    <x v="6"/>
    <x v="0"/>
    <s v="20A"/>
    <s v="Whole Plate"/>
    <s v="Oscillatoria sp"/>
    <b v="1"/>
    <n v="10"/>
    <n v="35.5"/>
    <m/>
    <n v="7.1"/>
    <n v="1.9201949999999999E-2"/>
    <n v="7.1"/>
    <n v="1.9201949999999999E-2"/>
    <m/>
  </r>
  <r>
    <s v="6011.7"/>
    <x v="1"/>
    <x v="6"/>
    <x v="0"/>
    <s v="20A"/>
    <s v="Whole Plate"/>
    <s v="Anabaena torulosa"/>
    <b v="1"/>
    <n v="10"/>
    <n v="18.5"/>
    <m/>
    <n v="3.7"/>
    <n v="8.1769999999999998E-4"/>
    <n v="3.7"/>
    <n v="8.1769999999999998E-4"/>
    <m/>
  </r>
  <r>
    <s v="6010.1"/>
    <x v="2"/>
    <x v="7"/>
    <x v="0"/>
    <s v="20A"/>
    <s v="160"/>
    <s v="Microcystis wesenbergii"/>
    <b v="1"/>
    <n v="10"/>
    <n v="41.142857142857103"/>
    <m/>
    <n v="1809.56"/>
    <n v="0.34441355480000002"/>
    <n v="1809.56"/>
    <n v="0.34441355480000002"/>
    <s v="Microcystis spp._x000a_"/>
  </r>
  <r>
    <s v="6010.2"/>
    <x v="2"/>
    <x v="7"/>
    <x v="0"/>
    <s v="20A"/>
    <s v="160"/>
    <s v="Pseudanabaena sp."/>
    <b v="1"/>
    <n v="10"/>
    <n v="12"/>
    <m/>
    <n v="37.699166666666699"/>
    <n v="1.4702675000000001E-3"/>
    <n v="37.699166666666699"/>
    <n v="1.4702675000000001E-3"/>
    <m/>
  </r>
  <r>
    <s v="6005.1"/>
    <x v="2"/>
    <x v="8"/>
    <x v="0"/>
    <s v="20A"/>
    <s v="160"/>
    <s v="Microcystis wesenbergii"/>
    <b v="1"/>
    <n v="10"/>
    <n v="49.65"/>
    <n v="92"/>
    <n v="17469.7938333333"/>
    <n v="3.32502586029833"/>
    <n v="17469.7938333333"/>
    <n v="3.32502586029833"/>
    <s v="Microcystis spp._x000a_"/>
  </r>
  <r>
    <s v="6005.2"/>
    <x v="2"/>
    <x v="8"/>
    <x v="0"/>
    <s v="20A"/>
    <s v="160"/>
    <s v="Microcystis sp"/>
    <b v="1"/>
    <n v="10"/>
    <n v="22.75"/>
    <m/>
    <n v="285.88534722222198"/>
    <n v="2.05261595204662E-2"/>
    <n v="285.88534722222198"/>
    <n v="2.05261595204662E-2"/>
    <s v="Microcystis spp._x000a_"/>
  </r>
  <r>
    <s v="6005.3"/>
    <x v="2"/>
    <x v="8"/>
    <x v="0"/>
    <s v="20A"/>
    <s v="160"/>
    <s v="Pseudanabaena sp."/>
    <b v="1"/>
    <n v="10"/>
    <n v="3.5"/>
    <m/>
    <n v="65.973541666666705"/>
    <n v="2.5729681250000001E-3"/>
    <n v="65.973541666666705"/>
    <n v="2.5729681250000001E-3"/>
    <m/>
  </r>
  <r>
    <s v="6009.1"/>
    <x v="2"/>
    <x v="9"/>
    <x v="0"/>
    <s v="20A"/>
    <s v="160"/>
    <s v="Microcystis wesenbergii"/>
    <b v="1"/>
    <n v="10"/>
    <n v="41.421052631578902"/>
    <m/>
    <n v="2472.4370138888899"/>
    <n v="0.47057893685347202"/>
    <n v="2472.4370138888899"/>
    <n v="0.47057893685347202"/>
    <s v="Microcystis spp._x000a_"/>
  </r>
  <r>
    <s v="6009.2"/>
    <x v="2"/>
    <x v="9"/>
    <x v="0"/>
    <s v="20A"/>
    <s v="160"/>
    <s v="Pseudanabaena sp."/>
    <b v="1"/>
    <n v="10"/>
    <n v="7.25"/>
    <m/>
    <n v="91.106319444444395"/>
    <n v="3.5531464583333301E-3"/>
    <n v="91.106319444444395"/>
    <n v="3.5531464583333301E-3"/>
    <m/>
  </r>
  <r>
    <s v="6003.1"/>
    <x v="2"/>
    <x v="10"/>
    <x v="0"/>
    <s v="20A"/>
    <s v="160"/>
    <s v="Microcystis wesenbergii"/>
    <b v="1"/>
    <n v="10"/>
    <n v="46.2"/>
    <n v="67"/>
    <n v="12627.335875000001"/>
    <n v="2.40336083708875"/>
    <n v="12627.335875000001"/>
    <n v="2.40336083708875"/>
    <s v="Microcystis spp._x000a_"/>
  </r>
  <r>
    <s v="6003.2"/>
    <x v="2"/>
    <x v="10"/>
    <x v="0"/>
    <s v="20A"/>
    <s v="160"/>
    <s v="Microcystis sp"/>
    <b v="1"/>
    <n v="10"/>
    <n v="21.5"/>
    <m/>
    <n v="270.177361111111"/>
    <n v="1.9398348557803199E-2"/>
    <n v="270.177361111111"/>
    <n v="1.9398348557803199E-2"/>
    <s v="Microcystis spp._x000a_"/>
  </r>
  <r>
    <s v="6014.1"/>
    <x v="3"/>
    <x v="11"/>
    <x v="0"/>
    <s v="20A"/>
    <s v="Whole Plate"/>
    <s v="Dolichospermum circinale"/>
    <b v="1"/>
    <n v="10"/>
    <n v="14.6"/>
    <n v="37"/>
    <n v="83.22"/>
    <n v="4.7904760800000001E-2"/>
    <n v="83.22"/>
    <n v="4.7904760800000001E-2"/>
    <m/>
  </r>
  <r>
    <s v="6014.2"/>
    <x v="3"/>
    <x v="11"/>
    <x v="0"/>
    <s v="20A"/>
    <s v="Whole Plate"/>
    <s v="Oscillatoria sp"/>
    <b v="1"/>
    <n v="10"/>
    <n v="80"/>
    <m/>
    <n v="8"/>
    <n v="2.1635999999999999E-2"/>
    <n v="8"/>
    <n v="2.1635999999999999E-2"/>
    <m/>
  </r>
  <r>
    <s v="6014.3"/>
    <x v="3"/>
    <x v="11"/>
    <x v="0"/>
    <s v="20A"/>
    <s v="Whole Plate"/>
    <s v="Woronichinia naegeliana"/>
    <b v="1"/>
    <n v="10"/>
    <n v="405"/>
    <m/>
    <n v="81"/>
    <n v="0"/>
    <n v="81"/>
    <n v="0"/>
    <m/>
  </r>
  <r>
    <s v="6014.4"/>
    <x v="3"/>
    <x v="11"/>
    <x v="0"/>
    <s v="20A"/>
    <s v="Whole Plate"/>
    <s v="Dolichospermum sp"/>
    <b v="1"/>
    <n v="10"/>
    <n v="19.5"/>
    <m/>
    <n v="7.8"/>
    <n v="1.482E-3"/>
    <n v="7.8"/>
    <n v="1.482E-3"/>
    <m/>
  </r>
  <r>
    <s v="6014.5"/>
    <x v="3"/>
    <x v="11"/>
    <x v="0"/>
    <s v="20A"/>
    <s v="Whole Plate"/>
    <s v="Dolichospermum lemmermannii"/>
    <b v="1"/>
    <n v="10"/>
    <n v="18.6666666666667"/>
    <m/>
    <n v="11.2"/>
    <n v="1.232E-3"/>
    <n v="11.2"/>
    <n v="1.232E-3"/>
    <m/>
  </r>
  <r>
    <s v="6014.6"/>
    <x v="3"/>
    <x v="11"/>
    <x v="0"/>
    <s v="20A"/>
    <s v="Whole Plate"/>
    <s v="Microcystis sp"/>
    <b v="1"/>
    <n v="10"/>
    <n v="28"/>
    <m/>
    <n v="2.8"/>
    <n v="2.01035999976E-4"/>
    <n v="2.8"/>
    <n v="2.01035999976E-4"/>
    <s v="Microcystis spp._x000a_"/>
  </r>
  <r>
    <s v="6014.7"/>
    <x v="3"/>
    <x v="11"/>
    <x v="0"/>
    <s v="20A"/>
    <s v="Whole Plate"/>
    <s v="Dolichospermum planctonicum "/>
    <b v="1"/>
    <n v="10"/>
    <n v="15.6"/>
    <m/>
    <n v="7.8"/>
    <n v="2.8860000000000001E-3"/>
    <n v="7.8"/>
    <n v="2.8860000000000001E-3"/>
    <m/>
  </r>
  <r>
    <s v="5996.1"/>
    <x v="0"/>
    <x v="0"/>
    <x v="1"/>
    <s v="20A"/>
    <s v="Whole Plate"/>
    <s v="Microcystis sp"/>
    <b v="1"/>
    <n v="10"/>
    <n v="39.85"/>
    <n v="43"/>
    <n v="251.05500000000001"/>
    <n v="1.80253903478481E-2"/>
    <n v="251.05500000000001"/>
    <n v="1.80253903478481E-2"/>
    <s v="Microcystis spp._x000a_"/>
  </r>
  <r>
    <s v="5996.2"/>
    <x v="0"/>
    <x v="0"/>
    <x v="1"/>
    <s v="20A"/>
    <s v="Whole Plate"/>
    <s v="Pseudanabaena sp."/>
    <b v="1"/>
    <n v="10"/>
    <n v="9.3846153846153904"/>
    <m/>
    <n v="12.2"/>
    <n v="4.7580000000000002E-4"/>
    <n v="12.2"/>
    <n v="4.7580000000000002E-4"/>
    <m/>
  </r>
  <r>
    <s v="5996.3"/>
    <x v="0"/>
    <x v="0"/>
    <x v="1"/>
    <s v="20A"/>
    <s v="Whole Plate"/>
    <s v="Anabaena torulosa"/>
    <b v="1"/>
    <n v="10"/>
    <n v="12.5"/>
    <m/>
    <n v="2.5"/>
    <n v="5.5250000000000004E-4"/>
    <n v="2.5"/>
    <n v="5.5250000000000004E-4"/>
    <m/>
  </r>
  <r>
    <s v="5996.4"/>
    <x v="0"/>
    <x v="0"/>
    <x v="1"/>
    <s v="20A"/>
    <s v="Whole Plate"/>
    <s v="Oscillatoria sp"/>
    <b v="1"/>
    <n v="10"/>
    <n v="106.857142857143"/>
    <m/>
    <n v="74.8"/>
    <n v="0.20229659999999999"/>
    <n v="74.8"/>
    <n v="0.20229659999999999"/>
    <m/>
  </r>
  <r>
    <s v="5996.5"/>
    <x v="0"/>
    <x v="0"/>
    <x v="1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6002.1"/>
    <x v="0"/>
    <x v="1"/>
    <x v="1"/>
    <s v="20A"/>
    <s v="Whole Plate"/>
    <s v="Microcystis sp"/>
    <b v="1"/>
    <n v="10"/>
    <n v="35.2777777777778"/>
    <m/>
    <n v="63.5"/>
    <n v="4.5592092851700003E-3"/>
    <n v="63.5"/>
    <n v="4.5592092851700003E-3"/>
    <s v="Microcystis spp._x000a_"/>
  </r>
  <r>
    <s v="6002.2"/>
    <x v="0"/>
    <x v="1"/>
    <x v="1"/>
    <s v="20A"/>
    <s v="Whole Plate"/>
    <s v="Anabaena torulosa"/>
    <b v="1"/>
    <n v="10"/>
    <n v="30"/>
    <m/>
    <n v="3"/>
    <n v="6.6299999999999996E-4"/>
    <n v="3"/>
    <n v="6.6299999999999996E-4"/>
    <m/>
  </r>
  <r>
    <s v="6002.3"/>
    <x v="0"/>
    <x v="1"/>
    <x v="1"/>
    <s v="20A"/>
    <s v="Whole Plate"/>
    <s v="Phormidium sp"/>
    <b v="1"/>
    <n v="10"/>
    <n v="126.6"/>
    <m/>
    <n v="63.3"/>
    <n v="5.908422E-3"/>
    <n v="63.3"/>
    <n v="5.908422E-3"/>
    <m/>
  </r>
  <r>
    <s v="6002.4"/>
    <x v="0"/>
    <x v="1"/>
    <x v="1"/>
    <s v="20A"/>
    <s v="Whole Plate"/>
    <s v="Oscillatoria sp"/>
    <b v="1"/>
    <n v="10"/>
    <n v="46"/>
    <m/>
    <n v="36.799999999999997"/>
    <n v="9.9525600000000006E-2"/>
    <n v="36.799999999999997"/>
    <n v="9.9525600000000006E-2"/>
    <m/>
  </r>
  <r>
    <s v="6002.5"/>
    <x v="0"/>
    <x v="1"/>
    <x v="1"/>
    <s v="20A"/>
    <s v="Whole Plate"/>
    <s v="Microcystis wesenbergii"/>
    <b v="1"/>
    <n v="10"/>
    <n v="19"/>
    <m/>
    <n v="3.8"/>
    <n v="7.23254E-4"/>
    <n v="3.8"/>
    <n v="7.23254E-4"/>
    <s v="Microcystis spp._x000a_"/>
  </r>
  <r>
    <s v="6001.1"/>
    <x v="1"/>
    <x v="2"/>
    <x v="1"/>
    <s v="20A"/>
    <s v="Whole Plate"/>
    <s v="Microcystis wesenbergii"/>
    <b v="1"/>
    <n v="10"/>
    <n v="46.846153846153797"/>
    <m/>
    <n v="60.9"/>
    <n v="1.1591097E-2"/>
    <n v="60.9"/>
    <n v="1.1591097E-2"/>
    <s v="Microcystis spp._x000a_"/>
  </r>
  <r>
    <s v="6001.2"/>
    <x v="1"/>
    <x v="2"/>
    <x v="1"/>
    <s v="20A"/>
    <s v="Whole Plate"/>
    <s v="Dolichospermum planctonicum "/>
    <b v="1"/>
    <n v="10"/>
    <n v="15"/>
    <m/>
    <n v="18"/>
    <n v="6.6600000000000001E-3"/>
    <n v="18"/>
    <n v="6.6600000000000001E-3"/>
    <m/>
  </r>
  <r>
    <s v="6001.3"/>
    <x v="1"/>
    <x v="2"/>
    <x v="1"/>
    <s v="20A"/>
    <s v="Whole Plate"/>
    <s v="Limnococcus limneticus_x000a_"/>
    <b v="0"/>
    <n v="10"/>
    <n v="31"/>
    <m/>
    <n v="6.2"/>
    <n v="2.7899999999999999E-3"/>
    <n v="0"/>
    <n v="0"/>
    <m/>
  </r>
  <r>
    <s v="5995.1"/>
    <x v="1"/>
    <x v="3"/>
    <x v="1"/>
    <s v="20A"/>
    <s v="Whole Plate"/>
    <s v="Oscillatoria sp"/>
    <b v="1"/>
    <n v="10"/>
    <n v="180.75"/>
    <n v="6"/>
    <n v="469.95"/>
    <n v="1.270979775"/>
    <n v="469.95"/>
    <n v="1.270979775"/>
    <m/>
  </r>
  <r>
    <s v="5995.2"/>
    <x v="1"/>
    <x v="3"/>
    <x v="1"/>
    <s v="20A"/>
    <s v="Whole Plate"/>
    <s v="Aphanocapsa sp"/>
    <b v="0"/>
    <n v="10"/>
    <n v="34.6666666666667"/>
    <m/>
    <n v="10.4"/>
    <n v="2.34E-5"/>
    <n v="0"/>
    <n v="0"/>
    <m/>
  </r>
  <r>
    <s v="5995.3"/>
    <x v="1"/>
    <x v="3"/>
    <x v="1"/>
    <s v="20A"/>
    <s v="Whole Plate"/>
    <s v="Dolichospermum lemmermannii"/>
    <b v="1"/>
    <n v="10"/>
    <n v="22.363636363636399"/>
    <m/>
    <n v="24.6"/>
    <n v="2.7060000000000001E-3"/>
    <n v="24.6"/>
    <n v="2.7060000000000001E-3"/>
    <m/>
  </r>
  <r>
    <s v="5995.4"/>
    <x v="1"/>
    <x v="3"/>
    <x v="1"/>
    <s v="20A"/>
    <s v="Whole Plate"/>
    <s v="Microcystis wesenbergii"/>
    <b v="1"/>
    <n v="10"/>
    <n v="59.368421052631597"/>
    <m/>
    <n v="112.8"/>
    <n v="2.1469223999999999E-2"/>
    <n v="112.8"/>
    <n v="2.1469223999999999E-2"/>
    <s v="Microcystis spp._x000a_"/>
  </r>
  <r>
    <s v="5995.5"/>
    <x v="1"/>
    <x v="3"/>
    <x v="1"/>
    <s v="20A"/>
    <s v="Whole Plate"/>
    <s v="Woronichinia naegeliana"/>
    <b v="1"/>
    <n v="10"/>
    <n v="272"/>
    <m/>
    <n v="27.2"/>
    <n v="0"/>
    <n v="27.2"/>
    <n v="0"/>
    <m/>
  </r>
  <r>
    <s v="5995.6"/>
    <x v="1"/>
    <x v="3"/>
    <x v="1"/>
    <s v="20A"/>
    <s v="Whole Plate"/>
    <s v="Pseudanabaena sp."/>
    <b v="1"/>
    <n v="10"/>
    <n v="27"/>
    <m/>
    <n v="2.7"/>
    <n v="1.053E-4"/>
    <n v="2.7"/>
    <n v="1.053E-4"/>
    <m/>
  </r>
  <r>
    <s v="5995.7"/>
    <x v="1"/>
    <x v="3"/>
    <x v="1"/>
    <s v="20A"/>
    <s v="Whole Plate"/>
    <s v="Coelosphaerium cf natans"/>
    <b v="0"/>
    <n v="10"/>
    <n v="68"/>
    <m/>
    <n v="6.8"/>
    <n v="1.5639999999999999E-5"/>
    <n v="0"/>
    <n v="0"/>
    <m/>
  </r>
  <r>
    <s v="5995.8"/>
    <x v="1"/>
    <x v="3"/>
    <x v="1"/>
    <s v="20A"/>
    <s v="Whole Plate"/>
    <s v="Microcystis sp"/>
    <b v="1"/>
    <n v="10"/>
    <n v="306"/>
    <m/>
    <n v="30.6"/>
    <n v="2.197036285452E-3"/>
    <n v="30.6"/>
    <n v="2.197036285452E-3"/>
    <s v="Microcystis spp._x000a_"/>
  </r>
  <r>
    <s v="5995.9"/>
    <x v="1"/>
    <x v="3"/>
    <x v="1"/>
    <s v="20A"/>
    <s v="Whole Plate"/>
    <s v="Dolichospermum circinale"/>
    <b v="1"/>
    <n v="10"/>
    <n v="15"/>
    <m/>
    <n v="1.5"/>
    <n v="8.6346000000000003E-4"/>
    <n v="1.5"/>
    <n v="8.6346000000000003E-4"/>
    <m/>
  </r>
  <r>
    <s v="5995.10"/>
    <x v="1"/>
    <x v="3"/>
    <x v="1"/>
    <s v="20A"/>
    <s v="Whole Plate"/>
    <s v="Dolichospermum planctonicum "/>
    <b v="1"/>
    <n v="10"/>
    <n v="18"/>
    <m/>
    <n v="1.8"/>
    <n v="6.6600000000000003E-4"/>
    <n v="1.8"/>
    <n v="6.6600000000000003E-4"/>
    <m/>
  </r>
  <r>
    <s v="5995.11"/>
    <x v="1"/>
    <x v="3"/>
    <x v="1"/>
    <s v="20A"/>
    <s v="Whole Plate"/>
    <s v="Limnococcus limneticus_x000a_"/>
    <b v="0"/>
    <n v="10"/>
    <n v="36"/>
    <m/>
    <n v="3.6"/>
    <n v="1.6199999999999999E-3"/>
    <n v="0"/>
    <n v="0"/>
    <m/>
  </r>
  <r>
    <s v="5994.1"/>
    <x v="1"/>
    <x v="4"/>
    <x v="1"/>
    <s v="20A"/>
    <s v="Whole Plate"/>
    <s v="Microcystis wesenbergii"/>
    <b v="1"/>
    <n v="10"/>
    <n v="68.8"/>
    <n v="125"/>
    <n v="997.6"/>
    <n v="0.18987320799999999"/>
    <n v="997.6"/>
    <n v="0.18987320799999999"/>
    <s v="Microcystis spp._x000a_"/>
  </r>
  <r>
    <s v="5994.2"/>
    <x v="1"/>
    <x v="4"/>
    <x v="1"/>
    <s v="20A"/>
    <s v="Whole Plate"/>
    <s v="Microcystis sp"/>
    <b v="1"/>
    <n v="10"/>
    <n v="27.5"/>
    <m/>
    <n v="22"/>
    <n v="1.5795685712399999E-3"/>
    <n v="22"/>
    <n v="1.5795685712399999E-3"/>
    <s v="Microcystis spp._x000a_"/>
  </r>
  <r>
    <s v="5994.3"/>
    <x v="1"/>
    <x v="4"/>
    <x v="1"/>
    <s v="20A"/>
    <s v="Whole Plate"/>
    <s v="Oscillatoria sp"/>
    <b v="1"/>
    <n v="10"/>
    <n v="54"/>
    <m/>
    <n v="10.8"/>
    <n v="2.9208600000000001E-2"/>
    <n v="10.8"/>
    <n v="2.9208600000000001E-2"/>
    <m/>
  </r>
  <r>
    <s v="5998.1"/>
    <x v="1"/>
    <x v="5"/>
    <x v="1"/>
    <s v="20A"/>
    <s v="Whole Plate"/>
    <s v="Dolichospermum planctonicum "/>
    <b v="1"/>
    <n v="10"/>
    <n v="12.5555555555556"/>
    <m/>
    <n v="11.3"/>
    <n v="4.1809999999999998E-3"/>
    <n v="11.3"/>
    <n v="4.1809999999999998E-3"/>
    <m/>
  </r>
  <r>
    <s v="5998.2"/>
    <x v="1"/>
    <x v="5"/>
    <x v="1"/>
    <s v="20A"/>
    <s v="Whole Plate"/>
    <s v="Microcystis wesenbergii"/>
    <b v="1"/>
    <n v="10"/>
    <n v="45.9"/>
    <n v="25"/>
    <n v="206.55"/>
    <n v="3.9312661499999998E-2"/>
    <n v="206.55"/>
    <n v="3.9312661499999998E-2"/>
    <s v="Microcystis spp._x000a_"/>
  </r>
  <r>
    <s v="5998.3"/>
    <x v="1"/>
    <x v="5"/>
    <x v="1"/>
    <s v="20A"/>
    <s v="Whole Plate"/>
    <s v="Limnococcus limneticus_x000a_"/>
    <b v="0"/>
    <n v="10"/>
    <n v="21.3333333333333"/>
    <m/>
    <n v="6.4"/>
    <n v="2.8800000000000002E-3"/>
    <n v="0"/>
    <n v="0"/>
    <m/>
  </r>
  <r>
    <s v="5998.4"/>
    <x v="1"/>
    <x v="5"/>
    <x v="1"/>
    <s v="20A"/>
    <s v="Whole Plate"/>
    <s v="Oscillatoria sp"/>
    <b v="1"/>
    <n v="10"/>
    <n v="74"/>
    <m/>
    <n v="14.8"/>
    <n v="4.0026600000000002E-2"/>
    <n v="14.8"/>
    <n v="4.0026600000000002E-2"/>
    <m/>
  </r>
  <r>
    <s v="5997.1"/>
    <x v="1"/>
    <x v="6"/>
    <x v="1"/>
    <s v="20A"/>
    <s v="Whole Plate"/>
    <s v="Dolichospermum planctonicum "/>
    <b v="1"/>
    <n v="10"/>
    <n v="16.466666666666701"/>
    <m/>
    <n v="24.7"/>
    <n v="9.1389999999999996E-3"/>
    <n v="24.7"/>
    <n v="9.1389999999999996E-3"/>
    <m/>
  </r>
  <r>
    <s v="5997.2"/>
    <x v="1"/>
    <x v="6"/>
    <x v="1"/>
    <s v="20A"/>
    <s v="Whole Plate"/>
    <s v="Microcystis wesenbergii"/>
    <b v="1"/>
    <n v="10"/>
    <n v="47.55"/>
    <n v="37"/>
    <n v="271.03500000000003"/>
    <n v="5.1586091549999998E-2"/>
    <n v="271.03500000000003"/>
    <n v="5.1586091549999998E-2"/>
    <s v="Microcystis spp._x000a_"/>
  </r>
  <r>
    <s v="5997.3"/>
    <x v="1"/>
    <x v="6"/>
    <x v="1"/>
    <s v="20A"/>
    <s v="Whole Plate"/>
    <s v="Pseudanabaena sp."/>
    <b v="1"/>
    <n v="10"/>
    <n v="6"/>
    <m/>
    <n v="0.6"/>
    <n v="2.34E-5"/>
    <n v="0.6"/>
    <n v="2.34E-5"/>
    <m/>
  </r>
  <r>
    <s v="5997.4"/>
    <x v="1"/>
    <x v="6"/>
    <x v="1"/>
    <s v="20A"/>
    <s v="Whole Plate"/>
    <s v="Dolichospermum sp"/>
    <b v="1"/>
    <n v="10"/>
    <n v="14"/>
    <m/>
    <n v="2.8"/>
    <n v="5.3200000000000003E-4"/>
    <n v="2.8"/>
    <n v="5.3200000000000003E-4"/>
    <m/>
  </r>
  <r>
    <s v="5997.5"/>
    <x v="1"/>
    <x v="6"/>
    <x v="1"/>
    <s v="20A"/>
    <s v="Whole Plate"/>
    <s v="Dolichospermum smithii"/>
    <b v="1"/>
    <n v="10"/>
    <n v="29"/>
    <m/>
    <n v="5.8"/>
    <n v="2.5114E-3"/>
    <n v="5.8"/>
    <n v="2.5114E-3"/>
    <m/>
  </r>
  <r>
    <s v="5997.6"/>
    <x v="1"/>
    <x v="6"/>
    <x v="1"/>
    <s v="20A"/>
    <s v="Whole Plate"/>
    <s v="Aphanocapsa sp"/>
    <b v="0"/>
    <n v="10"/>
    <n v="59.3333333333333"/>
    <m/>
    <n v="17.8"/>
    <n v="4.0049999999999998E-5"/>
    <n v="0"/>
    <n v="0"/>
    <m/>
  </r>
  <r>
    <s v="5993.1"/>
    <x v="2"/>
    <x v="7"/>
    <x v="1"/>
    <s v="20A"/>
    <s v="160"/>
    <s v="Microcystis wesenbergii"/>
    <b v="1"/>
    <n v="10"/>
    <n v="54.1"/>
    <n v="23"/>
    <n v="7308.2976180555597"/>
    <n v="1.3909882856445099"/>
    <n v="7308.2976180555597"/>
    <n v="1.3909882856445099"/>
    <s v="Microcystis spp._x000a_"/>
  </r>
  <r>
    <s v="5993.2"/>
    <x v="2"/>
    <x v="7"/>
    <x v="1"/>
    <s v="20A"/>
    <s v="160"/>
    <s v="Microcystis sp"/>
    <b v="1"/>
    <n v="10"/>
    <n v="35.3333333333333"/>
    <m/>
    <n v="333.00930555555499"/>
    <n v="2.3909592408455201E-2"/>
    <n v="333.00930555555601"/>
    <n v="2.3909592408455201E-2"/>
    <s v="Microcystis spp._x000a_"/>
  </r>
  <r>
    <s v="5993.3"/>
    <x v="2"/>
    <x v="7"/>
    <x v="1"/>
    <s v="20A"/>
    <s v="160"/>
    <s v="Pseudanabaena sp."/>
    <b v="1"/>
    <n v="10"/>
    <n v="4"/>
    <m/>
    <n v="50.265555555555601"/>
    <n v="1.9603566666666701E-3"/>
    <n v="50.265555555555601"/>
    <n v="1.9603566666666701E-3"/>
    <m/>
  </r>
  <r>
    <s v="5992.1"/>
    <x v="2"/>
    <x v="8"/>
    <x v="1"/>
    <s v="20A"/>
    <s v="160"/>
    <s v="Microcystis wesenbergii"/>
    <b v="1"/>
    <n v="10"/>
    <n v="71.8"/>
    <n v="17"/>
    <n v="8345.9671805555608"/>
    <n v="1.5884879334751401"/>
    <n v="8345.9671805555608"/>
    <n v="1.5884879334751401"/>
    <s v="Microcystis spp._x000a_"/>
  </r>
  <r>
    <s v="5992.2"/>
    <x v="2"/>
    <x v="8"/>
    <x v="1"/>
    <s v="20A"/>
    <s v="160"/>
    <s v="Geitlerinema sp"/>
    <b v="0"/>
    <n v="10"/>
    <n v="12"/>
    <m/>
    <n v="37.699166666666699"/>
    <n v="8.2938166666666699E-4"/>
    <n v="0"/>
    <n v="0"/>
    <m/>
  </r>
  <r>
    <s v="5992.3"/>
    <x v="2"/>
    <x v="8"/>
    <x v="1"/>
    <s v="20A"/>
    <s v="160"/>
    <s v="Pseudanabaena sp."/>
    <b v="1"/>
    <n v="10"/>
    <n v="6.3888888888888902"/>
    <m/>
    <n v="361.28368055555597"/>
    <n v="1.4090063541666699E-2"/>
    <n v="361.28368055555597"/>
    <n v="1.4090063541666699E-2"/>
    <m/>
  </r>
  <r>
    <s v="5992.4"/>
    <x v="2"/>
    <x v="8"/>
    <x v="1"/>
    <s v="20A"/>
    <s v="160"/>
    <s v="Phormidium sp"/>
    <b v="1"/>
    <n v="10"/>
    <n v="24"/>
    <m/>
    <n v="75.398333333333298"/>
    <n v="7.0376804333333303E-3"/>
    <n v="75.398333333333298"/>
    <n v="7.0376804333333303E-3"/>
    <m/>
  </r>
  <r>
    <s v="5992.5"/>
    <x v="2"/>
    <x v="8"/>
    <x v="1"/>
    <s v="20A"/>
    <s v="160"/>
    <s v="Microcystis sp"/>
    <b v="1"/>
    <n v="10"/>
    <n v="32"/>
    <m/>
    <n v="100.531111111111"/>
    <n v="7.2179901610430596E-3"/>
    <n v="100.531111111111"/>
    <n v="7.2179901610430596E-3"/>
    <s v="Microcystis spp._x000a_"/>
  </r>
  <r>
    <s v="5999.1"/>
    <x v="2"/>
    <x v="9"/>
    <x v="1"/>
    <s v="20A"/>
    <s v="160"/>
    <s v="Microcystis wesenbergii"/>
    <b v="1"/>
    <n v="10"/>
    <n v="67.599999999999994"/>
    <m/>
    <n v="2123.7197222222198"/>
    <n v="0.40420757473055502"/>
    <n v="2123.7197222222198"/>
    <n v="0.40420757473055502"/>
    <s v="Microcystis spp._x000a_"/>
  </r>
  <r>
    <s v="5999.2"/>
    <x v="2"/>
    <x v="9"/>
    <x v="1"/>
    <s v="20A"/>
    <s v="160"/>
    <s v="Pseudanabaena sp."/>
    <b v="1"/>
    <n v="10"/>
    <n v="5"/>
    <m/>
    <n v="109.95590277777799"/>
    <n v="4.2882802083333404E-3"/>
    <n v="109.95590277777799"/>
    <n v="4.2882802083333404E-3"/>
    <m/>
  </r>
  <r>
    <s v="5991.1"/>
    <x v="2"/>
    <x v="10"/>
    <x v="1"/>
    <s v="20A"/>
    <s v="160"/>
    <s v="Microcystis wesenbergii"/>
    <b v="1"/>
    <n v="10"/>
    <n v="68.75"/>
    <n v="44"/>
    <n v="13823.027777777799"/>
    <n v="2.6309368769444501"/>
    <n v="13823.027777777799"/>
    <n v="2.6309368769444501"/>
    <s v="Microcystis spp._x000a_"/>
  </r>
  <r>
    <s v="5991.2"/>
    <x v="2"/>
    <x v="10"/>
    <x v="1"/>
    <s v="20A"/>
    <s v="160"/>
    <s v="Pseudanabaena sp."/>
    <b v="1"/>
    <n v="10"/>
    <n v="5.8571428571428603"/>
    <m/>
    <n v="128.80548611111101"/>
    <n v="5.0234139583333302E-3"/>
    <n v="128.80548611111101"/>
    <n v="5.0234139583333302E-3"/>
    <m/>
  </r>
  <r>
    <s v="5991.3"/>
    <x v="2"/>
    <x v="10"/>
    <x v="1"/>
    <s v="20A"/>
    <s v="160"/>
    <s v="Microcystis sp"/>
    <b v="1"/>
    <n v="10"/>
    <n v="19.5"/>
    <m/>
    <n v="122.522291666667"/>
    <n v="8.7969255087712601E-3"/>
    <n v="122.522291666667"/>
    <n v="8.7969255087712601E-3"/>
    <s v="Microcystis spp._x000a_"/>
  </r>
  <r>
    <s v="6000.1"/>
    <x v="3"/>
    <x v="11"/>
    <x v="1"/>
    <s v="20A"/>
    <s v="Whole Plate"/>
    <s v="Dolichospermum planctonicum "/>
    <b v="1"/>
    <n v="10"/>
    <n v="15.65"/>
    <n v="5"/>
    <n v="39.125"/>
    <n v="1.447625E-2"/>
    <n v="39.125"/>
    <n v="1.447625E-2"/>
    <m/>
  </r>
  <r>
    <s v="6000.2"/>
    <x v="3"/>
    <x v="11"/>
    <x v="1"/>
    <s v="20A"/>
    <s v="Whole Plate"/>
    <s v="Dolichospermum sp"/>
    <b v="1"/>
    <n v="10"/>
    <n v="16.600000000000001"/>
    <n v="8"/>
    <n v="46.48"/>
    <n v="8.8312000000000009E-3"/>
    <n v="46.48"/>
    <n v="8.8312000000000009E-3"/>
    <m/>
  </r>
  <r>
    <s v="6000.3"/>
    <x v="3"/>
    <x v="11"/>
    <x v="1"/>
    <s v="20A"/>
    <s v="Whole Plate"/>
    <s v="Woronichinia naegeliana"/>
    <b v="1"/>
    <n v="10"/>
    <n v="446"/>
    <m/>
    <n v="178.4"/>
    <n v="0"/>
    <n v="178.4"/>
    <n v="0"/>
    <m/>
  </r>
  <r>
    <s v="6000.4"/>
    <x v="3"/>
    <x v="11"/>
    <x v="1"/>
    <s v="20A"/>
    <s v="Whole Plate"/>
    <s v="Microcystis sp"/>
    <b v="1"/>
    <n v="10"/>
    <n v="131"/>
    <m/>
    <n v="26.2"/>
    <n v="1.8811225712039999E-3"/>
    <n v="26.2"/>
    <n v="1.8811225712039999E-3"/>
    <s v="Microcystis spp._x000a_"/>
  </r>
  <r>
    <s v="6000.5"/>
    <x v="3"/>
    <x v="11"/>
    <x v="1"/>
    <s v="20A"/>
    <s v="Whole Plate"/>
    <s v="Dolichospermum lemmermannii"/>
    <b v="1"/>
    <n v="10"/>
    <n v="28.6666666666667"/>
    <m/>
    <n v="17.2"/>
    <n v="1.892E-3"/>
    <n v="17.2"/>
    <n v="1.892E-3"/>
    <m/>
  </r>
  <r>
    <s v="6000.6"/>
    <x v="3"/>
    <x v="11"/>
    <x v="1"/>
    <s v="20A"/>
    <s v="Whole Plate"/>
    <s v="Dolichospermum spiroides"/>
    <b v="1"/>
    <n v="10"/>
    <n v="17"/>
    <m/>
    <n v="1.7"/>
    <n v="4.4200000000000001E-4"/>
    <n v="1.7"/>
    <n v="4.4200000000000001E-4"/>
    <m/>
  </r>
  <r>
    <s v="6000.7"/>
    <x v="3"/>
    <x v="11"/>
    <x v="1"/>
    <s v="20A"/>
    <s v="Whole Plate"/>
    <s v="Dolichospermum smithii"/>
    <b v="1"/>
    <n v="10"/>
    <n v="37"/>
    <m/>
    <n v="3.7"/>
    <n v="1.6021E-3"/>
    <n v="3.7"/>
    <n v="1.6021E-3"/>
    <m/>
  </r>
  <r>
    <s v="5984.1"/>
    <x v="0"/>
    <x v="0"/>
    <x v="2"/>
    <s v="20A"/>
    <s v="Whole Plate"/>
    <s v="Microcystis sp"/>
    <b v="1"/>
    <n v="10"/>
    <n v="17.5"/>
    <n v="16"/>
    <n v="63"/>
    <n v="4.5233099994599997E-3"/>
    <n v="63"/>
    <n v="4.5233099994599997E-3"/>
    <s v="Microcystis spp._x000a_"/>
  </r>
  <r>
    <s v="5984.2"/>
    <x v="0"/>
    <x v="0"/>
    <x v="2"/>
    <s v="20A"/>
    <s v="Whole Plate"/>
    <s v="Pseudanabaena sp."/>
    <b v="1"/>
    <n v="10"/>
    <n v="12"/>
    <m/>
    <n v="10.8"/>
    <n v="4.2119999999999999E-4"/>
    <n v="10.8"/>
    <n v="4.2119999999999999E-4"/>
    <m/>
  </r>
  <r>
    <s v="5984.3"/>
    <x v="0"/>
    <x v="0"/>
    <x v="2"/>
    <s v="20A"/>
    <s v="Whole Plate"/>
    <s v="Dolichospermum lemmermannii"/>
    <b v="1"/>
    <n v="10"/>
    <n v="10"/>
    <m/>
    <n v="4"/>
    <n v="4.4000000000000002E-4"/>
    <n v="4"/>
    <n v="4.4000000000000002E-4"/>
    <m/>
  </r>
  <r>
    <s v="5984.4"/>
    <x v="0"/>
    <x v="0"/>
    <x v="2"/>
    <s v="20A"/>
    <s v="Whole Plate"/>
    <s v="Anabaena torulosa"/>
    <b v="1"/>
    <n v="10"/>
    <n v="22"/>
    <m/>
    <n v="2.2000000000000002"/>
    <n v="4.862E-4"/>
    <n v="2.2000000000000002"/>
    <n v="4.862E-4"/>
    <m/>
  </r>
  <r>
    <s v="5984.5"/>
    <x v="0"/>
    <x v="0"/>
    <x v="2"/>
    <s v="20A"/>
    <s v="Whole Plate"/>
    <s v="Aphanocapsa sp"/>
    <b v="0"/>
    <n v="10"/>
    <n v="126"/>
    <m/>
    <n v="12.6"/>
    <n v="2.8350000000000001E-5"/>
    <n v="0"/>
    <n v="0"/>
    <m/>
  </r>
  <r>
    <s v="5984.6"/>
    <x v="0"/>
    <x v="0"/>
    <x v="2"/>
    <s v="20A"/>
    <s v="Whole Plate"/>
    <s v="Microcystis wesenbergii"/>
    <b v="1"/>
    <n v="10"/>
    <n v="87.3333333333333"/>
    <m/>
    <n v="26.2"/>
    <n v="4.986646E-3"/>
    <n v="26.2"/>
    <n v="4.986646E-3"/>
    <s v="Microcystis spp._x000a_"/>
  </r>
  <r>
    <s v="5984.7"/>
    <x v="0"/>
    <x v="0"/>
    <x v="2"/>
    <s v="20A"/>
    <s v="Whole Plate"/>
    <s v="Oscillatoria sp"/>
    <b v="1"/>
    <n v="10"/>
    <n v="96"/>
    <m/>
    <n v="9.6"/>
    <n v="2.5963199999999999E-2"/>
    <n v="9.6"/>
    <n v="2.5963199999999999E-2"/>
    <m/>
  </r>
  <r>
    <s v="5985.1"/>
    <x v="0"/>
    <x v="1"/>
    <x v="2"/>
    <s v="20A"/>
    <s v="Whole Plate"/>
    <s v="Microcystis sp"/>
    <b v="1"/>
    <n v="10"/>
    <n v="122.6"/>
    <m/>
    <n v="183.9"/>
    <n v="1.3203757284138E-2"/>
    <n v="183.9"/>
    <n v="1.3203757284138E-2"/>
    <s v="Microcystis spp._x000a_"/>
  </r>
  <r>
    <s v="5985.2"/>
    <x v="0"/>
    <x v="1"/>
    <x v="2"/>
    <s v="20A"/>
    <s v="Whole Plate"/>
    <s v="Oscillatoria sp"/>
    <b v="1"/>
    <n v="10"/>
    <n v="42.6666666666667"/>
    <m/>
    <n v="12.8"/>
    <n v="3.4617599999999998E-2"/>
    <n v="12.8"/>
    <n v="3.4617599999999998E-2"/>
    <m/>
  </r>
  <r>
    <s v="5985.3"/>
    <x v="0"/>
    <x v="1"/>
    <x v="2"/>
    <s v="20A"/>
    <s v="Whole Plate"/>
    <s v="Phormidium sp"/>
    <b v="1"/>
    <n v="10"/>
    <n v="253.666666666667"/>
    <m/>
    <n v="380.5"/>
    <n v="3.5515869999999998E-2"/>
    <n v="380.5"/>
    <n v="3.5515869999999998E-2"/>
    <m/>
  </r>
  <r>
    <s v="5985.4"/>
    <x v="0"/>
    <x v="1"/>
    <x v="2"/>
    <s v="20A"/>
    <s v="Whole Plate"/>
    <s v="Microcystis wesenbergii"/>
    <b v="1"/>
    <n v="10"/>
    <n v="37"/>
    <m/>
    <n v="14.8"/>
    <n v="2.816884E-3"/>
    <n v="14.8"/>
    <n v="2.816884E-3"/>
    <s v="Microcystis spp._x000a_"/>
  </r>
  <r>
    <s v="5985.5"/>
    <x v="0"/>
    <x v="1"/>
    <x v="2"/>
    <s v="20A"/>
    <s v="Whole Plate"/>
    <s v="Anabaena torulosa"/>
    <b v="1"/>
    <n v="10"/>
    <n v="15"/>
    <m/>
    <n v="1.5"/>
    <n v="3.3149999999999998E-4"/>
    <n v="1.5"/>
    <n v="3.3149999999999998E-4"/>
    <m/>
  </r>
  <r>
    <s v="5985.6"/>
    <x v="0"/>
    <x v="1"/>
    <x v="2"/>
    <s v="20A"/>
    <s v="Whole Plate"/>
    <s v="Pseudanabaena sp."/>
    <b v="1"/>
    <n v="10"/>
    <n v="20.5"/>
    <n v="3"/>
    <n v="47.15"/>
    <n v="1.8388499999999999E-3"/>
    <n v="47.15"/>
    <n v="1.8388499999999999E-3"/>
    <m/>
  </r>
  <r>
    <s v="5985.7"/>
    <x v="0"/>
    <x v="1"/>
    <x v="2"/>
    <s v="20A"/>
    <s v="Whole Plate"/>
    <s v="Coelosphaerium cf natans"/>
    <b v="0"/>
    <n v="10"/>
    <n v="37.200000000000003"/>
    <m/>
    <n v="18.600000000000001"/>
    <n v="4.278E-5"/>
    <n v="0"/>
    <n v="0"/>
    <m/>
  </r>
  <r>
    <s v="5985.8"/>
    <x v="0"/>
    <x v="1"/>
    <x v="2"/>
    <s v="20A"/>
    <s v="Whole Plate"/>
    <s v="Dolichospermum smithii"/>
    <b v="1"/>
    <n v="10"/>
    <n v="95.5"/>
    <m/>
    <n v="38.200000000000003"/>
    <n v="1.6540599999999999E-2"/>
    <n v="38.200000000000003"/>
    <n v="1.6540599999999999E-2"/>
    <m/>
  </r>
  <r>
    <s v="5985.9"/>
    <x v="0"/>
    <x v="1"/>
    <x v="2"/>
    <s v="20A"/>
    <s v="Whole Plate"/>
    <s v="Dolichospermum spiroides"/>
    <b v="1"/>
    <n v="10"/>
    <n v="36"/>
    <m/>
    <n v="3.6"/>
    <n v="9.3599999999999998E-4"/>
    <n v="3.6"/>
    <n v="9.3599999999999998E-4"/>
    <m/>
  </r>
  <r>
    <s v="5989.1"/>
    <x v="1"/>
    <x v="2"/>
    <x v="2"/>
    <s v="20A"/>
    <s v="Whole Plate"/>
    <s v="Microcystis wesenbergii"/>
    <b v="1"/>
    <n v="10"/>
    <n v="35.875"/>
    <m/>
    <n v="57.4"/>
    <n v="1.0924942E-2"/>
    <n v="57.4"/>
    <n v="1.0924942E-2"/>
    <s v="Microcystis spp._x000a_"/>
  </r>
  <r>
    <s v="5989.2"/>
    <x v="1"/>
    <x v="2"/>
    <x v="2"/>
    <s v="20A"/>
    <s v="Whole Plate"/>
    <s v="Dolichospermum planctonicum "/>
    <b v="1"/>
    <n v="10"/>
    <n v="16"/>
    <m/>
    <n v="4.8"/>
    <n v="1.776E-3"/>
    <n v="4.8"/>
    <n v="1.776E-3"/>
    <m/>
  </r>
  <r>
    <s v="5989.3"/>
    <x v="1"/>
    <x v="2"/>
    <x v="2"/>
    <s v="20A"/>
    <s v="Whole Plate"/>
    <s v="Limnococcus limneticus_x000a_"/>
    <b v="0"/>
    <n v="10"/>
    <n v="24.75"/>
    <m/>
    <n v="9.9"/>
    <n v="4.4549999999999998E-3"/>
    <n v="0"/>
    <n v="0"/>
    <m/>
  </r>
  <r>
    <s v="5989.4"/>
    <x v="1"/>
    <x v="2"/>
    <x v="2"/>
    <s v="20A"/>
    <s v="Whole Plate"/>
    <s v="Coelosphaerium cf natans"/>
    <b v="0"/>
    <n v="10"/>
    <n v="32"/>
    <m/>
    <n v="3.2"/>
    <n v="7.3599999999999998E-6"/>
    <n v="0"/>
    <n v="0"/>
    <m/>
  </r>
  <r>
    <s v="5989.5"/>
    <x v="1"/>
    <x v="2"/>
    <x v="2"/>
    <s v="20A"/>
    <s v="Whole Plate"/>
    <s v="Pseudanabaena sp."/>
    <b v="1"/>
    <n v="10"/>
    <n v="18"/>
    <m/>
    <n v="1.8"/>
    <n v="7.0199999999999999E-5"/>
    <n v="1.8"/>
    <n v="7.0199999999999999E-5"/>
    <m/>
  </r>
  <r>
    <s v="5982.1"/>
    <x v="1"/>
    <x v="3"/>
    <x v="2"/>
    <s v="20A"/>
    <s v="Whole Plate"/>
    <s v="Microcystis wesenbergii"/>
    <b v="1"/>
    <n v="10"/>
    <n v="46.909090909090899"/>
    <m/>
    <n v="51.6"/>
    <n v="9.8210280000000007E-3"/>
    <n v="51.6"/>
    <n v="9.8210280000000007E-3"/>
    <s v="Microcystis spp._x000a_"/>
  </r>
  <r>
    <s v="5982.2"/>
    <x v="1"/>
    <x v="3"/>
    <x v="2"/>
    <s v="20A"/>
    <s v="Whole Plate"/>
    <s v="Oscillatoria sp"/>
    <b v="1"/>
    <n v="10"/>
    <n v="16"/>
    <m/>
    <n v="1.6"/>
    <n v="4.3271999999999998E-3"/>
    <n v="1.6"/>
    <n v="4.3271999999999998E-3"/>
    <m/>
  </r>
  <r>
    <s v="5982.3"/>
    <x v="1"/>
    <x v="3"/>
    <x v="2"/>
    <s v="20A"/>
    <s v="Whole Plate"/>
    <s v="Dolichospermum lemmermannii"/>
    <b v="1"/>
    <n v="10"/>
    <n v="21.266666666666701"/>
    <m/>
    <n v="31.9"/>
    <n v="3.509E-3"/>
    <n v="31.9"/>
    <n v="3.509E-3"/>
    <m/>
  </r>
  <r>
    <s v="5982.4"/>
    <x v="1"/>
    <x v="3"/>
    <x v="2"/>
    <s v="20A"/>
    <s v="Whole Plate"/>
    <s v="Aphanocapsa sp"/>
    <b v="0"/>
    <n v="10"/>
    <n v="264"/>
    <m/>
    <n v="26.4"/>
    <n v="5.94E-5"/>
    <n v="0"/>
    <n v="0"/>
    <m/>
  </r>
  <r>
    <s v="5982.5"/>
    <x v="1"/>
    <x v="3"/>
    <x v="2"/>
    <s v="20A"/>
    <s v="Whole Plate"/>
    <s v="Phormidium sp"/>
    <b v="1"/>
    <n v="10"/>
    <n v="307.0625"/>
    <m/>
    <n v="491.3"/>
    <n v="4.5857941999999999E-2"/>
    <n v="491.3"/>
    <n v="4.5857941999999999E-2"/>
    <m/>
  </r>
  <r>
    <s v="5982.6"/>
    <x v="1"/>
    <x v="3"/>
    <x v="2"/>
    <s v="20A"/>
    <s v="Whole Plate"/>
    <s v="Coelosphaerium cf natans"/>
    <b v="0"/>
    <n v="10"/>
    <n v="28"/>
    <m/>
    <n v="5.6"/>
    <n v="1.288E-5"/>
    <n v="0"/>
    <n v="0"/>
    <m/>
  </r>
  <r>
    <s v="5982.7"/>
    <x v="1"/>
    <x v="3"/>
    <x v="2"/>
    <s v="20A"/>
    <s v="Whole Plate"/>
    <s v="Pseudanabaena sp."/>
    <b v="1"/>
    <n v="10"/>
    <n v="14"/>
    <m/>
    <n v="1.4"/>
    <n v="5.4599999999999999E-5"/>
    <n v="1.4"/>
    <n v="5.4599999999999999E-5"/>
    <m/>
  </r>
  <r>
    <s v="5982.8"/>
    <x v="1"/>
    <x v="3"/>
    <x v="2"/>
    <s v="20A"/>
    <s v="Whole Plate"/>
    <s v="Anabaena torulosa"/>
    <b v="1"/>
    <n v="10"/>
    <n v="19.5"/>
    <m/>
    <n v="3.9"/>
    <n v="8.6189999999999997E-4"/>
    <n v="3.9"/>
    <n v="8.6189999999999997E-4"/>
    <m/>
  </r>
  <r>
    <s v="5982.9"/>
    <x v="1"/>
    <x v="3"/>
    <x v="2"/>
    <s v="20A"/>
    <s v="Whole Plate"/>
    <s v="Dolichospermum circinale"/>
    <b v="1"/>
    <n v="10"/>
    <n v="21"/>
    <m/>
    <n v="2.1"/>
    <n v="1.2088439999999999E-3"/>
    <n v="2.1"/>
    <n v="1.2088439999999999E-3"/>
    <m/>
  </r>
  <r>
    <s v="5980.1"/>
    <x v="1"/>
    <x v="4"/>
    <x v="2"/>
    <s v="20A"/>
    <s v="Whole Plate"/>
    <s v="Microcystis sp"/>
    <b v="1"/>
    <n v="10"/>
    <n v="26.5"/>
    <m/>
    <n v="21.2"/>
    <n v="1.522129714104E-3"/>
    <n v="21.2"/>
    <n v="1.522129714104E-3"/>
    <s v="Microcystis spp._x000a_"/>
  </r>
  <r>
    <s v="5980.2"/>
    <x v="1"/>
    <x v="4"/>
    <x v="2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s v="Microcystis spp._x000a_"/>
  </r>
  <r>
    <s v="5980.3"/>
    <x v="1"/>
    <x v="4"/>
    <x v="2"/>
    <s v="20A"/>
    <s v="Whole Plate"/>
    <s v="Pseudanabaena sp."/>
    <b v="1"/>
    <n v="10"/>
    <n v="3.3333333333333299"/>
    <m/>
    <n v="3"/>
    <n v="1.17E-4"/>
    <n v="3"/>
    <n v="1.17E-4"/>
    <m/>
  </r>
  <r>
    <s v="5980.4"/>
    <x v="1"/>
    <x v="4"/>
    <x v="2"/>
    <s v="20A"/>
    <s v="Whole Plate"/>
    <s v="Aphanocapsa sp"/>
    <b v="0"/>
    <n v="10"/>
    <n v="23"/>
    <m/>
    <n v="4.5999999999999996"/>
    <n v="1.0349999999999999E-5"/>
    <n v="0"/>
    <n v="0"/>
    <m/>
  </r>
  <r>
    <s v="5987.1"/>
    <x v="1"/>
    <x v="5"/>
    <x v="2"/>
    <s v="20A"/>
    <s v="Whole Plate"/>
    <s v="Microcystis sp"/>
    <b v="1"/>
    <n v="10"/>
    <n v="37.200000000000003"/>
    <m/>
    <n v="18.600000000000001"/>
    <n v="1.335453428412E-3"/>
    <n v="18.600000000000001"/>
    <n v="1.335453428412E-3"/>
    <s v="Microcystis spp._x000a_"/>
  </r>
  <r>
    <s v="5987.2"/>
    <x v="1"/>
    <x v="5"/>
    <x v="2"/>
    <s v="20A"/>
    <s v="Whole Plate"/>
    <s v="Microcystis wesenbergii"/>
    <b v="1"/>
    <n v="10"/>
    <n v="44.9444444444444"/>
    <m/>
    <n v="80.900000000000006"/>
    <n v="1.5397697E-2"/>
    <n v="80.900000000000006"/>
    <n v="1.5397697E-2"/>
    <s v="Microcystis spp._x000a_"/>
  </r>
  <r>
    <s v="5987.3"/>
    <x v="1"/>
    <x v="5"/>
    <x v="2"/>
    <s v="20A"/>
    <s v="Whole Plate"/>
    <s v="Limnococcus limneticus_x000a_"/>
    <b v="0"/>
    <n v="10"/>
    <n v="13"/>
    <m/>
    <n v="2.6"/>
    <n v="1.17E-3"/>
    <n v="0"/>
    <n v="0"/>
    <m/>
  </r>
  <r>
    <s v="5987.4"/>
    <x v="1"/>
    <x v="5"/>
    <x v="2"/>
    <s v="20A"/>
    <s v="Whole Plate"/>
    <s v="Dolichospermum planctonicum "/>
    <b v="1"/>
    <n v="10"/>
    <n v="13.5833333333333"/>
    <m/>
    <n v="16.3"/>
    <n v="6.0309999999999999E-3"/>
    <n v="16.3"/>
    <n v="6.0309999999999999E-3"/>
    <m/>
  </r>
  <r>
    <s v="5987.5"/>
    <x v="1"/>
    <x v="5"/>
    <x v="2"/>
    <s v="20A"/>
    <s v="Whole Plate"/>
    <s v="Dolichospermum circinale"/>
    <b v="1"/>
    <n v="10"/>
    <n v="19"/>
    <m/>
    <n v="3.8"/>
    <n v="2.187432E-3"/>
    <n v="3.8"/>
    <n v="2.187432E-3"/>
    <m/>
  </r>
  <r>
    <s v="5987.6"/>
    <x v="1"/>
    <x v="5"/>
    <x v="2"/>
    <s v="20A"/>
    <s v="Whole Plate"/>
    <s v="Aphanocapsa sp"/>
    <b v="0"/>
    <n v="10"/>
    <n v="160"/>
    <m/>
    <n v="16"/>
    <n v="3.6000000000000001E-5"/>
    <n v="0"/>
    <n v="0"/>
    <m/>
  </r>
  <r>
    <s v="5986.1"/>
    <x v="1"/>
    <x v="6"/>
    <x v="2"/>
    <s v="20A"/>
    <s v="Whole Plate"/>
    <s v="Microcystis wesenbergii"/>
    <b v="1"/>
    <n v="10"/>
    <n v="46.15"/>
    <n v="58"/>
    <n v="359.97"/>
    <n v="6.8513090099999993E-2"/>
    <n v="359.97"/>
    <n v="6.8513090099999993E-2"/>
    <s v="Microcystis spp._x000a_"/>
  </r>
  <r>
    <s v="5986.2"/>
    <x v="1"/>
    <x v="6"/>
    <x v="2"/>
    <s v="20A"/>
    <s v="Whole Plate"/>
    <s v="Dolichospermum planctonicum "/>
    <b v="1"/>
    <n v="10"/>
    <n v="17.100000000000001"/>
    <m/>
    <n v="34.200000000000003"/>
    <n v="1.2654E-2"/>
    <n v="34.200000000000003"/>
    <n v="1.2654E-2"/>
    <m/>
  </r>
  <r>
    <s v="5986.3"/>
    <x v="1"/>
    <x v="6"/>
    <x v="2"/>
    <s v="20A"/>
    <s v="Whole Plate"/>
    <s v="Microcystis sp"/>
    <b v="1"/>
    <n v="10"/>
    <n v="29.8571428571429"/>
    <m/>
    <n v="20.9"/>
    <n v="1.5005901426780001E-3"/>
    <n v="20.9"/>
    <n v="1.5005901426780001E-3"/>
    <s v="Microcystis spp._x000a_"/>
  </r>
  <r>
    <s v="5986.4"/>
    <x v="1"/>
    <x v="6"/>
    <x v="2"/>
    <s v="20A"/>
    <s v="Whole Plate"/>
    <s v="Dolichospermum circinale"/>
    <b v="1"/>
    <n v="10"/>
    <n v="18.5"/>
    <m/>
    <n v="7.4"/>
    <n v="4.2597360000000001E-3"/>
    <n v="7.4"/>
    <n v="4.2597360000000001E-3"/>
    <m/>
  </r>
  <r>
    <s v="5988.1"/>
    <x v="2"/>
    <x v="7"/>
    <x v="2"/>
    <s v="20A"/>
    <s v="Whole Plate"/>
    <s v="Microcystis wesenbergii"/>
    <b v="1"/>
    <n v="10"/>
    <n v="69.099999999999994"/>
    <n v="37"/>
    <n v="393.87"/>
    <n v="7.4965277100000005E-2"/>
    <n v="393.87"/>
    <n v="7.4965277100000005E-2"/>
    <s v="Microcystis spp._x000a_"/>
  </r>
  <r>
    <s v="5988.2"/>
    <x v="2"/>
    <x v="7"/>
    <x v="2"/>
    <s v="20A"/>
    <s v="Whole Plate"/>
    <s v="Microcystis sp"/>
    <b v="1"/>
    <n v="10"/>
    <n v="18.8333333333333"/>
    <m/>
    <n v="11.3"/>
    <n v="8.11323857046E-4"/>
    <n v="11.3"/>
    <n v="8.11323857046E-4"/>
    <s v="Microcystis spp._x000a_"/>
  </r>
  <r>
    <s v="5988.3"/>
    <x v="2"/>
    <x v="7"/>
    <x v="2"/>
    <s v="20A"/>
    <s v="Whole Plate"/>
    <s v="Pseudanabaena sp."/>
    <b v="1"/>
    <n v="10"/>
    <n v="5.1428571428571397"/>
    <m/>
    <n v="3.6"/>
    <n v="1.404E-4"/>
    <n v="3.6"/>
    <n v="1.404E-4"/>
    <m/>
  </r>
  <r>
    <s v="5979.1"/>
    <x v="2"/>
    <x v="8"/>
    <x v="2"/>
    <s v="20A"/>
    <s v="160"/>
    <s v="Microcystis wesenbergii"/>
    <b v="1"/>
    <n v="10"/>
    <n v="54.3"/>
    <n v="27"/>
    <n v="8017.6702708333296"/>
    <n v="1.5260031826477101"/>
    <n v="8017.6702708333296"/>
    <n v="1.5260031826477101"/>
    <s v="Microcystis spp._x000a_"/>
  </r>
  <r>
    <s v="5979.2"/>
    <x v="2"/>
    <x v="8"/>
    <x v="2"/>
    <s v="20A"/>
    <s v="160"/>
    <s v="Pseudanabaena sp."/>
    <b v="1"/>
    <n v="10"/>
    <n v="4.28571428571429"/>
    <m/>
    <n v="188.495833333333"/>
    <n v="7.3513374999999897E-3"/>
    <n v="188.495833333333"/>
    <n v="7.3513374999999897E-3"/>
    <m/>
  </r>
  <r>
    <s v="5981.1"/>
    <x v="2"/>
    <x v="9"/>
    <x v="2"/>
    <s v="20A"/>
    <s v="160"/>
    <s v="Microcystis wesenbergii"/>
    <b v="1"/>
    <n v="10"/>
    <n v="45.25"/>
    <n v="48"/>
    <n v="9666.69465277778"/>
    <n v="1.8398619932631901"/>
    <n v="9666.69465277778"/>
    <n v="1.8398619932631901"/>
    <s v="Microcystis spp._x000a_"/>
  </r>
  <r>
    <s v="5981.2"/>
    <x v="2"/>
    <x v="9"/>
    <x v="2"/>
    <s v="20A"/>
    <s v="160"/>
    <s v="Microcystis sp"/>
    <b v="1"/>
    <n v="10"/>
    <n v="15"/>
    <m/>
    <n v="94.247916666666697"/>
    <n v="6.76686577597787E-3"/>
    <n v="94.247916666666598"/>
    <n v="6.76686577597787E-3"/>
    <s v="Microcystis spp._x000a_"/>
  </r>
  <r>
    <s v="5981.3"/>
    <x v="2"/>
    <x v="9"/>
    <x v="2"/>
    <s v="20A"/>
    <s v="160"/>
    <s v="Pseudanabaena sp."/>
    <b v="1"/>
    <n v="10"/>
    <n v="4.6363636363636402"/>
    <m/>
    <n v="160.221458333333"/>
    <n v="6.2486368749999901E-3"/>
    <n v="160.221458333333"/>
    <n v="6.2486368749999901E-3"/>
    <m/>
  </r>
  <r>
    <s v="5981.4"/>
    <x v="2"/>
    <x v="9"/>
    <x v="2"/>
    <s v="20A"/>
    <s v="160"/>
    <s v="Oscillatoria sp"/>
    <b v="1"/>
    <n v="10"/>
    <n v="32"/>
    <m/>
    <n v="100.531111111111"/>
    <n v="0.27188638999999998"/>
    <n v="100.531111111111"/>
    <n v="0.27188638999999998"/>
    <m/>
  </r>
  <r>
    <s v="5981.5"/>
    <x v="2"/>
    <x v="9"/>
    <x v="2"/>
    <s v="20A"/>
    <s v="160"/>
    <s v="Dolichospermum planctonicum "/>
    <b v="1"/>
    <n v="10"/>
    <n v="180"/>
    <m/>
    <n v="565.48749999999995"/>
    <n v="0.209230375"/>
    <n v="565.48749999999995"/>
    <n v="0.209230375"/>
    <m/>
  </r>
  <r>
    <s v="5983.1"/>
    <x v="2"/>
    <x v="10"/>
    <x v="2"/>
    <s v="20A"/>
    <s v="Whole Plate"/>
    <s v="Microcystis wesenbergii"/>
    <b v="1"/>
    <n v="10"/>
    <n v="50.8"/>
    <n v="110"/>
    <n v="660.4"/>
    <n v="0.12569393200000001"/>
    <n v="660.4"/>
    <n v="0.12569393200000001"/>
    <s v="Microcystis spp._x000a_"/>
  </r>
  <r>
    <s v="5983.2"/>
    <x v="2"/>
    <x v="10"/>
    <x v="2"/>
    <s v="20A"/>
    <s v="Whole Plate"/>
    <s v="Pseudanabaena sp."/>
    <b v="1"/>
    <n v="10"/>
    <n v="7.8571428571428603"/>
    <m/>
    <n v="5.5"/>
    <n v="2.1450000000000001E-4"/>
    <n v="5.5"/>
    <n v="2.1450000000000001E-4"/>
    <m/>
  </r>
  <r>
    <s v="5983.3"/>
    <x v="2"/>
    <x v="10"/>
    <x v="2"/>
    <s v="20A"/>
    <s v="Whole Plate"/>
    <s v="Microcystis sp"/>
    <b v="1"/>
    <n v="10"/>
    <n v="29.5"/>
    <m/>
    <n v="11.8"/>
    <n v="8.4722314275599998E-4"/>
    <n v="11.8"/>
    <n v="8.4722314275599998E-4"/>
    <s v="Microcystis spp._x000a_"/>
  </r>
  <r>
    <s v="5983.4"/>
    <x v="2"/>
    <x v="10"/>
    <x v="2"/>
    <s v="20A"/>
    <s v="Whole Plate"/>
    <s v="Anabaena torulosa"/>
    <b v="1"/>
    <n v="10"/>
    <n v="18"/>
    <m/>
    <n v="1.8"/>
    <n v="3.9780000000000002E-4"/>
    <n v="1.8"/>
    <n v="3.9780000000000002E-4"/>
    <m/>
  </r>
  <r>
    <s v="5990.1"/>
    <x v="3"/>
    <x v="11"/>
    <x v="2"/>
    <s v="20A"/>
    <s v="Whole Plate"/>
    <s v="Dolichospermum planctonicum "/>
    <b v="1"/>
    <n v="10"/>
    <n v="15.5714285714286"/>
    <m/>
    <n v="21.8"/>
    <n v="8.0660000000000003E-3"/>
    <n v="21.8"/>
    <n v="8.0660000000000003E-3"/>
    <m/>
  </r>
  <r>
    <s v="5990.2"/>
    <x v="3"/>
    <x v="11"/>
    <x v="2"/>
    <s v="20A"/>
    <s v="Whole Plate"/>
    <s v="Woronichinia naegeliana"/>
    <b v="1"/>
    <n v="10"/>
    <n v="420"/>
    <m/>
    <n v="84"/>
    <n v="0"/>
    <n v="84"/>
    <n v="0"/>
    <m/>
  </r>
  <r>
    <s v="5990.3"/>
    <x v="3"/>
    <x v="11"/>
    <x v="2"/>
    <s v="20A"/>
    <s v="Whole Plate"/>
    <s v="Dolichospermum circinale"/>
    <b v="1"/>
    <n v="10"/>
    <n v="20.882352941176499"/>
    <m/>
    <n v="35.5"/>
    <n v="2.043522E-2"/>
    <n v="35.5"/>
    <n v="2.043522E-2"/>
    <m/>
  </r>
  <r>
    <s v="5990.4"/>
    <x v="3"/>
    <x v="11"/>
    <x v="2"/>
    <s v="20A"/>
    <s v="Whole Plate"/>
    <s v="Phormidium sp"/>
    <b v="1"/>
    <n v="10"/>
    <n v="104"/>
    <m/>
    <n v="20.8"/>
    <n v="1.9414720000000001E-3"/>
    <n v="20.8"/>
    <n v="1.9414720000000001E-3"/>
    <m/>
  </r>
  <r>
    <s v="5990.5"/>
    <x v="3"/>
    <x v="11"/>
    <x v="2"/>
    <s v="20A"/>
    <s v="Whole Plate"/>
    <s v="Anabaena torulosa"/>
    <b v="1"/>
    <n v="10"/>
    <n v="32.5"/>
    <m/>
    <n v="13"/>
    <n v="2.8730000000000001E-3"/>
    <n v="13"/>
    <n v="2.8730000000000001E-3"/>
    <m/>
  </r>
  <r>
    <s v="5990.6"/>
    <x v="3"/>
    <x v="11"/>
    <x v="2"/>
    <s v="20A"/>
    <s v="Whole Plate"/>
    <s v="Oscillatoria sp"/>
    <b v="1"/>
    <n v="10"/>
    <n v="48"/>
    <m/>
    <n v="4.8"/>
    <n v="1.2981599999999999E-2"/>
    <n v="4.8"/>
    <n v="1.2981599999999999E-2"/>
    <m/>
  </r>
  <r>
    <s v="5990.7"/>
    <x v="3"/>
    <x v="11"/>
    <x v="2"/>
    <s v="20A"/>
    <s v="Whole Plate"/>
    <s v="Pseudanabaena sp."/>
    <b v="1"/>
    <n v="10"/>
    <n v="24.3333333333333"/>
    <m/>
    <n v="7.3"/>
    <n v="2.8469999999999998E-4"/>
    <n v="7.3"/>
    <n v="2.8469999999999998E-4"/>
    <m/>
  </r>
  <r>
    <s v="5973.1"/>
    <x v="0"/>
    <x v="0"/>
    <x v="3"/>
    <s v="20A"/>
    <s v="Whole Plate"/>
    <s v="Dolichospermum lemmermannii"/>
    <b v="1"/>
    <n v="10"/>
    <n v="13.6666666666667"/>
    <m/>
    <n v="4.0999999999999996"/>
    <n v="4.5100000000000001E-4"/>
    <n v="4.0999999999999996"/>
    <n v="4.5100000000000001E-4"/>
    <m/>
  </r>
  <r>
    <s v="5973.2"/>
    <x v="0"/>
    <x v="0"/>
    <x v="3"/>
    <s v="20A"/>
    <s v="Whole Plate"/>
    <s v="Anabaena torulosa"/>
    <b v="1"/>
    <n v="10"/>
    <n v="15.214285714285699"/>
    <m/>
    <n v="21.3"/>
    <n v="4.7073000000000002E-3"/>
    <n v="21.3"/>
    <n v="4.7073000000000002E-3"/>
    <m/>
  </r>
  <r>
    <s v="5973.3"/>
    <x v="0"/>
    <x v="0"/>
    <x v="3"/>
    <s v="20A"/>
    <s v="Whole Plate"/>
    <s v="Microcystis sp"/>
    <b v="1"/>
    <n v="10"/>
    <n v="36"/>
    <m/>
    <n v="39.6"/>
    <n v="2.843223428232E-3"/>
    <n v="39.6"/>
    <n v="2.843223428232E-3"/>
    <s v="Microcystis spp._x000a_"/>
  </r>
  <r>
    <s v="5973.4"/>
    <x v="0"/>
    <x v="0"/>
    <x v="3"/>
    <s v="20A"/>
    <s v="Whole Plate"/>
    <s v="Dolichospermum planctonicum "/>
    <b v="1"/>
    <n v="10"/>
    <n v="16.6666666666667"/>
    <m/>
    <n v="5"/>
    <n v="1.8500000000000001E-3"/>
    <n v="5"/>
    <n v="1.8500000000000001E-3"/>
    <m/>
  </r>
  <r>
    <s v="5973.5"/>
    <x v="0"/>
    <x v="0"/>
    <x v="3"/>
    <s v="20A"/>
    <s v="Whole Plate"/>
    <s v="Microcystis wesenbergii"/>
    <b v="1"/>
    <n v="10"/>
    <n v="58.3333333333333"/>
    <m/>
    <n v="17.5"/>
    <n v="3.3307749999999998E-3"/>
    <n v="17.5"/>
    <n v="3.3307749999999998E-3"/>
    <s v="Microcystis spp._x000a_"/>
  </r>
  <r>
    <s v="5973.6"/>
    <x v="0"/>
    <x v="0"/>
    <x v="3"/>
    <s v="20A"/>
    <s v="Whole Plate"/>
    <s v="Pseudanabaena sp."/>
    <b v="1"/>
    <n v="10"/>
    <n v="14.3333333333333"/>
    <m/>
    <n v="17.2"/>
    <n v="6.7080000000000004E-4"/>
    <n v="17.2"/>
    <n v="6.7080000000000004E-4"/>
    <m/>
  </r>
  <r>
    <s v="5973.7"/>
    <x v="0"/>
    <x v="0"/>
    <x v="3"/>
    <s v="20A"/>
    <s v="Whole Plate"/>
    <s v="Oscillatoria sp"/>
    <b v="1"/>
    <n v="10"/>
    <n v="161"/>
    <m/>
    <n v="32.200000000000003"/>
    <n v="8.7084900000000007E-2"/>
    <n v="32.200000000000003"/>
    <n v="8.7084900000000007E-2"/>
    <m/>
  </r>
  <r>
    <s v="5973.8"/>
    <x v="0"/>
    <x v="0"/>
    <x v="3"/>
    <s v="20A"/>
    <s v="Whole Plate"/>
    <s v="Phormidium sp"/>
    <b v="1"/>
    <n v="10"/>
    <n v="78"/>
    <m/>
    <n v="7.8"/>
    <n v="7.2805199999999997E-4"/>
    <n v="7.8"/>
    <n v="7.2805199999999997E-4"/>
    <m/>
  </r>
  <r>
    <s v="5975.1"/>
    <x v="0"/>
    <x v="1"/>
    <x v="3"/>
    <s v="20A"/>
    <s v="Whole Plate"/>
    <s v="Microcystis sp"/>
    <b v="1"/>
    <n v="10"/>
    <n v="69.95"/>
    <n v="80"/>
    <n v="699.5"/>
    <n v="5.0223100708290003E-2"/>
    <n v="699.5"/>
    <n v="5.0223100708290003E-2"/>
    <s v="Microcystis spp._x000a_"/>
  </r>
  <r>
    <s v="5975.2"/>
    <x v="0"/>
    <x v="1"/>
    <x v="3"/>
    <s v="20A"/>
    <s v="Whole Plate"/>
    <s v="Pseudanabaena sp."/>
    <b v="1"/>
    <n v="10"/>
    <n v="7.5"/>
    <m/>
    <n v="4.5"/>
    <n v="1.7550000000000001E-4"/>
    <n v="4.5"/>
    <n v="1.7550000000000001E-4"/>
    <m/>
  </r>
  <r>
    <s v="5975.3"/>
    <x v="0"/>
    <x v="1"/>
    <x v="3"/>
    <s v="20A"/>
    <s v="Whole Plate"/>
    <s v="Dolichospermum lemmermannii"/>
    <b v="1"/>
    <n v="10"/>
    <n v="19.5"/>
    <m/>
    <n v="11.7"/>
    <n v="1.2869999999999999E-3"/>
    <n v="11.7"/>
    <n v="1.2869999999999999E-3"/>
    <m/>
  </r>
  <r>
    <s v="5975.4"/>
    <x v="0"/>
    <x v="1"/>
    <x v="3"/>
    <s v="20A"/>
    <s v="Whole Plate"/>
    <s v="Anabaena torulosa"/>
    <b v="1"/>
    <n v="10"/>
    <n v="25.8"/>
    <m/>
    <n v="12.9"/>
    <n v="2.8509E-3"/>
    <n v="12.9"/>
    <n v="2.8509E-3"/>
    <m/>
  </r>
  <r>
    <s v="5975.5"/>
    <x v="0"/>
    <x v="1"/>
    <x v="3"/>
    <s v="20A"/>
    <s v="Whole Plate"/>
    <s v="Microcystis wesenbergii"/>
    <b v="1"/>
    <n v="10"/>
    <n v="38.25"/>
    <m/>
    <n v="30.6"/>
    <n v="5.8240979999999998E-3"/>
    <n v="30.6"/>
    <n v="5.8240979999999998E-3"/>
    <s v="Microcystis spp._x000a_"/>
  </r>
  <r>
    <s v="5975.6"/>
    <x v="0"/>
    <x v="1"/>
    <x v="3"/>
    <s v="20A"/>
    <s v="Whole Plate"/>
    <s v="Limnococcus limneticus_x000a_"/>
    <b v="0"/>
    <n v="10"/>
    <n v="22"/>
    <m/>
    <n v="2.2000000000000002"/>
    <n v="9.8999999999999999E-4"/>
    <n v="0"/>
    <n v="0"/>
    <m/>
  </r>
  <r>
    <s v="5975.7"/>
    <x v="0"/>
    <x v="1"/>
    <x v="3"/>
    <s v="20A"/>
    <s v="Whole Plate"/>
    <s v="Dolichospermum spiroides"/>
    <b v="1"/>
    <n v="10"/>
    <n v="14"/>
    <m/>
    <n v="1.4"/>
    <n v="3.6400000000000001E-4"/>
    <n v="1.4"/>
    <n v="3.6400000000000001E-4"/>
    <m/>
  </r>
  <r>
    <s v="5975.8"/>
    <x v="0"/>
    <x v="1"/>
    <x v="3"/>
    <s v="20A"/>
    <s v="Whole Plate"/>
    <s v="Coelosphaerium cf natans"/>
    <b v="0"/>
    <n v="10"/>
    <n v="22"/>
    <m/>
    <n v="2.2000000000000002"/>
    <n v="5.0599999999999998E-6"/>
    <n v="0"/>
    <n v="0"/>
    <m/>
  </r>
  <r>
    <s v="5975.9"/>
    <x v="0"/>
    <x v="1"/>
    <x v="3"/>
    <s v="20A"/>
    <s v="Whole Plate"/>
    <s v="Phormidium sp"/>
    <b v="1"/>
    <n v="10"/>
    <n v="96"/>
    <m/>
    <n v="9.6"/>
    <n v="8.9606400000000002E-4"/>
    <n v="9.6"/>
    <n v="8.9606400000000002E-4"/>
    <m/>
  </r>
  <r>
    <s v="5974.1"/>
    <x v="1"/>
    <x v="2"/>
    <x v="3"/>
    <s v="20A"/>
    <s v="Whole Plate"/>
    <s v="Microcystis wesenbergii"/>
    <b v="1"/>
    <n v="10"/>
    <n v="43.153846153846203"/>
    <m/>
    <n v="56.1"/>
    <n v="1.0677513E-2"/>
    <n v="56.1"/>
    <n v="1.0677513E-2"/>
    <s v="Microcystis spp._x000a_"/>
  </r>
  <r>
    <s v="5974.2"/>
    <x v="1"/>
    <x v="2"/>
    <x v="3"/>
    <s v="20A"/>
    <s v="Whole Plate"/>
    <s v="Dolichospermum planctonicum "/>
    <b v="1"/>
    <n v="10"/>
    <n v="11.8"/>
    <m/>
    <n v="5.9"/>
    <n v="2.183E-3"/>
    <n v="5.9"/>
    <n v="2.183E-3"/>
    <m/>
  </r>
  <r>
    <s v="5974.3"/>
    <x v="1"/>
    <x v="2"/>
    <x v="3"/>
    <s v="20A"/>
    <s v="Whole Plate"/>
    <s v="Limnococcus limneticus_x000a_"/>
    <b v="0"/>
    <n v="10"/>
    <n v="14"/>
    <m/>
    <n v="5.6"/>
    <n v="2.5200000000000001E-3"/>
    <n v="0"/>
    <n v="0"/>
    <m/>
  </r>
  <r>
    <s v="5974.4"/>
    <x v="1"/>
    <x v="2"/>
    <x v="3"/>
    <s v="20A"/>
    <s v="Whole Plate"/>
    <s v="Pseudanabaena sp."/>
    <b v="1"/>
    <n v="10"/>
    <n v="19"/>
    <m/>
    <n v="3.8"/>
    <n v="1.482E-4"/>
    <n v="3.8"/>
    <n v="1.482E-4"/>
    <m/>
  </r>
  <r>
    <s v="5974.5"/>
    <x v="1"/>
    <x v="2"/>
    <x v="3"/>
    <s v="20A"/>
    <s v="Whole Plate"/>
    <s v="Oscillatoria sp"/>
    <b v="1"/>
    <n v="10"/>
    <n v="390"/>
    <m/>
    <n v="39"/>
    <n v="0.1054755"/>
    <n v="39"/>
    <n v="0.1054755"/>
    <m/>
  </r>
  <r>
    <s v="5972.1"/>
    <x v="1"/>
    <x v="3"/>
    <x v="3"/>
    <s v="20A"/>
    <s v="Whole Plate"/>
    <s v="Phormidium sp"/>
    <b v="1"/>
    <n v="10"/>
    <n v="573.33333333333303"/>
    <m/>
    <n v="172"/>
    <n v="1.6054479999999999E-2"/>
    <n v="172"/>
    <n v="1.6054479999999999E-2"/>
    <m/>
  </r>
  <r>
    <s v="5972.2"/>
    <x v="1"/>
    <x v="3"/>
    <x v="3"/>
    <s v="20A"/>
    <s v="Whole Plate"/>
    <s v="Microcystis wesenbergii"/>
    <b v="1"/>
    <n v="10"/>
    <n v="26.5"/>
    <m/>
    <n v="10.6"/>
    <n v="2.0174979999999999E-3"/>
    <n v="10.6"/>
    <n v="2.0174979999999999E-3"/>
    <s v="Microcystis spp._x000a_"/>
  </r>
  <r>
    <s v="5972.3"/>
    <x v="1"/>
    <x v="3"/>
    <x v="3"/>
    <s v="20A"/>
    <s v="Whole Plate"/>
    <s v="Dolichospermum sp"/>
    <b v="1"/>
    <n v="10"/>
    <n v="11.4"/>
    <m/>
    <n v="5.7"/>
    <n v="1.083E-3"/>
    <n v="5.7"/>
    <n v="1.083E-3"/>
    <m/>
  </r>
  <r>
    <s v="5972.4"/>
    <x v="1"/>
    <x v="3"/>
    <x v="3"/>
    <s v="20A"/>
    <s v="Whole Plate"/>
    <s v="Dolichospermum lemmermannii"/>
    <b v="1"/>
    <n v="10"/>
    <n v="29"/>
    <n v="7"/>
    <n v="78.3"/>
    <n v="8.6130000000000009E-3"/>
    <n v="78.3"/>
    <n v="8.6130000000000009E-3"/>
    <m/>
  </r>
  <r>
    <s v="5972.5"/>
    <x v="1"/>
    <x v="3"/>
    <x v="3"/>
    <s v="20A"/>
    <s v="Whole Plate"/>
    <s v="Oscillatoria sp"/>
    <b v="1"/>
    <n v="10"/>
    <n v="105"/>
    <m/>
    <n v="10.5"/>
    <n v="2.8397249999999999E-2"/>
    <n v="10.5"/>
    <n v="2.8397249999999999E-2"/>
    <m/>
  </r>
  <r>
    <s v="5972.6"/>
    <x v="1"/>
    <x v="3"/>
    <x v="3"/>
    <s v="20A"/>
    <s v="Whole Plate"/>
    <s v="Coelosphaerium cf natans"/>
    <b v="0"/>
    <n v="10"/>
    <n v="24"/>
    <m/>
    <n v="2.4"/>
    <n v="5.5199999999999997E-6"/>
    <n v="0"/>
    <n v="0"/>
    <m/>
  </r>
  <r>
    <s v="5972.7"/>
    <x v="1"/>
    <x v="3"/>
    <x v="3"/>
    <s v="20A"/>
    <s v="Whole Plate"/>
    <s v="Microcystis sp"/>
    <b v="1"/>
    <n v="10"/>
    <n v="15.5"/>
    <m/>
    <n v="3.1"/>
    <n v="2.2257557140199999E-4"/>
    <n v="3.1"/>
    <n v="2.2257557140199999E-4"/>
    <s v="Microcystis spp._x000a_"/>
  </r>
  <r>
    <s v="5972.8"/>
    <x v="1"/>
    <x v="3"/>
    <x v="3"/>
    <s v="20A"/>
    <s v="Whole Plate"/>
    <s v="Dolichospermum circinale"/>
    <b v="1"/>
    <n v="10"/>
    <n v="20"/>
    <m/>
    <n v="2"/>
    <n v="1.15128E-3"/>
    <n v="2"/>
    <n v="1.15128E-3"/>
    <m/>
  </r>
  <r>
    <s v="5968.1"/>
    <x v="1"/>
    <x v="4"/>
    <x v="3"/>
    <s v="20A"/>
    <s v="160"/>
    <s v="Microcystis wesenbergii"/>
    <b v="1"/>
    <n v="10"/>
    <n v="40.5555555555556"/>
    <m/>
    <n v="1146.68298611111"/>
    <n v="0.218248172746528"/>
    <n v="1146.68298611111"/>
    <n v="0.218248172746528"/>
    <s v="Microcystis spp._x000a_"/>
  </r>
  <r>
    <s v="5968.2"/>
    <x v="1"/>
    <x v="4"/>
    <x v="3"/>
    <s v="20A"/>
    <s v="160"/>
    <s v="Woronichinia naegeliana"/>
    <b v="1"/>
    <n v="10"/>
    <n v="608"/>
    <m/>
    <n v="1910.09111111111"/>
    <n v="0"/>
    <n v="1910.09111111111"/>
    <n v="0"/>
    <m/>
  </r>
  <r>
    <s v="5968.3"/>
    <x v="1"/>
    <x v="4"/>
    <x v="3"/>
    <s v="20A"/>
    <s v="160"/>
    <s v="Microcystis sp"/>
    <b v="1"/>
    <n v="10"/>
    <n v="27"/>
    <m/>
    <n v="169.64625000000001"/>
    <n v="1.21803583967602E-2"/>
    <n v="169.64625000000001"/>
    <n v="1.21803583967602E-2"/>
    <s v="Microcystis spp._x000a_"/>
  </r>
  <r>
    <s v="5968.4"/>
    <x v="1"/>
    <x v="4"/>
    <x v="3"/>
    <s v="20A"/>
    <s v="160"/>
    <s v="Oscillatoria sp"/>
    <b v="1"/>
    <n v="10"/>
    <n v="24"/>
    <m/>
    <n v="75.398333333333298"/>
    <n v="0.2039147925"/>
    <n v="75.398333333333298"/>
    <n v="0.2039147925"/>
    <m/>
  </r>
  <r>
    <s v="5968.5"/>
    <x v="1"/>
    <x v="4"/>
    <x v="3"/>
    <s v="20A"/>
    <s v="160"/>
    <s v="Pseudanabaena sp."/>
    <b v="1"/>
    <n v="10"/>
    <n v="3"/>
    <m/>
    <n v="28.274374999999999"/>
    <n v="1.102700625E-3"/>
    <n v="28.274374999999999"/>
    <n v="1.102700625E-3"/>
    <m/>
  </r>
  <r>
    <s v="5978.1"/>
    <x v="1"/>
    <x v="5"/>
    <x v="3"/>
    <s v="20A"/>
    <s v="Whole Plate"/>
    <s v="Microcystis wesenbergii"/>
    <b v="1"/>
    <n v="10"/>
    <n v="33.700000000000003"/>
    <n v="17"/>
    <n v="124.69"/>
    <n v="2.37322477E-2"/>
    <n v="124.69"/>
    <n v="2.37322477E-2"/>
    <s v="Microcystis spp._x000a_"/>
  </r>
  <r>
    <s v="5978.3"/>
    <x v="1"/>
    <x v="5"/>
    <x v="3"/>
    <s v="20A"/>
    <s v="Whole Plate"/>
    <s v="Dolichospermum planctonicum "/>
    <b v="1"/>
    <n v="10"/>
    <n v="11.75"/>
    <m/>
    <n v="4.7"/>
    <n v="1.7390000000000001E-3"/>
    <n v="4.7"/>
    <n v="1.7390000000000001E-3"/>
    <m/>
  </r>
  <r>
    <s v="5978.4"/>
    <x v="1"/>
    <x v="5"/>
    <x v="3"/>
    <s v="20A"/>
    <s v="Whole Plate"/>
    <s v="Pseudanabaena sp."/>
    <b v="1"/>
    <n v="10"/>
    <n v="5.8"/>
    <m/>
    <n v="2.9"/>
    <n v="1.131E-4"/>
    <n v="2.9"/>
    <n v="1.131E-4"/>
    <m/>
  </r>
  <r>
    <s v="5978.5"/>
    <x v="1"/>
    <x v="5"/>
    <x v="3"/>
    <s v="20A"/>
    <s v="Whole Plate"/>
    <s v="Limnococcus limneticus_x000a_"/>
    <b v="0"/>
    <n v="10"/>
    <n v="23.3333333333333"/>
    <m/>
    <n v="7"/>
    <n v="3.15E-3"/>
    <n v="0"/>
    <n v="0"/>
    <m/>
  </r>
  <r>
    <s v="5976.1"/>
    <x v="1"/>
    <x v="6"/>
    <x v="3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s v="Microcystis spp._x000a_"/>
  </r>
  <r>
    <s v="5976.2"/>
    <x v="1"/>
    <x v="6"/>
    <x v="3"/>
    <s v="20A"/>
    <s v="Whole Plate"/>
    <s v="Pseudanabaena sp."/>
    <b v="1"/>
    <n v="10"/>
    <n v="2.6666666666666701"/>
    <m/>
    <n v="0.8"/>
    <n v="3.1199999999999999E-5"/>
    <n v="0.8"/>
    <n v="3.1199999999999999E-5"/>
    <m/>
  </r>
  <r>
    <s v="5976.3"/>
    <x v="1"/>
    <x v="6"/>
    <x v="3"/>
    <s v="20A"/>
    <s v="Whole Plate"/>
    <s v="Anabaena torulosa"/>
    <b v="1"/>
    <n v="10"/>
    <n v="24"/>
    <m/>
    <n v="2.4"/>
    <n v="5.3039999999999999E-4"/>
    <n v="2.4"/>
    <n v="5.3039999999999999E-4"/>
    <m/>
  </r>
  <r>
    <s v="5976.4"/>
    <x v="1"/>
    <x v="6"/>
    <x v="3"/>
    <s v="20A"/>
    <s v="Whole Plate"/>
    <s v="Dolichospermum smithii"/>
    <b v="1"/>
    <n v="10"/>
    <n v="23"/>
    <m/>
    <n v="4.5999999999999996"/>
    <n v="1.9918000000000002E-3"/>
    <n v="4.5999999999999996"/>
    <n v="1.9918000000000002E-3"/>
    <m/>
  </r>
  <r>
    <s v="5976.5"/>
    <x v="1"/>
    <x v="6"/>
    <x v="3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976.6"/>
    <x v="1"/>
    <x v="6"/>
    <x v="3"/>
    <s v="20A"/>
    <s v="Whole Plate"/>
    <s v="Dolichospermum sp"/>
    <b v="1"/>
    <n v="10"/>
    <n v="10.75"/>
    <m/>
    <n v="4.3"/>
    <n v="8.1700000000000002E-4"/>
    <n v="4.3"/>
    <n v="8.1700000000000002E-4"/>
    <m/>
  </r>
  <r>
    <s v="5976.7"/>
    <x v="1"/>
    <x v="6"/>
    <x v="3"/>
    <s v="20A"/>
    <s v="Whole Plate"/>
    <s v="Oscillatoria sp"/>
    <b v="1"/>
    <n v="10"/>
    <n v="80"/>
    <m/>
    <n v="8"/>
    <n v="2.1635999999999999E-2"/>
    <n v="8"/>
    <n v="2.1635999999999999E-2"/>
    <m/>
  </r>
  <r>
    <s v="5976.8"/>
    <x v="1"/>
    <x v="6"/>
    <x v="3"/>
    <s v="20A"/>
    <s v="Whole Plate"/>
    <s v="Aphanocapsa sp"/>
    <b v="0"/>
    <n v="10"/>
    <n v="240"/>
    <m/>
    <n v="24"/>
    <n v="5.3999999999999998E-5"/>
    <n v="0"/>
    <n v="0"/>
    <m/>
  </r>
  <r>
    <s v="5971.1"/>
    <x v="2"/>
    <x v="7"/>
    <x v="3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s v="Microcystis spp._x000a_"/>
  </r>
  <r>
    <s v="5971.2"/>
    <x v="2"/>
    <x v="7"/>
    <x v="3"/>
    <s v="20A"/>
    <s v="160"/>
    <s v="Microcystis sp"/>
    <b v="1"/>
    <n v="10"/>
    <n v="700"/>
    <m/>
    <n v="2199.1180555555602"/>
    <n v="0.15789353477281701"/>
    <n v="2199.1180555555602"/>
    <n v="0.15789353477281701"/>
    <s v="Microcystis spp._x000a_"/>
  </r>
  <r>
    <s v="5971.3"/>
    <x v="2"/>
    <x v="7"/>
    <x v="3"/>
    <s v="20A"/>
    <s v="160"/>
    <s v="Pseudanabaena sp."/>
    <b v="1"/>
    <n v="10"/>
    <n v="4"/>
    <m/>
    <n v="62.831944444444403"/>
    <n v="2.4504458333333302E-3"/>
    <n v="62.831944444444403"/>
    <n v="2.4504458333333302E-3"/>
    <m/>
  </r>
  <r>
    <s v="5971.4"/>
    <x v="2"/>
    <x v="7"/>
    <x v="3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969.1"/>
    <x v="2"/>
    <x v="8"/>
    <x v="3"/>
    <s v="20A"/>
    <s v="160"/>
    <s v="Microcystis wesenbergii"/>
    <b v="1"/>
    <n v="10"/>
    <n v="38.8125"/>
    <m/>
    <n v="1950.931875"/>
    <n v="0.37132086376875001"/>
    <n v="1950.931875"/>
    <n v="0.37132086376875001"/>
    <s v="Microcystis spp._x000a_"/>
  </r>
  <r>
    <s v="5969.2"/>
    <x v="2"/>
    <x v="8"/>
    <x v="3"/>
    <s v="20A"/>
    <s v="160"/>
    <s v="Pseudanabaena sp."/>
    <b v="1"/>
    <n v="10"/>
    <n v="6.5"/>
    <m/>
    <n v="163.363055555556"/>
    <n v="6.37115916666668E-3"/>
    <n v="163.363055555556"/>
    <n v="6.37115916666668E-3"/>
    <m/>
  </r>
  <r>
    <s v="5969.3"/>
    <x v="2"/>
    <x v="8"/>
    <x v="3"/>
    <s v="20A"/>
    <s v="160"/>
    <s v="Phormidium sp"/>
    <b v="1"/>
    <n v="10"/>
    <n v="12"/>
    <m/>
    <n v="37.699166666666699"/>
    <n v="3.5188402166666699E-3"/>
    <n v="37.699166666666699"/>
    <n v="3.5188402166666699E-3"/>
    <m/>
  </r>
  <r>
    <s v="5969.4"/>
    <x v="2"/>
    <x v="8"/>
    <x v="3"/>
    <s v="20A"/>
    <s v="160"/>
    <s v="Dolichospermum planctonicum "/>
    <b v="1"/>
    <n v="10"/>
    <n v="13"/>
    <m/>
    <n v="122.522291666667"/>
    <n v="4.5333247916666798E-2"/>
    <n v="122.522291666667"/>
    <n v="4.5333247916666798E-2"/>
    <m/>
  </r>
  <r>
    <s v="5969.5"/>
    <x v="2"/>
    <x v="8"/>
    <x v="3"/>
    <s v="20A"/>
    <s v="160"/>
    <s v="Geitlerinema sp"/>
    <b v="0"/>
    <n v="10"/>
    <n v="13"/>
    <m/>
    <n v="81.681527777777802"/>
    <n v="1.7969936111111101E-3"/>
    <n v="0"/>
    <n v="0"/>
    <m/>
  </r>
  <r>
    <s v="5970.1"/>
    <x v="2"/>
    <x v="9"/>
    <x v="3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s v="Microcystis spp._x000a_"/>
  </r>
  <r>
    <s v="5970.2"/>
    <x v="2"/>
    <x v="9"/>
    <x v="3"/>
    <s v="20A"/>
    <s v="160"/>
    <s v="Microcystis sp"/>
    <b v="1"/>
    <n v="10"/>
    <n v="78"/>
    <m/>
    <n v="245.04458333333301"/>
    <n v="1.7593851017542499E-2"/>
    <n v="245.04458333333301"/>
    <n v="1.7593851017542499E-2"/>
    <s v="Microcystis spp._x000a_"/>
  </r>
  <r>
    <s v="5970.3"/>
    <x v="2"/>
    <x v="9"/>
    <x v="3"/>
    <s v="20A"/>
    <s v="160"/>
    <s v="Pseudanabaena sp."/>
    <b v="1"/>
    <n v="10"/>
    <n v="7.2"/>
    <m/>
    <n v="113.0975"/>
    <n v="4.4108024999999999E-3"/>
    <n v="113.0975"/>
    <n v="4.4108024999999999E-3"/>
    <m/>
  </r>
  <r>
    <s v="5970.4"/>
    <x v="2"/>
    <x v="9"/>
    <x v="3"/>
    <s v="20A"/>
    <s v="160"/>
    <s v="Dolichospermum planctonicum "/>
    <b v="1"/>
    <n v="10"/>
    <n v="25"/>
    <m/>
    <n v="78.5399305555555"/>
    <n v="2.9059774305555602E-2"/>
    <n v="78.5399305555556"/>
    <n v="2.9059774305555602E-2"/>
    <m/>
  </r>
  <r>
    <s v="5967.1"/>
    <x v="2"/>
    <x v="10"/>
    <x v="3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s v="Microcystis spp._x000a_"/>
  </r>
  <r>
    <s v="5967.2"/>
    <x v="2"/>
    <x v="10"/>
    <x v="3"/>
    <s v="20A"/>
    <s v="160"/>
    <s v="Microcystis sp"/>
    <b v="1"/>
    <n v="10"/>
    <n v="26.5"/>
    <m/>
    <n v="333.00930555555499"/>
    <n v="2.3909592408455201E-2"/>
    <n v="333.00930555555601"/>
    <n v="2.3909592408455201E-2"/>
    <s v="Microcystis spp._x000a_"/>
  </r>
  <r>
    <s v="5967.3"/>
    <x v="2"/>
    <x v="10"/>
    <x v="3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967.4"/>
    <x v="2"/>
    <x v="10"/>
    <x v="3"/>
    <s v="20A"/>
    <s v="160"/>
    <s v="Pseudanabaena sp."/>
    <b v="1"/>
    <n v="10"/>
    <n v="3.5384615384615401"/>
    <m/>
    <n v="144.51347222222199"/>
    <n v="5.6360254166666597E-3"/>
    <n v="144.51347222222199"/>
    <n v="5.6360254166666597E-3"/>
    <m/>
  </r>
  <r>
    <s v="5977.1"/>
    <x v="3"/>
    <x v="11"/>
    <x v="3"/>
    <s v="20A"/>
    <s v="Whole Plate"/>
    <s v="Dolichospermum circinale"/>
    <b v="1"/>
    <n v="10"/>
    <n v="17.2"/>
    <m/>
    <n v="17.2"/>
    <n v="9.9010079999999993E-3"/>
    <n v="17.2"/>
    <n v="9.9010079999999993E-3"/>
    <m/>
  </r>
  <r>
    <s v="5977.2"/>
    <x v="3"/>
    <x v="11"/>
    <x v="3"/>
    <s v="20A"/>
    <s v="Whole Plate"/>
    <s v="Dolichospermum planctonicum "/>
    <b v="1"/>
    <n v="10"/>
    <n v="24.1666666666667"/>
    <m/>
    <n v="14.5"/>
    <n v="5.365E-3"/>
    <n v="14.5"/>
    <n v="5.365E-3"/>
    <m/>
  </r>
  <r>
    <s v="5977.3"/>
    <x v="3"/>
    <x v="11"/>
    <x v="3"/>
    <s v="20A"/>
    <s v="Whole Plate"/>
    <s v="Woronichinia naegeliana"/>
    <b v="1"/>
    <n v="10"/>
    <n v="84"/>
    <m/>
    <n v="8.4"/>
    <n v="0"/>
    <n v="8.4"/>
    <n v="0"/>
    <m/>
  </r>
  <r>
    <s v="5977.4"/>
    <x v="3"/>
    <x v="11"/>
    <x v="3"/>
    <s v="20A"/>
    <s v="Whole Plate"/>
    <s v="Phormidium sp"/>
    <b v="1"/>
    <n v="10"/>
    <n v="48"/>
    <m/>
    <n v="4.8"/>
    <n v="4.4803200000000001E-4"/>
    <n v="4.8"/>
    <n v="4.4803200000000001E-4"/>
    <m/>
  </r>
  <r>
    <s v="5977.5"/>
    <x v="3"/>
    <x v="11"/>
    <x v="3"/>
    <s v="20A"/>
    <s v="Whole Plate"/>
    <s v="Pseudanabaena sp."/>
    <b v="1"/>
    <n v="10"/>
    <n v="7"/>
    <m/>
    <n v="0.7"/>
    <n v="2.73E-5"/>
    <n v="0.7"/>
    <n v="2.73E-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6007.1"/>
    <x v="0"/>
    <x v="0"/>
    <x v="0"/>
    <s v="20A"/>
    <s v="Whole Plate"/>
    <s v="Microcystis sp"/>
    <b v="1"/>
    <n v="10"/>
    <n v="25"/>
    <n v="83"/>
    <n v="257.5"/>
    <n v="1.8488132140649999E-2"/>
    <n v="257.5"/>
    <n v="1.8488132140649999E-2"/>
    <x v="0"/>
  </r>
  <r>
    <s v="6007.2"/>
    <x v="0"/>
    <x v="0"/>
    <x v="0"/>
    <s v="20A"/>
    <s v="Whole Plate"/>
    <s v="Microcystis wesenbergii"/>
    <b v="1"/>
    <n v="10"/>
    <n v="74.5"/>
    <m/>
    <n v="14.9"/>
    <n v="2.8359169999999999E-3"/>
    <n v="14.9"/>
    <n v="2.8359169999999999E-3"/>
    <x v="0"/>
  </r>
  <r>
    <s v="6006.1"/>
    <x v="0"/>
    <x v="1"/>
    <x v="0"/>
    <s v="20A"/>
    <s v="Whole Plate"/>
    <s v="Microcystis sp"/>
    <b v="1"/>
    <n v="10"/>
    <n v="17.25"/>
    <n v="94"/>
    <n v="196.65"/>
    <n v="1.4119189069743E-2"/>
    <n v="196.65"/>
    <n v="1.4119189069743E-2"/>
    <x v="0"/>
  </r>
  <r>
    <s v="6006.5"/>
    <x v="0"/>
    <x v="1"/>
    <x v="0"/>
    <s v="20A"/>
    <s v="Whole Plate"/>
    <s v="Microcystis wesenbergii"/>
    <b v="1"/>
    <n v="10"/>
    <n v="38.5"/>
    <m/>
    <n v="7.7"/>
    <n v="1.4655409999999999E-3"/>
    <n v="7.7"/>
    <n v="1.4655409999999999E-3"/>
    <x v="0"/>
  </r>
  <r>
    <s v="6013.2"/>
    <x v="1"/>
    <x v="2"/>
    <x v="0"/>
    <s v="20A"/>
    <s v="Whole Plate"/>
    <s v="Microcystis wesenbergii"/>
    <b v="1"/>
    <n v="10"/>
    <n v="40.4444444444444"/>
    <m/>
    <n v="72.8"/>
    <n v="1.3856024E-2"/>
    <n v="72.8"/>
    <n v="1.3856024E-2"/>
    <x v="0"/>
  </r>
  <r>
    <s v="6008.1"/>
    <x v="1"/>
    <x v="3"/>
    <x v="0"/>
    <s v="20A"/>
    <s v="Whole Plate"/>
    <s v="Microcystis wesenbergii"/>
    <b v="1"/>
    <n v="10"/>
    <n v="34.549999999999997"/>
    <n v="3"/>
    <n v="79.465000000000003"/>
    <n v="1.512457345E-2"/>
    <n v="79.465000000000003"/>
    <n v="1.512457345E-2"/>
    <x v="0"/>
  </r>
  <r>
    <s v="6008.4"/>
    <x v="1"/>
    <x v="3"/>
    <x v="0"/>
    <s v="20A"/>
    <s v="Whole Plate"/>
    <s v="Microcystis sp"/>
    <b v="1"/>
    <n v="10"/>
    <n v="22.3333333333333"/>
    <m/>
    <n v="6.7"/>
    <n v="4.8105042851400001E-4"/>
    <n v="6.7"/>
    <n v="4.8105042851400001E-4"/>
    <x v="0"/>
  </r>
  <r>
    <s v="6004.1"/>
    <x v="1"/>
    <x v="4"/>
    <x v="0"/>
    <s v="20A"/>
    <s v="160"/>
    <s v="Microcystis wesenbergii"/>
    <b v="1"/>
    <n v="10"/>
    <n v="44.9"/>
    <n v="5"/>
    <n v="3526.4428819444402"/>
    <n v="0.67118787372048505"/>
    <n v="3526.4428819444402"/>
    <n v="0.67118787372048505"/>
    <x v="0"/>
  </r>
  <r>
    <s v="6004.2"/>
    <x v="1"/>
    <x v="4"/>
    <x v="0"/>
    <s v="20A"/>
    <s v="160"/>
    <s v="Microcystis sp"/>
    <b v="1"/>
    <n v="10"/>
    <n v="32"/>
    <m/>
    <n v="301.59333333333302"/>
    <n v="2.1653970483129201E-2"/>
    <n v="301.59333333333302"/>
    <n v="2.1653970483129201E-2"/>
    <x v="0"/>
  </r>
  <r>
    <s v="6012.1"/>
    <x v="1"/>
    <x v="5"/>
    <x v="0"/>
    <s v="20A"/>
    <s v="Whole Plate"/>
    <s v="Microcystis wesenbergii"/>
    <b v="1"/>
    <n v="10"/>
    <n v="49.4"/>
    <m/>
    <n v="98.8"/>
    <n v="1.8804603999999999E-2"/>
    <n v="98.8"/>
    <n v="1.8804603999999999E-2"/>
    <x v="0"/>
  </r>
  <r>
    <s v="6011.2"/>
    <x v="1"/>
    <x v="6"/>
    <x v="0"/>
    <s v="20A"/>
    <s v="Whole Plate"/>
    <s v="Microcystis wesenbergii"/>
    <b v="1"/>
    <n v="10"/>
    <n v="43.75"/>
    <n v="30"/>
    <n v="218.75"/>
    <n v="4.1634687500000003E-2"/>
    <n v="218.75"/>
    <n v="4.1634687500000003E-2"/>
    <x v="0"/>
  </r>
  <r>
    <s v="6010.1"/>
    <x v="2"/>
    <x v="7"/>
    <x v="0"/>
    <s v="20A"/>
    <s v="160"/>
    <s v="Microcystis wesenbergii"/>
    <b v="1"/>
    <n v="10"/>
    <n v="41.142857142857103"/>
    <m/>
    <n v="1809.56"/>
    <n v="0.34441355480000002"/>
    <n v="1809.56"/>
    <n v="0.34441355480000002"/>
    <x v="0"/>
  </r>
  <r>
    <s v="6005.1"/>
    <x v="2"/>
    <x v="8"/>
    <x v="0"/>
    <s v="20A"/>
    <s v="160"/>
    <s v="Microcystis wesenbergii"/>
    <b v="1"/>
    <n v="10"/>
    <n v="49.65"/>
    <n v="92"/>
    <n v="17469.7938333333"/>
    <n v="3.32502586029833"/>
    <n v="17469.7938333333"/>
    <n v="3.32502586029833"/>
    <x v="0"/>
  </r>
  <r>
    <s v="6005.2"/>
    <x v="2"/>
    <x v="8"/>
    <x v="0"/>
    <s v="20A"/>
    <s v="160"/>
    <s v="Microcystis sp"/>
    <b v="1"/>
    <n v="10"/>
    <n v="22.75"/>
    <m/>
    <n v="285.88534722222198"/>
    <n v="2.05261595204662E-2"/>
    <n v="285.88534722222198"/>
    <n v="2.05261595204662E-2"/>
    <x v="0"/>
  </r>
  <r>
    <s v="6009.1"/>
    <x v="2"/>
    <x v="9"/>
    <x v="0"/>
    <s v="20A"/>
    <s v="160"/>
    <s v="Microcystis wesenbergii"/>
    <b v="1"/>
    <n v="10"/>
    <n v="41.421052631578902"/>
    <m/>
    <n v="2472.4370138888899"/>
    <n v="0.47057893685347202"/>
    <n v="2472.4370138888899"/>
    <n v="0.47057893685347202"/>
    <x v="0"/>
  </r>
  <r>
    <s v="6003.1"/>
    <x v="2"/>
    <x v="10"/>
    <x v="0"/>
    <s v="20A"/>
    <s v="160"/>
    <s v="Microcystis wesenbergii"/>
    <b v="1"/>
    <n v="10"/>
    <n v="46.2"/>
    <n v="67"/>
    <n v="12627.335875000001"/>
    <n v="2.40336083708875"/>
    <n v="12627.335875000001"/>
    <n v="2.40336083708875"/>
    <x v="0"/>
  </r>
  <r>
    <s v="6003.2"/>
    <x v="2"/>
    <x v="10"/>
    <x v="0"/>
    <s v="20A"/>
    <s v="160"/>
    <s v="Microcystis sp"/>
    <b v="1"/>
    <n v="10"/>
    <n v="21.5"/>
    <m/>
    <n v="270.177361111111"/>
    <n v="1.9398348557803199E-2"/>
    <n v="270.177361111111"/>
    <n v="1.9398348557803199E-2"/>
    <x v="0"/>
  </r>
  <r>
    <s v="6014.6"/>
    <x v="3"/>
    <x v="11"/>
    <x v="0"/>
    <s v="20A"/>
    <s v="Whole Plate"/>
    <s v="Microcystis sp"/>
    <b v="1"/>
    <n v="10"/>
    <n v="28"/>
    <m/>
    <n v="2.8"/>
    <n v="2.01035999976E-4"/>
    <n v="2.8"/>
    <n v="2.01035999976E-4"/>
    <x v="0"/>
  </r>
  <r>
    <s v="5996.1"/>
    <x v="0"/>
    <x v="0"/>
    <x v="1"/>
    <s v="20A"/>
    <s v="Whole Plate"/>
    <s v="Microcystis sp"/>
    <b v="1"/>
    <n v="10"/>
    <n v="39.85"/>
    <n v="43"/>
    <n v="251.05500000000001"/>
    <n v="1.80253903478481E-2"/>
    <n v="251.05500000000001"/>
    <n v="1.80253903478481E-2"/>
    <x v="0"/>
  </r>
  <r>
    <s v="5996.5"/>
    <x v="0"/>
    <x v="0"/>
    <x v="1"/>
    <s v="20A"/>
    <s v="Whole Plate"/>
    <s v="Microcystis wesenbergii"/>
    <b v="1"/>
    <n v="10"/>
    <n v="42"/>
    <m/>
    <n v="4.2"/>
    <n v="7.9938600000000002E-4"/>
    <n v="4.2"/>
    <n v="7.9938600000000002E-4"/>
    <x v="0"/>
  </r>
  <r>
    <s v="6002.1"/>
    <x v="0"/>
    <x v="1"/>
    <x v="1"/>
    <s v="20A"/>
    <s v="Whole Plate"/>
    <s v="Microcystis sp"/>
    <b v="1"/>
    <n v="10"/>
    <n v="35.2777777777778"/>
    <m/>
    <n v="63.5"/>
    <n v="4.5592092851700003E-3"/>
    <n v="63.5"/>
    <n v="4.5592092851700003E-3"/>
    <x v="0"/>
  </r>
  <r>
    <s v="6002.5"/>
    <x v="0"/>
    <x v="1"/>
    <x v="1"/>
    <s v="20A"/>
    <s v="Whole Plate"/>
    <s v="Microcystis wesenbergii"/>
    <b v="1"/>
    <n v="10"/>
    <n v="19"/>
    <m/>
    <n v="3.8"/>
    <n v="7.23254E-4"/>
    <n v="3.8"/>
    <n v="7.23254E-4"/>
    <x v="0"/>
  </r>
  <r>
    <s v="6001.1"/>
    <x v="1"/>
    <x v="2"/>
    <x v="1"/>
    <s v="20A"/>
    <s v="Whole Plate"/>
    <s v="Microcystis wesenbergii"/>
    <b v="1"/>
    <n v="10"/>
    <n v="46.846153846153797"/>
    <m/>
    <n v="60.9"/>
    <n v="1.1591097E-2"/>
    <n v="60.9"/>
    <n v="1.1591097E-2"/>
    <x v="0"/>
  </r>
  <r>
    <s v="5995.4"/>
    <x v="1"/>
    <x v="3"/>
    <x v="1"/>
    <s v="20A"/>
    <s v="Whole Plate"/>
    <s v="Microcystis wesenbergii"/>
    <b v="1"/>
    <n v="10"/>
    <n v="59.368421052631597"/>
    <m/>
    <n v="112.8"/>
    <n v="2.1469223999999999E-2"/>
    <n v="112.8"/>
    <n v="2.1469223999999999E-2"/>
    <x v="0"/>
  </r>
  <r>
    <s v="5995.8"/>
    <x v="1"/>
    <x v="3"/>
    <x v="1"/>
    <s v="20A"/>
    <s v="Whole Plate"/>
    <s v="Microcystis sp"/>
    <b v="1"/>
    <n v="10"/>
    <n v="306"/>
    <m/>
    <n v="30.6"/>
    <n v="2.197036285452E-3"/>
    <n v="30.6"/>
    <n v="2.197036285452E-3"/>
    <x v="0"/>
  </r>
  <r>
    <s v="5994.1"/>
    <x v="1"/>
    <x v="4"/>
    <x v="1"/>
    <s v="20A"/>
    <s v="Whole Plate"/>
    <s v="Microcystis wesenbergii"/>
    <b v="1"/>
    <n v="10"/>
    <n v="68.8"/>
    <n v="125"/>
    <n v="997.6"/>
    <n v="0.18987320799999999"/>
    <n v="997.6"/>
    <n v="0.18987320799999999"/>
    <x v="0"/>
  </r>
  <r>
    <s v="5994.2"/>
    <x v="1"/>
    <x v="4"/>
    <x v="1"/>
    <s v="20A"/>
    <s v="Whole Plate"/>
    <s v="Microcystis sp"/>
    <b v="1"/>
    <n v="10"/>
    <n v="27.5"/>
    <m/>
    <n v="22"/>
    <n v="1.5795685712399999E-3"/>
    <n v="22"/>
    <n v="1.5795685712399999E-3"/>
    <x v="0"/>
  </r>
  <r>
    <s v="5998.2"/>
    <x v="1"/>
    <x v="5"/>
    <x v="1"/>
    <s v="20A"/>
    <s v="Whole Plate"/>
    <s v="Microcystis wesenbergii"/>
    <b v="1"/>
    <n v="10"/>
    <n v="45.9"/>
    <n v="25"/>
    <n v="206.55"/>
    <n v="3.9312661499999998E-2"/>
    <n v="206.55"/>
    <n v="3.9312661499999998E-2"/>
    <x v="0"/>
  </r>
  <r>
    <s v="5997.2"/>
    <x v="1"/>
    <x v="6"/>
    <x v="1"/>
    <s v="20A"/>
    <s v="Whole Plate"/>
    <s v="Microcystis wesenbergii"/>
    <b v="1"/>
    <n v="10"/>
    <n v="47.55"/>
    <n v="37"/>
    <n v="271.03500000000003"/>
    <n v="5.1586091549999998E-2"/>
    <n v="271.03500000000003"/>
    <n v="5.1586091549999998E-2"/>
    <x v="0"/>
  </r>
  <r>
    <s v="5993.1"/>
    <x v="2"/>
    <x v="7"/>
    <x v="1"/>
    <s v="20A"/>
    <s v="160"/>
    <s v="Microcystis wesenbergii"/>
    <b v="1"/>
    <n v="10"/>
    <n v="54.1"/>
    <n v="23"/>
    <n v="7308.2976180555597"/>
    <n v="1.3909882856445099"/>
    <n v="7308.2976180555597"/>
    <n v="1.3909882856445099"/>
    <x v="0"/>
  </r>
  <r>
    <s v="5993.2"/>
    <x v="2"/>
    <x v="7"/>
    <x v="1"/>
    <s v="20A"/>
    <s v="160"/>
    <s v="Microcystis sp"/>
    <b v="1"/>
    <n v="10"/>
    <n v="35.3333333333333"/>
    <m/>
    <n v="333.00930555555499"/>
    <n v="2.3909592408455201E-2"/>
    <n v="333.00930555555601"/>
    <n v="2.3909592408455201E-2"/>
    <x v="0"/>
  </r>
  <r>
    <s v="5992.1"/>
    <x v="2"/>
    <x v="8"/>
    <x v="1"/>
    <s v="20A"/>
    <s v="160"/>
    <s v="Microcystis wesenbergii"/>
    <b v="1"/>
    <n v="10"/>
    <n v="71.8"/>
    <n v="17"/>
    <n v="8345.9671805555608"/>
    <n v="1.5884879334751401"/>
    <n v="8345.9671805555608"/>
    <n v="1.5884879334751401"/>
    <x v="0"/>
  </r>
  <r>
    <s v="5992.5"/>
    <x v="2"/>
    <x v="8"/>
    <x v="1"/>
    <s v="20A"/>
    <s v="160"/>
    <s v="Microcystis sp"/>
    <b v="1"/>
    <n v="10"/>
    <n v="32"/>
    <m/>
    <n v="100.531111111111"/>
    <n v="7.2179901610430596E-3"/>
    <n v="100.531111111111"/>
    <n v="7.2179901610430596E-3"/>
    <x v="0"/>
  </r>
  <r>
    <s v="5999.1"/>
    <x v="2"/>
    <x v="9"/>
    <x v="1"/>
    <s v="20A"/>
    <s v="160"/>
    <s v="Microcystis wesenbergii"/>
    <b v="1"/>
    <n v="10"/>
    <n v="67.599999999999994"/>
    <m/>
    <n v="2123.7197222222198"/>
    <n v="0.40420757473055502"/>
    <n v="2123.7197222222198"/>
    <n v="0.40420757473055502"/>
    <x v="0"/>
  </r>
  <r>
    <s v="5991.1"/>
    <x v="2"/>
    <x v="10"/>
    <x v="1"/>
    <s v="20A"/>
    <s v="160"/>
    <s v="Microcystis wesenbergii"/>
    <b v="1"/>
    <n v="10"/>
    <n v="68.75"/>
    <n v="44"/>
    <n v="13823.027777777799"/>
    <n v="2.6309368769444501"/>
    <n v="13823.027777777799"/>
    <n v="2.6309368769444501"/>
    <x v="0"/>
  </r>
  <r>
    <s v="5991.3"/>
    <x v="2"/>
    <x v="10"/>
    <x v="1"/>
    <s v="20A"/>
    <s v="160"/>
    <s v="Microcystis sp"/>
    <b v="1"/>
    <n v="10"/>
    <n v="19.5"/>
    <m/>
    <n v="122.522291666667"/>
    <n v="8.7969255087712601E-3"/>
    <n v="122.522291666667"/>
    <n v="8.7969255087712601E-3"/>
    <x v="0"/>
  </r>
  <r>
    <s v="6000.4"/>
    <x v="3"/>
    <x v="11"/>
    <x v="1"/>
    <s v="20A"/>
    <s v="Whole Plate"/>
    <s v="Microcystis sp"/>
    <b v="1"/>
    <n v="10"/>
    <n v="131"/>
    <m/>
    <n v="26.2"/>
    <n v="1.8811225712039999E-3"/>
    <n v="26.2"/>
    <n v="1.8811225712039999E-3"/>
    <x v="0"/>
  </r>
  <r>
    <s v="5984.1"/>
    <x v="0"/>
    <x v="0"/>
    <x v="2"/>
    <s v="20A"/>
    <s v="Whole Plate"/>
    <s v="Microcystis sp"/>
    <b v="1"/>
    <n v="10"/>
    <n v="17.5"/>
    <n v="16"/>
    <n v="63"/>
    <n v="4.5233099994599997E-3"/>
    <n v="63"/>
    <n v="4.5233099994599997E-3"/>
    <x v="0"/>
  </r>
  <r>
    <s v="5984.6"/>
    <x v="0"/>
    <x v="0"/>
    <x v="2"/>
    <s v="20A"/>
    <s v="Whole Plate"/>
    <s v="Microcystis wesenbergii"/>
    <b v="1"/>
    <n v="10"/>
    <n v="87.3333333333333"/>
    <m/>
    <n v="26.2"/>
    <n v="4.986646E-3"/>
    <n v="26.2"/>
    <n v="4.986646E-3"/>
    <x v="0"/>
  </r>
  <r>
    <s v="5985.1"/>
    <x v="0"/>
    <x v="1"/>
    <x v="2"/>
    <s v="20A"/>
    <s v="Whole Plate"/>
    <s v="Microcystis sp"/>
    <b v="1"/>
    <n v="10"/>
    <n v="122.6"/>
    <m/>
    <n v="183.9"/>
    <n v="1.3203757284138E-2"/>
    <n v="183.9"/>
    <n v="1.3203757284138E-2"/>
    <x v="0"/>
  </r>
  <r>
    <s v="5985.4"/>
    <x v="0"/>
    <x v="1"/>
    <x v="2"/>
    <s v="20A"/>
    <s v="Whole Plate"/>
    <s v="Microcystis wesenbergii"/>
    <b v="1"/>
    <n v="10"/>
    <n v="37"/>
    <m/>
    <n v="14.8"/>
    <n v="2.816884E-3"/>
    <n v="14.8"/>
    <n v="2.816884E-3"/>
    <x v="0"/>
  </r>
  <r>
    <s v="5989.1"/>
    <x v="1"/>
    <x v="2"/>
    <x v="2"/>
    <s v="20A"/>
    <s v="Whole Plate"/>
    <s v="Microcystis wesenbergii"/>
    <b v="1"/>
    <n v="10"/>
    <n v="35.875"/>
    <m/>
    <n v="57.4"/>
    <n v="1.0924942E-2"/>
    <n v="57.4"/>
    <n v="1.0924942E-2"/>
    <x v="0"/>
  </r>
  <r>
    <s v="5982.1"/>
    <x v="1"/>
    <x v="3"/>
    <x v="2"/>
    <s v="20A"/>
    <s v="Whole Plate"/>
    <s v="Microcystis wesenbergii"/>
    <b v="1"/>
    <n v="10"/>
    <n v="46.909090909090899"/>
    <m/>
    <n v="51.6"/>
    <n v="9.8210280000000007E-3"/>
    <n v="51.6"/>
    <n v="9.8210280000000007E-3"/>
    <x v="0"/>
  </r>
  <r>
    <s v="5980.1"/>
    <x v="1"/>
    <x v="4"/>
    <x v="2"/>
    <s v="20A"/>
    <s v="Whole Plate"/>
    <s v="Microcystis sp"/>
    <b v="1"/>
    <n v="10"/>
    <n v="26.5"/>
    <m/>
    <n v="21.2"/>
    <n v="1.522129714104E-3"/>
    <n v="21.2"/>
    <n v="1.522129714104E-3"/>
    <x v="0"/>
  </r>
  <r>
    <s v="5980.2"/>
    <x v="1"/>
    <x v="4"/>
    <x v="2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x v="0"/>
  </r>
  <r>
    <s v="5987.1"/>
    <x v="1"/>
    <x v="5"/>
    <x v="2"/>
    <s v="20A"/>
    <s v="Whole Plate"/>
    <s v="Microcystis sp"/>
    <b v="1"/>
    <n v="10"/>
    <n v="37.200000000000003"/>
    <m/>
    <n v="18.600000000000001"/>
    <n v="1.335453428412E-3"/>
    <n v="18.600000000000001"/>
    <n v="1.335453428412E-3"/>
    <x v="0"/>
  </r>
  <r>
    <s v="5987.2"/>
    <x v="1"/>
    <x v="5"/>
    <x v="2"/>
    <s v="20A"/>
    <s v="Whole Plate"/>
    <s v="Microcystis wesenbergii"/>
    <b v="1"/>
    <n v="10"/>
    <n v="44.9444444444444"/>
    <m/>
    <n v="80.900000000000006"/>
    <n v="1.5397697E-2"/>
    <n v="80.900000000000006"/>
    <n v="1.5397697E-2"/>
    <x v="0"/>
  </r>
  <r>
    <s v="5986.1"/>
    <x v="1"/>
    <x v="6"/>
    <x v="2"/>
    <s v="20A"/>
    <s v="Whole Plate"/>
    <s v="Microcystis wesenbergii"/>
    <b v="1"/>
    <n v="10"/>
    <n v="46.15"/>
    <n v="58"/>
    <n v="359.97"/>
    <n v="6.8513090099999993E-2"/>
    <n v="359.97"/>
    <n v="6.8513090099999993E-2"/>
    <x v="0"/>
  </r>
  <r>
    <s v="5986.3"/>
    <x v="1"/>
    <x v="6"/>
    <x v="2"/>
    <s v="20A"/>
    <s v="Whole Plate"/>
    <s v="Microcystis sp"/>
    <b v="1"/>
    <n v="10"/>
    <n v="29.8571428571429"/>
    <m/>
    <n v="20.9"/>
    <n v="1.5005901426780001E-3"/>
    <n v="20.9"/>
    <n v="1.5005901426780001E-3"/>
    <x v="0"/>
  </r>
  <r>
    <s v="5988.1"/>
    <x v="2"/>
    <x v="7"/>
    <x v="2"/>
    <s v="20A"/>
    <s v="Whole Plate"/>
    <s v="Microcystis wesenbergii"/>
    <b v="1"/>
    <n v="10"/>
    <n v="69.099999999999994"/>
    <n v="37"/>
    <n v="393.87"/>
    <n v="7.4965277100000005E-2"/>
    <n v="393.87"/>
    <n v="7.4965277100000005E-2"/>
    <x v="0"/>
  </r>
  <r>
    <s v="5988.2"/>
    <x v="2"/>
    <x v="7"/>
    <x v="2"/>
    <s v="20A"/>
    <s v="Whole Plate"/>
    <s v="Microcystis sp"/>
    <b v="1"/>
    <n v="10"/>
    <n v="18.8333333333333"/>
    <m/>
    <n v="11.3"/>
    <n v="8.11323857046E-4"/>
    <n v="11.3"/>
    <n v="8.11323857046E-4"/>
    <x v="0"/>
  </r>
  <r>
    <s v="5979.1"/>
    <x v="2"/>
    <x v="8"/>
    <x v="2"/>
    <s v="20A"/>
    <s v="160"/>
    <s v="Microcystis wesenbergii"/>
    <b v="1"/>
    <n v="10"/>
    <n v="54.3"/>
    <n v="27"/>
    <n v="8017.6702708333296"/>
    <n v="1.5260031826477101"/>
    <n v="8017.6702708333296"/>
    <n v="1.5260031826477101"/>
    <x v="0"/>
  </r>
  <r>
    <s v="5981.1"/>
    <x v="2"/>
    <x v="9"/>
    <x v="2"/>
    <s v="20A"/>
    <s v="160"/>
    <s v="Microcystis wesenbergii"/>
    <b v="1"/>
    <n v="10"/>
    <n v="45.25"/>
    <n v="48"/>
    <n v="9666.69465277778"/>
    <n v="1.8398619932631901"/>
    <n v="9666.69465277778"/>
    <n v="1.8398619932631901"/>
    <x v="0"/>
  </r>
  <r>
    <s v="5981.2"/>
    <x v="2"/>
    <x v="9"/>
    <x v="2"/>
    <s v="20A"/>
    <s v="160"/>
    <s v="Microcystis sp"/>
    <b v="1"/>
    <n v="10"/>
    <n v="15"/>
    <m/>
    <n v="94.247916666666697"/>
    <n v="6.76686577597787E-3"/>
    <n v="94.247916666666598"/>
    <n v="6.76686577597787E-3"/>
    <x v="0"/>
  </r>
  <r>
    <s v="5983.1"/>
    <x v="2"/>
    <x v="10"/>
    <x v="2"/>
    <s v="20A"/>
    <s v="Whole Plate"/>
    <s v="Microcystis wesenbergii"/>
    <b v="1"/>
    <n v="10"/>
    <n v="50.8"/>
    <n v="110"/>
    <n v="660.4"/>
    <n v="0.12569393200000001"/>
    <n v="660.4"/>
    <n v="0.12569393200000001"/>
    <x v="0"/>
  </r>
  <r>
    <s v="5983.3"/>
    <x v="2"/>
    <x v="10"/>
    <x v="2"/>
    <s v="20A"/>
    <s v="Whole Plate"/>
    <s v="Microcystis sp"/>
    <b v="1"/>
    <n v="10"/>
    <n v="29.5"/>
    <m/>
    <n v="11.8"/>
    <n v="8.4722314275599998E-4"/>
    <n v="11.8"/>
    <n v="8.4722314275599998E-4"/>
    <x v="0"/>
  </r>
  <r>
    <s v="5973.3"/>
    <x v="0"/>
    <x v="0"/>
    <x v="3"/>
    <s v="20A"/>
    <s v="Whole Plate"/>
    <s v="Microcystis sp"/>
    <b v="1"/>
    <n v="10"/>
    <n v="36"/>
    <m/>
    <n v="39.6"/>
    <n v="2.843223428232E-3"/>
    <n v="39.6"/>
    <n v="2.843223428232E-3"/>
    <x v="0"/>
  </r>
  <r>
    <s v="5973.5"/>
    <x v="0"/>
    <x v="0"/>
    <x v="3"/>
    <s v="20A"/>
    <s v="Whole Plate"/>
    <s v="Microcystis wesenbergii"/>
    <b v="1"/>
    <n v="10"/>
    <n v="58.3333333333333"/>
    <m/>
    <n v="17.5"/>
    <n v="3.3307749999999998E-3"/>
    <n v="17.5"/>
    <n v="3.3307749999999998E-3"/>
    <x v="0"/>
  </r>
  <r>
    <s v="5975.1"/>
    <x v="0"/>
    <x v="1"/>
    <x v="3"/>
    <s v="20A"/>
    <s v="Whole Plate"/>
    <s v="Microcystis sp"/>
    <b v="1"/>
    <n v="10"/>
    <n v="69.95"/>
    <n v="80"/>
    <n v="699.5"/>
    <n v="5.0223100708290003E-2"/>
    <n v="699.5"/>
    <n v="5.0223100708290003E-2"/>
    <x v="0"/>
  </r>
  <r>
    <s v="5975.5"/>
    <x v="0"/>
    <x v="1"/>
    <x v="3"/>
    <s v="20A"/>
    <s v="Whole Plate"/>
    <s v="Microcystis wesenbergii"/>
    <b v="1"/>
    <n v="10"/>
    <n v="38.25"/>
    <m/>
    <n v="30.6"/>
    <n v="5.8240979999999998E-3"/>
    <n v="30.6"/>
    <n v="5.8240979999999998E-3"/>
    <x v="0"/>
  </r>
  <r>
    <s v="5974.1"/>
    <x v="1"/>
    <x v="2"/>
    <x v="3"/>
    <s v="20A"/>
    <s v="Whole Plate"/>
    <s v="Microcystis wesenbergii"/>
    <b v="1"/>
    <n v="10"/>
    <n v="43.153846153846203"/>
    <m/>
    <n v="56.1"/>
    <n v="1.0677513E-2"/>
    <n v="56.1"/>
    <n v="1.0677513E-2"/>
    <x v="0"/>
  </r>
  <r>
    <s v="5972.2"/>
    <x v="1"/>
    <x v="3"/>
    <x v="3"/>
    <s v="20A"/>
    <s v="Whole Plate"/>
    <s v="Microcystis wesenbergii"/>
    <b v="1"/>
    <n v="10"/>
    <n v="26.5"/>
    <m/>
    <n v="10.6"/>
    <n v="2.0174979999999999E-3"/>
    <n v="10.6"/>
    <n v="2.0174979999999999E-3"/>
    <x v="0"/>
  </r>
  <r>
    <s v="5972.7"/>
    <x v="1"/>
    <x v="3"/>
    <x v="3"/>
    <s v="20A"/>
    <s v="Whole Plate"/>
    <s v="Microcystis sp"/>
    <b v="1"/>
    <n v="10"/>
    <n v="15.5"/>
    <m/>
    <n v="3.1"/>
    <n v="2.2257557140199999E-4"/>
    <n v="3.1"/>
    <n v="2.2257557140199999E-4"/>
    <x v="0"/>
  </r>
  <r>
    <s v="5968.1"/>
    <x v="1"/>
    <x v="4"/>
    <x v="3"/>
    <s v="20A"/>
    <s v="160"/>
    <s v="Microcystis wesenbergii"/>
    <b v="1"/>
    <n v="10"/>
    <n v="40.5555555555556"/>
    <m/>
    <n v="1146.68298611111"/>
    <n v="0.218248172746528"/>
    <n v="1146.68298611111"/>
    <n v="0.218248172746528"/>
    <x v="0"/>
  </r>
  <r>
    <s v="5968.3"/>
    <x v="1"/>
    <x v="4"/>
    <x v="3"/>
    <s v="20A"/>
    <s v="160"/>
    <s v="Microcystis sp"/>
    <b v="1"/>
    <n v="10"/>
    <n v="27"/>
    <m/>
    <n v="169.64625000000001"/>
    <n v="1.21803583967602E-2"/>
    <n v="169.64625000000001"/>
    <n v="1.21803583967602E-2"/>
    <x v="0"/>
  </r>
  <r>
    <s v="5978.1"/>
    <x v="1"/>
    <x v="5"/>
    <x v="3"/>
    <s v="20A"/>
    <s v="Whole Plate"/>
    <s v="Microcystis wesenbergii"/>
    <b v="1"/>
    <n v="10"/>
    <n v="33.700000000000003"/>
    <n v="17"/>
    <n v="124.69"/>
    <n v="2.37322477E-2"/>
    <n v="124.69"/>
    <n v="2.37322477E-2"/>
    <x v="0"/>
  </r>
  <r>
    <s v="5976.1"/>
    <x v="1"/>
    <x v="6"/>
    <x v="3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x v="0"/>
  </r>
  <r>
    <s v="5971.1"/>
    <x v="2"/>
    <x v="7"/>
    <x v="3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x v="0"/>
  </r>
  <r>
    <s v="5971.2"/>
    <x v="2"/>
    <x v="7"/>
    <x v="3"/>
    <s v="20A"/>
    <s v="160"/>
    <s v="Microcystis sp"/>
    <b v="1"/>
    <n v="10"/>
    <n v="700"/>
    <m/>
    <n v="2199.1180555555602"/>
    <n v="0.15789353477281701"/>
    <n v="2199.1180555555602"/>
    <n v="0.15789353477281701"/>
    <x v="0"/>
  </r>
  <r>
    <s v="5969.1"/>
    <x v="2"/>
    <x v="8"/>
    <x v="3"/>
    <s v="20A"/>
    <s v="160"/>
    <s v="Microcystis wesenbergii"/>
    <b v="1"/>
    <n v="10"/>
    <n v="38.8125"/>
    <m/>
    <n v="1950.931875"/>
    <n v="0.37132086376875001"/>
    <n v="1950.931875"/>
    <n v="0.37132086376875001"/>
    <x v="0"/>
  </r>
  <r>
    <s v="5970.1"/>
    <x v="2"/>
    <x v="9"/>
    <x v="3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x v="0"/>
  </r>
  <r>
    <s v="5970.2"/>
    <x v="2"/>
    <x v="9"/>
    <x v="3"/>
    <s v="20A"/>
    <s v="160"/>
    <s v="Microcystis sp"/>
    <b v="1"/>
    <n v="10"/>
    <n v="78"/>
    <m/>
    <n v="245.04458333333301"/>
    <n v="1.7593851017542499E-2"/>
    <n v="245.04458333333301"/>
    <n v="1.7593851017542499E-2"/>
    <x v="0"/>
  </r>
  <r>
    <s v="5967.1"/>
    <x v="2"/>
    <x v="10"/>
    <x v="3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x v="0"/>
  </r>
  <r>
    <s v="5967.2"/>
    <x v="2"/>
    <x v="10"/>
    <x v="3"/>
    <s v="20A"/>
    <s v="160"/>
    <s v="Microcystis sp"/>
    <b v="1"/>
    <n v="10"/>
    <n v="26.5"/>
    <m/>
    <n v="333.00930555555499"/>
    <n v="2.3909592408455201E-2"/>
    <n v="333.00930555555601"/>
    <n v="2.3909592408455201E-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5">
  <r>
    <s v="6007.1"/>
    <x v="0"/>
    <x v="0"/>
    <x v="0"/>
    <s v="20A"/>
    <s v="Whole Plate"/>
    <s v="Microcystis sp"/>
    <b v="1"/>
    <n v="10"/>
    <n v="25"/>
    <n v="83"/>
    <n v="257.5"/>
    <n v="1.8488132140649999E-2"/>
    <n v="257.5"/>
    <n v="1.8488132140649999E-2"/>
    <s v="Microcystis spp._x000a_"/>
  </r>
  <r>
    <s v="6007.2"/>
    <x v="0"/>
    <x v="0"/>
    <x v="0"/>
    <s v="20A"/>
    <s v="Whole Plate"/>
    <s v="Microcystis wesenbergii"/>
    <b v="1"/>
    <n v="10"/>
    <n v="74.5"/>
    <m/>
    <n v="14.9"/>
    <n v="2.8359169999999999E-3"/>
    <n v="14.9"/>
    <n v="2.8359169999999999E-3"/>
    <s v="Microcystis spp._x000a_"/>
  </r>
  <r>
    <s v="6007.3"/>
    <x v="0"/>
    <x v="0"/>
    <x v="0"/>
    <s v="20A"/>
    <s v="Whole Plate"/>
    <s v="Aphanocapsa sp"/>
    <b v="0"/>
    <n v="10"/>
    <n v="40.3333333333333"/>
    <m/>
    <n v="36.299999999999997"/>
    <n v="8.1675000000000007E-5"/>
    <n v="0"/>
    <n v="0"/>
    <m/>
  </r>
  <r>
    <s v="6007.4"/>
    <x v="0"/>
    <x v="0"/>
    <x v="0"/>
    <s v="20A"/>
    <s v="Whole Plate"/>
    <s v="Pseudanabaena sp."/>
    <b v="1"/>
    <n v="10"/>
    <n v="7.5"/>
    <m/>
    <n v="1.5"/>
    <n v="5.8499999999999999E-5"/>
    <n v="1.5"/>
    <n v="5.8499999999999999E-5"/>
    <m/>
  </r>
  <r>
    <s v="6007.5"/>
    <x v="0"/>
    <x v="0"/>
    <x v="0"/>
    <s v="20A"/>
    <s v="Whole Plate"/>
    <s v="Dolichospermum sp"/>
    <b v="1"/>
    <n v="10"/>
    <n v="12"/>
    <m/>
    <n v="1.2"/>
    <n v="2.2800000000000001E-4"/>
    <n v="1.2"/>
    <n v="2.2800000000000001E-4"/>
    <m/>
  </r>
  <r>
    <s v="6006.1"/>
    <x v="0"/>
    <x v="1"/>
    <x v="0"/>
    <s v="20A"/>
    <s v="Whole Plate"/>
    <s v="Microcystis sp"/>
    <b v="1"/>
    <n v="10"/>
    <n v="17.25"/>
    <n v="94"/>
    <n v="196.65"/>
    <n v="1.4119189069743E-2"/>
    <n v="196.65"/>
    <n v="1.4119189069743E-2"/>
    <s v="Microcystis spp._x000a_"/>
  </r>
  <r>
    <s v="6006.2"/>
    <x v="0"/>
    <x v="1"/>
    <x v="0"/>
    <s v="20A"/>
    <s v="Whole Plate"/>
    <s v="Dolichospermum sp"/>
    <b v="1"/>
    <n v="10"/>
    <n v="12.363636363636401"/>
    <m/>
    <n v="13.6"/>
    <n v="2.5839999999999999E-3"/>
    <n v="13.6"/>
    <n v="2.5839999999999999E-3"/>
    <m/>
  </r>
  <r>
    <s v="6006.3"/>
    <x v="0"/>
    <x v="1"/>
    <x v="0"/>
    <s v="20A"/>
    <s v="Whole Plate"/>
    <s v="Oscillatoria sp"/>
    <b v="1"/>
    <n v="10"/>
    <n v="37.200000000000003"/>
    <m/>
    <n v="18.600000000000001"/>
    <n v="5.03037E-2"/>
    <n v="18.600000000000001"/>
    <n v="5.03037E-2"/>
    <m/>
  </r>
  <r>
    <s v="6006.4"/>
    <x v="0"/>
    <x v="1"/>
    <x v="0"/>
    <s v="20A"/>
    <s v="Whole Plate"/>
    <s v="Pseudanabaena sp."/>
    <b v="1"/>
    <n v="10"/>
    <n v="8.6666666666666696"/>
    <m/>
    <n v="2.6"/>
    <n v="1.014E-4"/>
    <n v="2.6"/>
    <n v="1.014E-4"/>
    <m/>
  </r>
  <r>
    <s v="6006.5"/>
    <x v="0"/>
    <x v="1"/>
    <x v="0"/>
    <s v="20A"/>
    <s v="Whole Plate"/>
    <s v="Microcystis wesenbergii"/>
    <b v="1"/>
    <n v="10"/>
    <n v="38.5"/>
    <m/>
    <n v="7.7"/>
    <n v="1.4655409999999999E-3"/>
    <n v="7.7"/>
    <n v="1.4655409999999999E-3"/>
    <s v="Microcystis spp._x000a_"/>
  </r>
  <r>
    <s v="6006.6"/>
    <x v="0"/>
    <x v="1"/>
    <x v="0"/>
    <s v="20A"/>
    <s v="Whole Plate"/>
    <s v="Aphanocapsa sp"/>
    <b v="0"/>
    <n v="10"/>
    <n v="68"/>
    <m/>
    <n v="6.8"/>
    <n v="1.5299999999999999E-5"/>
    <n v="0"/>
    <n v="0"/>
    <m/>
  </r>
  <r>
    <s v="6006.7"/>
    <x v="0"/>
    <x v="1"/>
    <x v="0"/>
    <s v="20A"/>
    <s v="Whole Plate"/>
    <s v="Dolichospermum spiroides"/>
    <b v="1"/>
    <n v="10"/>
    <n v="15"/>
    <m/>
    <n v="1.5"/>
    <n v="3.8999999999999999E-4"/>
    <n v="1.5"/>
    <n v="3.8999999999999999E-4"/>
    <m/>
  </r>
  <r>
    <s v="6013.1"/>
    <x v="1"/>
    <x v="2"/>
    <x v="0"/>
    <s v="20A"/>
    <s v="Whole Plate"/>
    <s v="Dolichospermum planctonicum "/>
    <b v="1"/>
    <n v="10"/>
    <n v="12"/>
    <m/>
    <n v="3.6"/>
    <n v="1.3320000000000001E-3"/>
    <n v="3.6"/>
    <n v="1.3320000000000001E-3"/>
    <m/>
  </r>
  <r>
    <s v="6013.2"/>
    <x v="1"/>
    <x v="2"/>
    <x v="0"/>
    <s v="20A"/>
    <s v="Whole Plate"/>
    <s v="Microcystis wesenbergii"/>
    <b v="1"/>
    <n v="10"/>
    <n v="40.4444444444444"/>
    <m/>
    <n v="72.8"/>
    <n v="1.3856024E-2"/>
    <n v="72.8"/>
    <n v="1.3856024E-2"/>
    <s v="Microcystis spp._x000a_"/>
  </r>
  <r>
    <s v="6013.3"/>
    <x v="1"/>
    <x v="2"/>
    <x v="0"/>
    <s v="20A"/>
    <s v="Whole Plate"/>
    <s v="Pseudanabaena sp."/>
    <b v="1"/>
    <n v="10"/>
    <n v="3.5"/>
    <m/>
    <n v="0.7"/>
    <n v="2.73E-5"/>
    <n v="0.7"/>
    <n v="2.73E-5"/>
    <m/>
  </r>
  <r>
    <s v="6013.4"/>
    <x v="1"/>
    <x v="2"/>
    <x v="0"/>
    <s v="20A"/>
    <s v="Whole Plate"/>
    <s v="Limnococcus limneticus_x000a_"/>
    <b v="0"/>
    <n v="10"/>
    <n v="18"/>
    <m/>
    <n v="1.8"/>
    <n v="8.0999999999999996E-4"/>
    <n v="0"/>
    <n v="0"/>
    <m/>
  </r>
  <r>
    <s v="6008.1"/>
    <x v="1"/>
    <x v="3"/>
    <x v="0"/>
    <s v="20A"/>
    <s v="Whole Plate"/>
    <s v="Microcystis wesenbergii"/>
    <b v="1"/>
    <n v="10"/>
    <n v="34.549999999999997"/>
    <n v="3"/>
    <n v="79.465000000000003"/>
    <n v="1.512457345E-2"/>
    <n v="79.465000000000003"/>
    <n v="1.512457345E-2"/>
    <s v="Microcystis spp._x000a_"/>
  </r>
  <r>
    <s v="6008.2"/>
    <x v="1"/>
    <x v="3"/>
    <x v="0"/>
    <s v="20A"/>
    <s v="Whole Plate"/>
    <s v="Oscillatoria sp"/>
    <b v="1"/>
    <n v="10"/>
    <n v="236.15"/>
    <n v="4"/>
    <n v="566.76"/>
    <n v="1.5328024200000001"/>
    <n v="566.76"/>
    <n v="1.5328024200000001"/>
    <m/>
  </r>
  <r>
    <s v="6008.3"/>
    <x v="1"/>
    <x v="3"/>
    <x v="0"/>
    <s v="20A"/>
    <s v="Whole Plate"/>
    <s v="Dolichospermum lemmermannii"/>
    <b v="1"/>
    <n v="10"/>
    <n v="13.4285714285714"/>
    <m/>
    <n v="9.4"/>
    <n v="1.034E-3"/>
    <n v="9.4"/>
    <n v="1.034E-3"/>
    <m/>
  </r>
  <r>
    <s v="6008.4"/>
    <x v="1"/>
    <x v="3"/>
    <x v="0"/>
    <s v="20A"/>
    <s v="Whole Plate"/>
    <s v="Microcystis sp"/>
    <b v="1"/>
    <n v="10"/>
    <n v="22.3333333333333"/>
    <m/>
    <n v="6.7"/>
    <n v="4.8105042851400001E-4"/>
    <n v="6.7"/>
    <n v="4.8105042851400001E-4"/>
    <s v="Microcystis spp._x000a_"/>
  </r>
  <r>
    <s v="6008.5"/>
    <x v="1"/>
    <x v="3"/>
    <x v="0"/>
    <s v="20A"/>
    <s v="Whole Plate"/>
    <s v="Geitlerinema sp"/>
    <b v="0"/>
    <n v="10"/>
    <n v="34"/>
    <m/>
    <n v="3.4"/>
    <n v="7.4800000000000002E-5"/>
    <n v="0"/>
    <n v="0"/>
    <m/>
  </r>
  <r>
    <s v="6008.6"/>
    <x v="1"/>
    <x v="3"/>
    <x v="0"/>
    <s v="20A"/>
    <s v="Whole Plate"/>
    <s v="Aphanocapsa sp"/>
    <b v="0"/>
    <n v="10"/>
    <n v="28"/>
    <m/>
    <n v="2.8"/>
    <n v="6.2999999999999998E-6"/>
    <n v="0"/>
    <n v="0"/>
    <m/>
  </r>
  <r>
    <s v="6008.7"/>
    <x v="1"/>
    <x v="3"/>
    <x v="0"/>
    <s v="20A"/>
    <s v="Whole Plate"/>
    <s v="Dolichospermum circinale"/>
    <b v="1"/>
    <n v="10"/>
    <n v="15"/>
    <m/>
    <n v="3"/>
    <n v="1.7269200000000001E-3"/>
    <n v="3"/>
    <n v="1.7269200000000001E-3"/>
    <m/>
  </r>
  <r>
    <s v="6008.8"/>
    <x v="1"/>
    <x v="3"/>
    <x v="0"/>
    <s v="20A"/>
    <s v="Whole Plate"/>
    <s v="Pseudanabaena sp."/>
    <b v="1"/>
    <n v="10"/>
    <n v="16"/>
    <m/>
    <n v="1.6"/>
    <n v="6.2399999999999999E-5"/>
    <n v="1.6"/>
    <n v="6.2399999999999999E-5"/>
    <m/>
  </r>
  <r>
    <s v="6004.1"/>
    <x v="1"/>
    <x v="4"/>
    <x v="0"/>
    <s v="20A"/>
    <s v="160"/>
    <s v="Microcystis wesenbergii"/>
    <b v="1"/>
    <n v="10"/>
    <n v="44.9"/>
    <n v="5"/>
    <n v="3526.4428819444402"/>
    <n v="0.67118787372048505"/>
    <n v="3526.4428819444402"/>
    <n v="0.67118787372048505"/>
    <s v="Microcystis spp._x000a_"/>
  </r>
  <r>
    <s v="6004.2"/>
    <x v="1"/>
    <x v="4"/>
    <x v="0"/>
    <s v="20A"/>
    <s v="160"/>
    <s v="Microcystis sp"/>
    <b v="1"/>
    <n v="10"/>
    <n v="32"/>
    <m/>
    <n v="301.59333333333302"/>
    <n v="2.1653970483129201E-2"/>
    <n v="301.59333333333302"/>
    <n v="2.1653970483129201E-2"/>
    <s v="Microcystis spp._x000a_"/>
  </r>
  <r>
    <s v="6004.3"/>
    <x v="1"/>
    <x v="4"/>
    <x v="0"/>
    <s v="20A"/>
    <s v="160"/>
    <s v="Dolichospermum planctonicum "/>
    <b v="1"/>
    <n v="10"/>
    <n v="10"/>
    <m/>
    <n v="31.415972222222202"/>
    <n v="1.16239097222222E-2"/>
    <n v="31.415972222222202"/>
    <n v="1.16239097222222E-2"/>
    <m/>
  </r>
  <r>
    <s v="6004.4"/>
    <x v="1"/>
    <x v="4"/>
    <x v="0"/>
    <s v="20A"/>
    <s v="160"/>
    <s v="Pseudanabaena sp."/>
    <b v="1"/>
    <n v="10"/>
    <n v="2.5"/>
    <m/>
    <n v="15.707986111111101"/>
    <n v="6.1261145833333298E-4"/>
    <n v="15.707986111111101"/>
    <n v="6.1261145833333298E-4"/>
    <m/>
  </r>
  <r>
    <s v="6012.1"/>
    <x v="1"/>
    <x v="5"/>
    <x v="0"/>
    <s v="20A"/>
    <s v="Whole Plate"/>
    <s v="Microcystis wesenbergii"/>
    <b v="1"/>
    <n v="10"/>
    <n v="49.4"/>
    <m/>
    <n v="98.8"/>
    <n v="1.8804603999999999E-2"/>
    <n v="98.8"/>
    <n v="1.8804603999999999E-2"/>
    <s v="Microcystis spp._x000a_"/>
  </r>
  <r>
    <s v="6012.2"/>
    <x v="1"/>
    <x v="5"/>
    <x v="0"/>
    <s v="20A"/>
    <s v="Whole Plate"/>
    <s v="Oscillatoria sp"/>
    <b v="1"/>
    <n v="10"/>
    <n v="258"/>
    <m/>
    <n v="51.6"/>
    <n v="0.13955219999999999"/>
    <n v="51.6"/>
    <n v="0.13955219999999999"/>
    <m/>
  </r>
  <r>
    <s v="6012.3"/>
    <x v="1"/>
    <x v="5"/>
    <x v="0"/>
    <s v="20A"/>
    <s v="Whole Plate"/>
    <s v="Dolichospermum lemmermannii"/>
    <b v="1"/>
    <n v="10"/>
    <n v="48"/>
    <m/>
    <n v="4.8"/>
    <n v="5.2800000000000004E-4"/>
    <n v="4.8"/>
    <n v="5.2800000000000004E-4"/>
    <m/>
  </r>
  <r>
    <s v="6011.1"/>
    <x v="1"/>
    <x v="6"/>
    <x v="0"/>
    <s v="20A"/>
    <s v="Whole Plate"/>
    <s v="Dolichospermum planctonicum "/>
    <b v="1"/>
    <n v="10"/>
    <n v="13.8571428571429"/>
    <m/>
    <n v="9.6999999999999993"/>
    <n v="3.5890000000000002E-3"/>
    <n v="9.6999999999999993"/>
    <n v="3.5890000000000002E-3"/>
    <m/>
  </r>
  <r>
    <s v="6011.2"/>
    <x v="1"/>
    <x v="6"/>
    <x v="0"/>
    <s v="20A"/>
    <s v="Whole Plate"/>
    <s v="Microcystis wesenbergii"/>
    <b v="1"/>
    <n v="10"/>
    <n v="43.75"/>
    <n v="30"/>
    <n v="218.75"/>
    <n v="4.1634687500000003E-2"/>
    <n v="218.75"/>
    <n v="4.1634687500000003E-2"/>
    <s v="Microcystis spp._x000a_"/>
  </r>
  <r>
    <s v="6011.3"/>
    <x v="1"/>
    <x v="6"/>
    <x v="0"/>
    <s v="20A"/>
    <s v="Whole Plate"/>
    <s v="Dolichospermum lemmermannii"/>
    <b v="1"/>
    <n v="10"/>
    <n v="34.5"/>
    <m/>
    <n v="6.9"/>
    <n v="7.5900000000000002E-4"/>
    <n v="6.9"/>
    <n v="7.5900000000000002E-4"/>
    <m/>
  </r>
  <r>
    <s v="6011.4"/>
    <x v="1"/>
    <x v="6"/>
    <x v="0"/>
    <s v="20A"/>
    <s v="Whole Plate"/>
    <s v="Dolichospermum circinale"/>
    <b v="1"/>
    <n v="10"/>
    <n v="13"/>
    <m/>
    <n v="2.6"/>
    <n v="1.496664E-3"/>
    <n v="2.6"/>
    <n v="1.496664E-3"/>
    <m/>
  </r>
  <r>
    <s v="6011.5"/>
    <x v="1"/>
    <x v="6"/>
    <x v="0"/>
    <s v="20A"/>
    <s v="Whole Plate"/>
    <s v="Pseudanabaena sp."/>
    <b v="1"/>
    <n v="10"/>
    <n v="4"/>
    <m/>
    <n v="0.4"/>
    <n v="1.56E-5"/>
    <n v="0.4"/>
    <n v="1.56E-5"/>
    <m/>
  </r>
  <r>
    <s v="6011.6"/>
    <x v="1"/>
    <x v="6"/>
    <x v="0"/>
    <s v="20A"/>
    <s v="Whole Plate"/>
    <s v="Oscillatoria sp"/>
    <b v="1"/>
    <n v="10"/>
    <n v="35.5"/>
    <m/>
    <n v="7.1"/>
    <n v="1.9201949999999999E-2"/>
    <n v="7.1"/>
    <n v="1.9201949999999999E-2"/>
    <m/>
  </r>
  <r>
    <s v="6011.7"/>
    <x v="1"/>
    <x v="6"/>
    <x v="0"/>
    <s v="20A"/>
    <s v="Whole Plate"/>
    <s v="Anabaena torulosa"/>
    <b v="1"/>
    <n v="10"/>
    <n v="18.5"/>
    <m/>
    <n v="3.7"/>
    <n v="8.1769999999999998E-4"/>
    <n v="3.7"/>
    <n v="8.1769999999999998E-4"/>
    <m/>
  </r>
  <r>
    <s v="6010.1"/>
    <x v="2"/>
    <x v="7"/>
    <x v="0"/>
    <s v="20A"/>
    <s v="160"/>
    <s v="Microcystis wesenbergii"/>
    <b v="1"/>
    <n v="10"/>
    <n v="41.142857142857103"/>
    <m/>
    <n v="1809.56"/>
    <n v="0.34441355480000002"/>
    <n v="1809.56"/>
    <n v="0.34441355480000002"/>
    <s v="Microcystis spp._x000a_"/>
  </r>
  <r>
    <s v="6010.2"/>
    <x v="2"/>
    <x v="7"/>
    <x v="0"/>
    <s v="20A"/>
    <s v="160"/>
    <s v="Pseudanabaena sp."/>
    <b v="1"/>
    <n v="10"/>
    <n v="12"/>
    <m/>
    <n v="37.699166666666699"/>
    <n v="1.4702675000000001E-3"/>
    <n v="37.699166666666699"/>
    <n v="1.4702675000000001E-3"/>
    <m/>
  </r>
  <r>
    <s v="6005.1"/>
    <x v="2"/>
    <x v="8"/>
    <x v="0"/>
    <s v="20A"/>
    <s v="160"/>
    <s v="Microcystis wesenbergii"/>
    <b v="1"/>
    <n v="10"/>
    <n v="49.65"/>
    <n v="92"/>
    <n v="17469.7938333333"/>
    <n v="3.32502586029833"/>
    <n v="17469.7938333333"/>
    <n v="3.32502586029833"/>
    <s v="Microcystis spp._x000a_"/>
  </r>
  <r>
    <s v="6005.2"/>
    <x v="2"/>
    <x v="8"/>
    <x v="0"/>
    <s v="20A"/>
    <s v="160"/>
    <s v="Microcystis sp"/>
    <b v="1"/>
    <n v="10"/>
    <n v="22.75"/>
    <m/>
    <n v="285.88534722222198"/>
    <n v="2.05261595204662E-2"/>
    <n v="285.88534722222198"/>
    <n v="2.05261595204662E-2"/>
    <s v="Microcystis spp._x000a_"/>
  </r>
  <r>
    <s v="6005.3"/>
    <x v="2"/>
    <x v="8"/>
    <x v="0"/>
    <s v="20A"/>
    <s v="160"/>
    <s v="Pseudanabaena sp."/>
    <b v="1"/>
    <n v="10"/>
    <n v="3.5"/>
    <m/>
    <n v="65.973541666666705"/>
    <n v="2.5729681250000001E-3"/>
    <n v="65.973541666666705"/>
    <n v="2.5729681250000001E-3"/>
    <m/>
  </r>
  <r>
    <s v="6009.1"/>
    <x v="2"/>
    <x v="9"/>
    <x v="0"/>
    <s v="20A"/>
    <s v="160"/>
    <s v="Microcystis wesenbergii"/>
    <b v="1"/>
    <n v="10"/>
    <n v="41.421052631578902"/>
    <m/>
    <n v="2472.4370138888899"/>
    <n v="0.47057893685347202"/>
    <n v="2472.4370138888899"/>
    <n v="0.47057893685347202"/>
    <s v="Microcystis spp._x000a_"/>
  </r>
  <r>
    <s v="6009.2"/>
    <x v="2"/>
    <x v="9"/>
    <x v="0"/>
    <s v="20A"/>
    <s v="160"/>
    <s v="Pseudanabaena sp."/>
    <b v="1"/>
    <n v="10"/>
    <n v="7.25"/>
    <m/>
    <n v="91.106319444444395"/>
    <n v="3.5531464583333301E-3"/>
    <n v="91.106319444444395"/>
    <n v="3.5531464583333301E-3"/>
    <m/>
  </r>
  <r>
    <s v="6003.1"/>
    <x v="2"/>
    <x v="10"/>
    <x v="0"/>
    <s v="20A"/>
    <s v="160"/>
    <s v="Microcystis wesenbergii"/>
    <b v="1"/>
    <n v="10"/>
    <n v="46.2"/>
    <n v="67"/>
    <n v="12627.335875000001"/>
    <n v="2.40336083708875"/>
    <n v="12627.335875000001"/>
    <n v="2.40336083708875"/>
    <s v="Microcystis spp._x000a_"/>
  </r>
  <r>
    <s v="6003.2"/>
    <x v="2"/>
    <x v="10"/>
    <x v="0"/>
    <s v="20A"/>
    <s v="160"/>
    <s v="Microcystis sp"/>
    <b v="1"/>
    <n v="10"/>
    <n v="21.5"/>
    <m/>
    <n v="270.177361111111"/>
    <n v="1.9398348557803199E-2"/>
    <n v="270.177361111111"/>
    <n v="1.9398348557803199E-2"/>
    <s v="Microcystis spp._x000a_"/>
  </r>
  <r>
    <s v="6014.1"/>
    <x v="3"/>
    <x v="11"/>
    <x v="0"/>
    <s v="20A"/>
    <s v="Whole Plate"/>
    <s v="Dolichospermum circinale"/>
    <b v="1"/>
    <n v="10"/>
    <n v="14.6"/>
    <n v="37"/>
    <n v="83.22"/>
    <n v="4.7904760800000001E-2"/>
    <n v="83.22"/>
    <n v="4.7904760800000001E-2"/>
    <m/>
  </r>
  <r>
    <s v="6014.2"/>
    <x v="3"/>
    <x v="11"/>
    <x v="0"/>
    <s v="20A"/>
    <s v="Whole Plate"/>
    <s v="Oscillatoria sp"/>
    <b v="1"/>
    <n v="10"/>
    <n v="80"/>
    <m/>
    <n v="8"/>
    <n v="2.1635999999999999E-2"/>
    <n v="8"/>
    <n v="2.1635999999999999E-2"/>
    <m/>
  </r>
  <r>
    <s v="6014.3"/>
    <x v="3"/>
    <x v="11"/>
    <x v="0"/>
    <s v="20A"/>
    <s v="Whole Plate"/>
    <s v="Woronichinia naegeliana"/>
    <b v="1"/>
    <n v="10"/>
    <n v="405"/>
    <m/>
    <n v="81"/>
    <n v="0"/>
    <n v="81"/>
    <n v="0"/>
    <m/>
  </r>
  <r>
    <s v="6014.4"/>
    <x v="3"/>
    <x v="11"/>
    <x v="0"/>
    <s v="20A"/>
    <s v="Whole Plate"/>
    <s v="Dolichospermum sp"/>
    <b v="1"/>
    <n v="10"/>
    <n v="19.5"/>
    <m/>
    <n v="7.8"/>
    <n v="1.482E-3"/>
    <n v="7.8"/>
    <n v="1.482E-3"/>
    <m/>
  </r>
  <r>
    <s v="6014.5"/>
    <x v="3"/>
    <x v="11"/>
    <x v="0"/>
    <s v="20A"/>
    <s v="Whole Plate"/>
    <s v="Dolichospermum lemmermannii"/>
    <b v="1"/>
    <n v="10"/>
    <n v="18.6666666666667"/>
    <m/>
    <n v="11.2"/>
    <n v="1.232E-3"/>
    <n v="11.2"/>
    <n v="1.232E-3"/>
    <m/>
  </r>
  <r>
    <s v="6014.6"/>
    <x v="3"/>
    <x v="11"/>
    <x v="0"/>
    <s v="20A"/>
    <s v="Whole Plate"/>
    <s v="Microcystis sp"/>
    <b v="1"/>
    <n v="10"/>
    <n v="28"/>
    <m/>
    <n v="2.8"/>
    <n v="2.01035999976E-4"/>
    <n v="2.8"/>
    <n v="2.01035999976E-4"/>
    <s v="Microcystis spp._x000a_"/>
  </r>
  <r>
    <s v="6014.7"/>
    <x v="3"/>
    <x v="11"/>
    <x v="0"/>
    <s v="20A"/>
    <s v="Whole Plate"/>
    <s v="Dolichospermum planctonicum "/>
    <b v="1"/>
    <n v="10"/>
    <n v="15.6"/>
    <m/>
    <n v="7.8"/>
    <n v="2.8860000000000001E-3"/>
    <n v="7.8"/>
    <n v="2.8860000000000001E-3"/>
    <m/>
  </r>
  <r>
    <s v="5996.1"/>
    <x v="0"/>
    <x v="0"/>
    <x v="1"/>
    <s v="20A"/>
    <s v="Whole Plate"/>
    <s v="Microcystis sp"/>
    <b v="1"/>
    <n v="10"/>
    <n v="39.85"/>
    <n v="43"/>
    <n v="251.05500000000001"/>
    <n v="1.80253903478481E-2"/>
    <n v="251.05500000000001"/>
    <n v="1.80253903478481E-2"/>
    <s v="Microcystis spp._x000a_"/>
  </r>
  <r>
    <s v="5996.2"/>
    <x v="0"/>
    <x v="0"/>
    <x v="1"/>
    <s v="20A"/>
    <s v="Whole Plate"/>
    <s v="Pseudanabaena sp."/>
    <b v="1"/>
    <n v="10"/>
    <n v="9.3846153846153904"/>
    <m/>
    <n v="12.2"/>
    <n v="4.7580000000000002E-4"/>
    <n v="12.2"/>
    <n v="4.7580000000000002E-4"/>
    <m/>
  </r>
  <r>
    <s v="5996.3"/>
    <x v="0"/>
    <x v="0"/>
    <x v="1"/>
    <s v="20A"/>
    <s v="Whole Plate"/>
    <s v="Anabaena torulosa"/>
    <b v="1"/>
    <n v="10"/>
    <n v="12.5"/>
    <m/>
    <n v="2.5"/>
    <n v="5.5250000000000004E-4"/>
    <n v="2.5"/>
    <n v="5.5250000000000004E-4"/>
    <m/>
  </r>
  <r>
    <s v="5996.4"/>
    <x v="0"/>
    <x v="0"/>
    <x v="1"/>
    <s v="20A"/>
    <s v="Whole Plate"/>
    <s v="Oscillatoria sp"/>
    <b v="1"/>
    <n v="10"/>
    <n v="106.857142857143"/>
    <m/>
    <n v="74.8"/>
    <n v="0.20229659999999999"/>
    <n v="74.8"/>
    <n v="0.20229659999999999"/>
    <m/>
  </r>
  <r>
    <s v="5996.5"/>
    <x v="0"/>
    <x v="0"/>
    <x v="1"/>
    <s v="20A"/>
    <s v="Whole Plate"/>
    <s v="Microcystis wesenbergii"/>
    <b v="1"/>
    <n v="10"/>
    <n v="42"/>
    <m/>
    <n v="4.2"/>
    <n v="7.9938600000000002E-4"/>
    <n v="4.2"/>
    <n v="7.9938600000000002E-4"/>
    <s v="Microcystis spp._x000a_"/>
  </r>
  <r>
    <s v="6002.1"/>
    <x v="0"/>
    <x v="1"/>
    <x v="1"/>
    <s v="20A"/>
    <s v="Whole Plate"/>
    <s v="Microcystis sp"/>
    <b v="1"/>
    <n v="10"/>
    <n v="35.2777777777778"/>
    <m/>
    <n v="63.5"/>
    <n v="4.5592092851700003E-3"/>
    <n v="63.5"/>
    <n v="4.5592092851700003E-3"/>
    <s v="Microcystis spp._x000a_"/>
  </r>
  <r>
    <s v="6002.2"/>
    <x v="0"/>
    <x v="1"/>
    <x v="1"/>
    <s v="20A"/>
    <s v="Whole Plate"/>
    <s v="Anabaena torulosa"/>
    <b v="1"/>
    <n v="10"/>
    <n v="30"/>
    <m/>
    <n v="3"/>
    <n v="6.6299999999999996E-4"/>
    <n v="3"/>
    <n v="6.6299999999999996E-4"/>
    <m/>
  </r>
  <r>
    <s v="6002.3"/>
    <x v="0"/>
    <x v="1"/>
    <x v="1"/>
    <s v="20A"/>
    <s v="Whole Plate"/>
    <s v="Phormidium sp"/>
    <b v="1"/>
    <n v="10"/>
    <n v="126.6"/>
    <m/>
    <n v="63.3"/>
    <n v="5.908422E-3"/>
    <n v="63.3"/>
    <n v="5.908422E-3"/>
    <m/>
  </r>
  <r>
    <s v="6002.4"/>
    <x v="0"/>
    <x v="1"/>
    <x v="1"/>
    <s v="20A"/>
    <s v="Whole Plate"/>
    <s v="Oscillatoria sp"/>
    <b v="1"/>
    <n v="10"/>
    <n v="46"/>
    <m/>
    <n v="36.799999999999997"/>
    <n v="9.9525600000000006E-2"/>
    <n v="36.799999999999997"/>
    <n v="9.9525600000000006E-2"/>
    <m/>
  </r>
  <r>
    <s v="6002.5"/>
    <x v="0"/>
    <x v="1"/>
    <x v="1"/>
    <s v="20A"/>
    <s v="Whole Plate"/>
    <s v="Microcystis wesenbergii"/>
    <b v="1"/>
    <n v="10"/>
    <n v="19"/>
    <m/>
    <n v="3.8"/>
    <n v="7.23254E-4"/>
    <n v="3.8"/>
    <n v="7.23254E-4"/>
    <s v="Microcystis spp._x000a_"/>
  </r>
  <r>
    <s v="6001.1"/>
    <x v="1"/>
    <x v="2"/>
    <x v="1"/>
    <s v="20A"/>
    <s v="Whole Plate"/>
    <s v="Microcystis wesenbergii"/>
    <b v="1"/>
    <n v="10"/>
    <n v="46.846153846153797"/>
    <m/>
    <n v="60.9"/>
    <n v="1.1591097E-2"/>
    <n v="60.9"/>
    <n v="1.1591097E-2"/>
    <s v="Microcystis spp._x000a_"/>
  </r>
  <r>
    <s v="6001.2"/>
    <x v="1"/>
    <x v="2"/>
    <x v="1"/>
    <s v="20A"/>
    <s v="Whole Plate"/>
    <s v="Dolichospermum planctonicum "/>
    <b v="1"/>
    <n v="10"/>
    <n v="15"/>
    <m/>
    <n v="18"/>
    <n v="6.6600000000000001E-3"/>
    <n v="18"/>
    <n v="6.6600000000000001E-3"/>
    <m/>
  </r>
  <r>
    <s v="6001.3"/>
    <x v="1"/>
    <x v="2"/>
    <x v="1"/>
    <s v="20A"/>
    <s v="Whole Plate"/>
    <s v="Limnococcus limneticus_x000a_"/>
    <b v="0"/>
    <n v="10"/>
    <n v="31"/>
    <m/>
    <n v="6.2"/>
    <n v="2.7899999999999999E-3"/>
    <n v="0"/>
    <n v="0"/>
    <m/>
  </r>
  <r>
    <s v="5995.1"/>
    <x v="1"/>
    <x v="3"/>
    <x v="1"/>
    <s v="20A"/>
    <s v="Whole Plate"/>
    <s v="Oscillatoria sp"/>
    <b v="1"/>
    <n v="10"/>
    <n v="180.75"/>
    <n v="6"/>
    <n v="469.95"/>
    <n v="1.270979775"/>
    <n v="469.95"/>
    <n v="1.270979775"/>
    <m/>
  </r>
  <r>
    <s v="5995.2"/>
    <x v="1"/>
    <x v="3"/>
    <x v="1"/>
    <s v="20A"/>
    <s v="Whole Plate"/>
    <s v="Aphanocapsa sp"/>
    <b v="0"/>
    <n v="10"/>
    <n v="34.6666666666667"/>
    <m/>
    <n v="10.4"/>
    <n v="2.34E-5"/>
    <n v="0"/>
    <n v="0"/>
    <m/>
  </r>
  <r>
    <s v="5995.3"/>
    <x v="1"/>
    <x v="3"/>
    <x v="1"/>
    <s v="20A"/>
    <s v="Whole Plate"/>
    <s v="Dolichospermum lemmermannii"/>
    <b v="1"/>
    <n v="10"/>
    <n v="22.363636363636399"/>
    <m/>
    <n v="24.6"/>
    <n v="2.7060000000000001E-3"/>
    <n v="24.6"/>
    <n v="2.7060000000000001E-3"/>
    <m/>
  </r>
  <r>
    <s v="5995.4"/>
    <x v="1"/>
    <x v="3"/>
    <x v="1"/>
    <s v="20A"/>
    <s v="Whole Plate"/>
    <s v="Microcystis wesenbergii"/>
    <b v="1"/>
    <n v="10"/>
    <n v="59.368421052631597"/>
    <m/>
    <n v="112.8"/>
    <n v="2.1469223999999999E-2"/>
    <n v="112.8"/>
    <n v="2.1469223999999999E-2"/>
    <s v="Microcystis spp._x000a_"/>
  </r>
  <r>
    <s v="5995.5"/>
    <x v="1"/>
    <x v="3"/>
    <x v="1"/>
    <s v="20A"/>
    <s v="Whole Plate"/>
    <s v="Woronichinia naegeliana"/>
    <b v="1"/>
    <n v="10"/>
    <n v="272"/>
    <m/>
    <n v="27.2"/>
    <n v="0"/>
    <n v="27.2"/>
    <n v="0"/>
    <m/>
  </r>
  <r>
    <s v="5995.6"/>
    <x v="1"/>
    <x v="3"/>
    <x v="1"/>
    <s v="20A"/>
    <s v="Whole Plate"/>
    <s v="Pseudanabaena sp."/>
    <b v="1"/>
    <n v="10"/>
    <n v="27"/>
    <m/>
    <n v="2.7"/>
    <n v="1.053E-4"/>
    <n v="2.7"/>
    <n v="1.053E-4"/>
    <m/>
  </r>
  <r>
    <s v="5995.7"/>
    <x v="1"/>
    <x v="3"/>
    <x v="1"/>
    <s v="20A"/>
    <s v="Whole Plate"/>
    <s v="Coelosphaerium cf natans"/>
    <b v="0"/>
    <n v="10"/>
    <n v="68"/>
    <m/>
    <n v="6.8"/>
    <n v="1.5639999999999999E-5"/>
    <n v="0"/>
    <n v="0"/>
    <m/>
  </r>
  <r>
    <s v="5995.8"/>
    <x v="1"/>
    <x v="3"/>
    <x v="1"/>
    <s v="20A"/>
    <s v="Whole Plate"/>
    <s v="Microcystis sp"/>
    <b v="1"/>
    <n v="10"/>
    <n v="306"/>
    <m/>
    <n v="30.6"/>
    <n v="2.197036285452E-3"/>
    <n v="30.6"/>
    <n v="2.197036285452E-3"/>
    <s v="Microcystis spp._x000a_"/>
  </r>
  <r>
    <s v="5995.9"/>
    <x v="1"/>
    <x v="3"/>
    <x v="1"/>
    <s v="20A"/>
    <s v="Whole Plate"/>
    <s v="Dolichospermum circinale"/>
    <b v="1"/>
    <n v="10"/>
    <n v="15"/>
    <m/>
    <n v="1.5"/>
    <n v="8.6346000000000003E-4"/>
    <n v="1.5"/>
    <n v="8.6346000000000003E-4"/>
    <m/>
  </r>
  <r>
    <s v="5995.10"/>
    <x v="1"/>
    <x v="3"/>
    <x v="1"/>
    <s v="20A"/>
    <s v="Whole Plate"/>
    <s v="Dolichospermum planctonicum "/>
    <b v="1"/>
    <n v="10"/>
    <n v="18"/>
    <m/>
    <n v="1.8"/>
    <n v="6.6600000000000003E-4"/>
    <n v="1.8"/>
    <n v="6.6600000000000003E-4"/>
    <m/>
  </r>
  <r>
    <s v="5995.11"/>
    <x v="1"/>
    <x v="3"/>
    <x v="1"/>
    <s v="20A"/>
    <s v="Whole Plate"/>
    <s v="Limnococcus limneticus_x000a_"/>
    <b v="0"/>
    <n v="10"/>
    <n v="36"/>
    <m/>
    <n v="3.6"/>
    <n v="1.6199999999999999E-3"/>
    <n v="0"/>
    <n v="0"/>
    <m/>
  </r>
  <r>
    <s v="5994.1"/>
    <x v="1"/>
    <x v="4"/>
    <x v="1"/>
    <s v="20A"/>
    <s v="Whole Plate"/>
    <s v="Microcystis wesenbergii"/>
    <b v="1"/>
    <n v="10"/>
    <n v="68.8"/>
    <n v="125"/>
    <n v="997.6"/>
    <n v="0.18987320799999999"/>
    <n v="997.6"/>
    <n v="0.18987320799999999"/>
    <s v="Microcystis spp._x000a_"/>
  </r>
  <r>
    <s v="5994.2"/>
    <x v="1"/>
    <x v="4"/>
    <x v="1"/>
    <s v="20A"/>
    <s v="Whole Plate"/>
    <s v="Microcystis sp"/>
    <b v="1"/>
    <n v="10"/>
    <n v="27.5"/>
    <m/>
    <n v="22"/>
    <n v="1.5795685712399999E-3"/>
    <n v="22"/>
    <n v="1.5795685712399999E-3"/>
    <s v="Microcystis spp._x000a_"/>
  </r>
  <r>
    <s v="5994.3"/>
    <x v="1"/>
    <x v="4"/>
    <x v="1"/>
    <s v="20A"/>
    <s v="Whole Plate"/>
    <s v="Oscillatoria sp"/>
    <b v="1"/>
    <n v="10"/>
    <n v="54"/>
    <m/>
    <n v="10.8"/>
    <n v="2.9208600000000001E-2"/>
    <n v="10.8"/>
    <n v="2.9208600000000001E-2"/>
    <m/>
  </r>
  <r>
    <s v="5998.1"/>
    <x v="1"/>
    <x v="5"/>
    <x v="1"/>
    <s v="20A"/>
    <s v="Whole Plate"/>
    <s v="Dolichospermum planctonicum "/>
    <b v="1"/>
    <n v="10"/>
    <n v="12.5555555555556"/>
    <m/>
    <n v="11.3"/>
    <n v="4.1809999999999998E-3"/>
    <n v="11.3"/>
    <n v="4.1809999999999998E-3"/>
    <m/>
  </r>
  <r>
    <s v="5998.2"/>
    <x v="1"/>
    <x v="5"/>
    <x v="1"/>
    <s v="20A"/>
    <s v="Whole Plate"/>
    <s v="Microcystis wesenbergii"/>
    <b v="1"/>
    <n v="10"/>
    <n v="45.9"/>
    <n v="25"/>
    <n v="206.55"/>
    <n v="3.9312661499999998E-2"/>
    <n v="206.55"/>
    <n v="3.9312661499999998E-2"/>
    <s v="Microcystis spp._x000a_"/>
  </r>
  <r>
    <s v="5998.3"/>
    <x v="1"/>
    <x v="5"/>
    <x v="1"/>
    <s v="20A"/>
    <s v="Whole Plate"/>
    <s v="Limnococcus limneticus_x000a_"/>
    <b v="0"/>
    <n v="10"/>
    <n v="21.3333333333333"/>
    <m/>
    <n v="6.4"/>
    <n v="2.8800000000000002E-3"/>
    <n v="0"/>
    <n v="0"/>
    <m/>
  </r>
  <r>
    <s v="5998.4"/>
    <x v="1"/>
    <x v="5"/>
    <x v="1"/>
    <s v="20A"/>
    <s v="Whole Plate"/>
    <s v="Oscillatoria sp"/>
    <b v="1"/>
    <n v="10"/>
    <n v="74"/>
    <m/>
    <n v="14.8"/>
    <n v="4.0026600000000002E-2"/>
    <n v="14.8"/>
    <n v="4.0026600000000002E-2"/>
    <m/>
  </r>
  <r>
    <s v="5997.1"/>
    <x v="1"/>
    <x v="6"/>
    <x v="1"/>
    <s v="20A"/>
    <s v="Whole Plate"/>
    <s v="Dolichospermum planctonicum "/>
    <b v="1"/>
    <n v="10"/>
    <n v="16.466666666666701"/>
    <m/>
    <n v="24.7"/>
    <n v="9.1389999999999996E-3"/>
    <n v="24.7"/>
    <n v="9.1389999999999996E-3"/>
    <m/>
  </r>
  <r>
    <s v="5997.2"/>
    <x v="1"/>
    <x v="6"/>
    <x v="1"/>
    <s v="20A"/>
    <s v="Whole Plate"/>
    <s v="Microcystis wesenbergii"/>
    <b v="1"/>
    <n v="10"/>
    <n v="47.55"/>
    <n v="37"/>
    <n v="271.03500000000003"/>
    <n v="5.1586091549999998E-2"/>
    <n v="271.03500000000003"/>
    <n v="5.1586091549999998E-2"/>
    <s v="Microcystis spp._x000a_"/>
  </r>
  <r>
    <s v="5997.3"/>
    <x v="1"/>
    <x v="6"/>
    <x v="1"/>
    <s v="20A"/>
    <s v="Whole Plate"/>
    <s v="Pseudanabaena sp."/>
    <b v="1"/>
    <n v="10"/>
    <n v="6"/>
    <m/>
    <n v="0.6"/>
    <n v="2.34E-5"/>
    <n v="0.6"/>
    <n v="2.34E-5"/>
    <m/>
  </r>
  <r>
    <s v="5997.4"/>
    <x v="1"/>
    <x v="6"/>
    <x v="1"/>
    <s v="20A"/>
    <s v="Whole Plate"/>
    <s v="Dolichospermum sp"/>
    <b v="1"/>
    <n v="10"/>
    <n v="14"/>
    <m/>
    <n v="2.8"/>
    <n v="5.3200000000000003E-4"/>
    <n v="2.8"/>
    <n v="5.3200000000000003E-4"/>
    <m/>
  </r>
  <r>
    <s v="5997.5"/>
    <x v="1"/>
    <x v="6"/>
    <x v="1"/>
    <s v="20A"/>
    <s v="Whole Plate"/>
    <s v="Dolichospermum smithii"/>
    <b v="1"/>
    <n v="10"/>
    <n v="29"/>
    <m/>
    <n v="5.8"/>
    <n v="2.5114E-3"/>
    <n v="5.8"/>
    <n v="2.5114E-3"/>
    <m/>
  </r>
  <r>
    <s v="5997.6"/>
    <x v="1"/>
    <x v="6"/>
    <x v="1"/>
    <s v="20A"/>
    <s v="Whole Plate"/>
    <s v="Aphanocapsa sp"/>
    <b v="0"/>
    <n v="10"/>
    <n v="59.3333333333333"/>
    <m/>
    <n v="17.8"/>
    <n v="4.0049999999999998E-5"/>
    <n v="0"/>
    <n v="0"/>
    <m/>
  </r>
  <r>
    <s v="5993.1"/>
    <x v="2"/>
    <x v="7"/>
    <x v="1"/>
    <s v="20A"/>
    <s v="160"/>
    <s v="Microcystis wesenbergii"/>
    <b v="1"/>
    <n v="10"/>
    <n v="54.1"/>
    <n v="23"/>
    <n v="7308.2976180555597"/>
    <n v="1.3909882856445099"/>
    <n v="7308.2976180555597"/>
    <n v="1.3909882856445099"/>
    <s v="Microcystis spp._x000a_"/>
  </r>
  <r>
    <s v="5993.2"/>
    <x v="2"/>
    <x v="7"/>
    <x v="1"/>
    <s v="20A"/>
    <s v="160"/>
    <s v="Microcystis sp"/>
    <b v="1"/>
    <n v="10"/>
    <n v="35.3333333333333"/>
    <m/>
    <n v="333.00930555555499"/>
    <n v="2.3909592408455201E-2"/>
    <n v="333.00930555555601"/>
    <n v="2.3909592408455201E-2"/>
    <s v="Microcystis spp._x000a_"/>
  </r>
  <r>
    <s v="5993.3"/>
    <x v="2"/>
    <x v="7"/>
    <x v="1"/>
    <s v="20A"/>
    <s v="160"/>
    <s v="Pseudanabaena sp."/>
    <b v="1"/>
    <n v="10"/>
    <n v="4"/>
    <m/>
    <n v="50.265555555555601"/>
    <n v="1.9603566666666701E-3"/>
    <n v="50.265555555555601"/>
    <n v="1.9603566666666701E-3"/>
    <m/>
  </r>
  <r>
    <s v="5992.1"/>
    <x v="2"/>
    <x v="8"/>
    <x v="1"/>
    <s v="20A"/>
    <s v="160"/>
    <s v="Microcystis wesenbergii"/>
    <b v="1"/>
    <n v="10"/>
    <n v="71.8"/>
    <n v="17"/>
    <n v="8345.9671805555608"/>
    <n v="1.5884879334751401"/>
    <n v="8345.9671805555608"/>
    <n v="1.5884879334751401"/>
    <s v="Microcystis spp._x000a_"/>
  </r>
  <r>
    <s v="5992.2"/>
    <x v="2"/>
    <x v="8"/>
    <x v="1"/>
    <s v="20A"/>
    <s v="160"/>
    <s v="Geitlerinema sp"/>
    <b v="0"/>
    <n v="10"/>
    <n v="12"/>
    <m/>
    <n v="37.699166666666699"/>
    <n v="8.2938166666666699E-4"/>
    <n v="0"/>
    <n v="0"/>
    <m/>
  </r>
  <r>
    <s v="5992.3"/>
    <x v="2"/>
    <x v="8"/>
    <x v="1"/>
    <s v="20A"/>
    <s v="160"/>
    <s v="Pseudanabaena sp."/>
    <b v="1"/>
    <n v="10"/>
    <n v="6.3888888888888902"/>
    <m/>
    <n v="361.28368055555597"/>
    <n v="1.4090063541666699E-2"/>
    <n v="361.28368055555597"/>
    <n v="1.4090063541666699E-2"/>
    <m/>
  </r>
  <r>
    <s v="5992.4"/>
    <x v="2"/>
    <x v="8"/>
    <x v="1"/>
    <s v="20A"/>
    <s v="160"/>
    <s v="Phormidium sp"/>
    <b v="1"/>
    <n v="10"/>
    <n v="24"/>
    <m/>
    <n v="75.398333333333298"/>
    <n v="7.0376804333333303E-3"/>
    <n v="75.398333333333298"/>
    <n v="7.0376804333333303E-3"/>
    <m/>
  </r>
  <r>
    <s v="5992.5"/>
    <x v="2"/>
    <x v="8"/>
    <x v="1"/>
    <s v="20A"/>
    <s v="160"/>
    <s v="Microcystis sp"/>
    <b v="1"/>
    <n v="10"/>
    <n v="32"/>
    <m/>
    <n v="100.531111111111"/>
    <n v="7.2179901610430596E-3"/>
    <n v="100.531111111111"/>
    <n v="7.2179901610430596E-3"/>
    <s v="Microcystis spp._x000a_"/>
  </r>
  <r>
    <s v="5999.1"/>
    <x v="2"/>
    <x v="9"/>
    <x v="1"/>
    <s v="20A"/>
    <s v="160"/>
    <s v="Microcystis wesenbergii"/>
    <b v="1"/>
    <n v="10"/>
    <n v="67.599999999999994"/>
    <m/>
    <n v="2123.7197222222198"/>
    <n v="0.40420757473055502"/>
    <n v="2123.7197222222198"/>
    <n v="0.40420757473055502"/>
    <s v="Microcystis spp._x000a_"/>
  </r>
  <r>
    <s v="5999.2"/>
    <x v="2"/>
    <x v="9"/>
    <x v="1"/>
    <s v="20A"/>
    <s v="160"/>
    <s v="Pseudanabaena sp."/>
    <b v="1"/>
    <n v="10"/>
    <n v="5"/>
    <m/>
    <n v="109.95590277777799"/>
    <n v="4.2882802083333404E-3"/>
    <n v="109.95590277777799"/>
    <n v="4.2882802083333404E-3"/>
    <m/>
  </r>
  <r>
    <s v="5991.1"/>
    <x v="2"/>
    <x v="10"/>
    <x v="1"/>
    <s v="20A"/>
    <s v="160"/>
    <s v="Microcystis wesenbergii"/>
    <b v="1"/>
    <n v="10"/>
    <n v="68.75"/>
    <n v="44"/>
    <n v="13823.027777777799"/>
    <n v="2.6309368769444501"/>
    <n v="13823.027777777799"/>
    <n v="2.6309368769444501"/>
    <s v="Microcystis spp._x000a_"/>
  </r>
  <r>
    <s v="5991.2"/>
    <x v="2"/>
    <x v="10"/>
    <x v="1"/>
    <s v="20A"/>
    <s v="160"/>
    <s v="Pseudanabaena sp."/>
    <b v="1"/>
    <n v="10"/>
    <n v="5.8571428571428603"/>
    <m/>
    <n v="128.80548611111101"/>
    <n v="5.0234139583333302E-3"/>
    <n v="128.80548611111101"/>
    <n v="5.0234139583333302E-3"/>
    <m/>
  </r>
  <r>
    <s v="5991.3"/>
    <x v="2"/>
    <x v="10"/>
    <x v="1"/>
    <s v="20A"/>
    <s v="160"/>
    <s v="Microcystis sp"/>
    <b v="1"/>
    <n v="10"/>
    <n v="19.5"/>
    <m/>
    <n v="122.522291666667"/>
    <n v="8.7969255087712601E-3"/>
    <n v="122.522291666667"/>
    <n v="8.7969255087712601E-3"/>
    <s v="Microcystis spp._x000a_"/>
  </r>
  <r>
    <s v="6000.1"/>
    <x v="3"/>
    <x v="11"/>
    <x v="1"/>
    <s v="20A"/>
    <s v="Whole Plate"/>
    <s v="Dolichospermum planctonicum "/>
    <b v="1"/>
    <n v="10"/>
    <n v="15.65"/>
    <n v="5"/>
    <n v="39.125"/>
    <n v="1.447625E-2"/>
    <n v="39.125"/>
    <n v="1.447625E-2"/>
    <m/>
  </r>
  <r>
    <s v="6000.2"/>
    <x v="3"/>
    <x v="11"/>
    <x v="1"/>
    <s v="20A"/>
    <s v="Whole Plate"/>
    <s v="Dolichospermum sp"/>
    <b v="1"/>
    <n v="10"/>
    <n v="16.600000000000001"/>
    <n v="8"/>
    <n v="46.48"/>
    <n v="8.8312000000000009E-3"/>
    <n v="46.48"/>
    <n v="8.8312000000000009E-3"/>
    <m/>
  </r>
  <r>
    <s v="6000.3"/>
    <x v="3"/>
    <x v="11"/>
    <x v="1"/>
    <s v="20A"/>
    <s v="Whole Plate"/>
    <s v="Woronichinia naegeliana"/>
    <b v="1"/>
    <n v="10"/>
    <n v="446"/>
    <m/>
    <n v="178.4"/>
    <n v="0"/>
    <n v="178.4"/>
    <n v="0"/>
    <m/>
  </r>
  <r>
    <s v="6000.4"/>
    <x v="3"/>
    <x v="11"/>
    <x v="1"/>
    <s v="20A"/>
    <s v="Whole Plate"/>
    <s v="Microcystis sp"/>
    <b v="1"/>
    <n v="10"/>
    <n v="131"/>
    <m/>
    <n v="26.2"/>
    <n v="1.8811225712039999E-3"/>
    <n v="26.2"/>
    <n v="1.8811225712039999E-3"/>
    <s v="Microcystis spp._x000a_"/>
  </r>
  <r>
    <s v="6000.5"/>
    <x v="3"/>
    <x v="11"/>
    <x v="1"/>
    <s v="20A"/>
    <s v="Whole Plate"/>
    <s v="Dolichospermum lemmermannii"/>
    <b v="1"/>
    <n v="10"/>
    <n v="28.6666666666667"/>
    <m/>
    <n v="17.2"/>
    <n v="1.892E-3"/>
    <n v="17.2"/>
    <n v="1.892E-3"/>
    <m/>
  </r>
  <r>
    <s v="6000.6"/>
    <x v="3"/>
    <x v="11"/>
    <x v="1"/>
    <s v="20A"/>
    <s v="Whole Plate"/>
    <s v="Dolichospermum spiroides"/>
    <b v="1"/>
    <n v="10"/>
    <n v="17"/>
    <m/>
    <n v="1.7"/>
    <n v="4.4200000000000001E-4"/>
    <n v="1.7"/>
    <n v="4.4200000000000001E-4"/>
    <m/>
  </r>
  <r>
    <s v="6000.7"/>
    <x v="3"/>
    <x v="11"/>
    <x v="1"/>
    <s v="20A"/>
    <s v="Whole Plate"/>
    <s v="Dolichospermum smithii"/>
    <b v="1"/>
    <n v="10"/>
    <n v="37"/>
    <m/>
    <n v="3.7"/>
    <n v="1.6021E-3"/>
    <n v="3.7"/>
    <n v="1.6021E-3"/>
    <m/>
  </r>
  <r>
    <s v="5984.1"/>
    <x v="0"/>
    <x v="0"/>
    <x v="2"/>
    <s v="20A"/>
    <s v="Whole Plate"/>
    <s v="Microcystis sp"/>
    <b v="1"/>
    <n v="10"/>
    <n v="17.5"/>
    <n v="16"/>
    <n v="63"/>
    <n v="4.5233099994599997E-3"/>
    <n v="63"/>
    <n v="4.5233099994599997E-3"/>
    <s v="Microcystis spp._x000a_"/>
  </r>
  <r>
    <s v="5984.2"/>
    <x v="0"/>
    <x v="0"/>
    <x v="2"/>
    <s v="20A"/>
    <s v="Whole Plate"/>
    <s v="Pseudanabaena sp."/>
    <b v="1"/>
    <n v="10"/>
    <n v="12"/>
    <m/>
    <n v="10.8"/>
    <n v="4.2119999999999999E-4"/>
    <n v="10.8"/>
    <n v="4.2119999999999999E-4"/>
    <m/>
  </r>
  <r>
    <s v="5984.3"/>
    <x v="0"/>
    <x v="0"/>
    <x v="2"/>
    <s v="20A"/>
    <s v="Whole Plate"/>
    <s v="Dolichospermum lemmermannii"/>
    <b v="1"/>
    <n v="10"/>
    <n v="10"/>
    <m/>
    <n v="4"/>
    <n v="4.4000000000000002E-4"/>
    <n v="4"/>
    <n v="4.4000000000000002E-4"/>
    <m/>
  </r>
  <r>
    <s v="5984.4"/>
    <x v="0"/>
    <x v="0"/>
    <x v="2"/>
    <s v="20A"/>
    <s v="Whole Plate"/>
    <s v="Anabaena torulosa"/>
    <b v="1"/>
    <n v="10"/>
    <n v="22"/>
    <m/>
    <n v="2.2000000000000002"/>
    <n v="4.862E-4"/>
    <n v="2.2000000000000002"/>
    <n v="4.862E-4"/>
    <m/>
  </r>
  <r>
    <s v="5984.5"/>
    <x v="0"/>
    <x v="0"/>
    <x v="2"/>
    <s v="20A"/>
    <s v="Whole Plate"/>
    <s v="Aphanocapsa sp"/>
    <b v="0"/>
    <n v="10"/>
    <n v="126"/>
    <m/>
    <n v="12.6"/>
    <n v="2.8350000000000001E-5"/>
    <n v="0"/>
    <n v="0"/>
    <m/>
  </r>
  <r>
    <s v="5984.6"/>
    <x v="0"/>
    <x v="0"/>
    <x v="2"/>
    <s v="20A"/>
    <s v="Whole Plate"/>
    <s v="Microcystis wesenbergii"/>
    <b v="1"/>
    <n v="10"/>
    <n v="87.3333333333333"/>
    <m/>
    <n v="26.2"/>
    <n v="4.986646E-3"/>
    <n v="26.2"/>
    <n v="4.986646E-3"/>
    <s v="Microcystis spp._x000a_"/>
  </r>
  <r>
    <s v="5984.7"/>
    <x v="0"/>
    <x v="0"/>
    <x v="2"/>
    <s v="20A"/>
    <s v="Whole Plate"/>
    <s v="Oscillatoria sp"/>
    <b v="1"/>
    <n v="10"/>
    <n v="96"/>
    <m/>
    <n v="9.6"/>
    <n v="2.5963199999999999E-2"/>
    <n v="9.6"/>
    <n v="2.5963199999999999E-2"/>
    <m/>
  </r>
  <r>
    <s v="5985.1"/>
    <x v="0"/>
    <x v="1"/>
    <x v="2"/>
    <s v="20A"/>
    <s v="Whole Plate"/>
    <s v="Microcystis sp"/>
    <b v="1"/>
    <n v="10"/>
    <n v="122.6"/>
    <m/>
    <n v="183.9"/>
    <n v="1.3203757284138E-2"/>
    <n v="183.9"/>
    <n v="1.3203757284138E-2"/>
    <s v="Microcystis spp._x000a_"/>
  </r>
  <r>
    <s v="5985.2"/>
    <x v="0"/>
    <x v="1"/>
    <x v="2"/>
    <s v="20A"/>
    <s v="Whole Plate"/>
    <s v="Oscillatoria sp"/>
    <b v="1"/>
    <n v="10"/>
    <n v="42.6666666666667"/>
    <m/>
    <n v="12.8"/>
    <n v="3.4617599999999998E-2"/>
    <n v="12.8"/>
    <n v="3.4617599999999998E-2"/>
    <m/>
  </r>
  <r>
    <s v="5985.3"/>
    <x v="0"/>
    <x v="1"/>
    <x v="2"/>
    <s v="20A"/>
    <s v="Whole Plate"/>
    <s v="Phormidium sp"/>
    <b v="1"/>
    <n v="10"/>
    <n v="253.666666666667"/>
    <m/>
    <n v="380.5"/>
    <n v="3.5515869999999998E-2"/>
    <n v="380.5"/>
    <n v="3.5515869999999998E-2"/>
    <m/>
  </r>
  <r>
    <s v="5985.4"/>
    <x v="0"/>
    <x v="1"/>
    <x v="2"/>
    <s v="20A"/>
    <s v="Whole Plate"/>
    <s v="Microcystis wesenbergii"/>
    <b v="1"/>
    <n v="10"/>
    <n v="37"/>
    <m/>
    <n v="14.8"/>
    <n v="2.816884E-3"/>
    <n v="14.8"/>
    <n v="2.816884E-3"/>
    <s v="Microcystis spp._x000a_"/>
  </r>
  <r>
    <s v="5985.5"/>
    <x v="0"/>
    <x v="1"/>
    <x v="2"/>
    <s v="20A"/>
    <s v="Whole Plate"/>
    <s v="Anabaena torulosa"/>
    <b v="1"/>
    <n v="10"/>
    <n v="15"/>
    <m/>
    <n v="1.5"/>
    <n v="3.3149999999999998E-4"/>
    <n v="1.5"/>
    <n v="3.3149999999999998E-4"/>
    <m/>
  </r>
  <r>
    <s v="5985.6"/>
    <x v="0"/>
    <x v="1"/>
    <x v="2"/>
    <s v="20A"/>
    <s v="Whole Plate"/>
    <s v="Pseudanabaena sp."/>
    <b v="1"/>
    <n v="10"/>
    <n v="20.5"/>
    <n v="3"/>
    <n v="47.15"/>
    <n v="1.8388499999999999E-3"/>
    <n v="47.15"/>
    <n v="1.8388499999999999E-3"/>
    <m/>
  </r>
  <r>
    <s v="5985.7"/>
    <x v="0"/>
    <x v="1"/>
    <x v="2"/>
    <s v="20A"/>
    <s v="Whole Plate"/>
    <s v="Coelosphaerium cf natans"/>
    <b v="0"/>
    <n v="10"/>
    <n v="37.200000000000003"/>
    <m/>
    <n v="18.600000000000001"/>
    <n v="4.278E-5"/>
    <n v="0"/>
    <n v="0"/>
    <m/>
  </r>
  <r>
    <s v="5985.8"/>
    <x v="0"/>
    <x v="1"/>
    <x v="2"/>
    <s v="20A"/>
    <s v="Whole Plate"/>
    <s v="Dolichospermum smithii"/>
    <b v="1"/>
    <n v="10"/>
    <n v="95.5"/>
    <m/>
    <n v="38.200000000000003"/>
    <n v="1.6540599999999999E-2"/>
    <n v="38.200000000000003"/>
    <n v="1.6540599999999999E-2"/>
    <m/>
  </r>
  <r>
    <s v="5985.9"/>
    <x v="0"/>
    <x v="1"/>
    <x v="2"/>
    <s v="20A"/>
    <s v="Whole Plate"/>
    <s v="Dolichospermum spiroides"/>
    <b v="1"/>
    <n v="10"/>
    <n v="36"/>
    <m/>
    <n v="3.6"/>
    <n v="9.3599999999999998E-4"/>
    <n v="3.6"/>
    <n v="9.3599999999999998E-4"/>
    <m/>
  </r>
  <r>
    <s v="5989.1"/>
    <x v="1"/>
    <x v="2"/>
    <x v="2"/>
    <s v="20A"/>
    <s v="Whole Plate"/>
    <s v="Microcystis wesenbergii"/>
    <b v="1"/>
    <n v="10"/>
    <n v="35.875"/>
    <m/>
    <n v="57.4"/>
    <n v="1.0924942E-2"/>
    <n v="57.4"/>
    <n v="1.0924942E-2"/>
    <s v="Microcystis spp._x000a_"/>
  </r>
  <r>
    <s v="5989.2"/>
    <x v="1"/>
    <x v="2"/>
    <x v="2"/>
    <s v="20A"/>
    <s v="Whole Plate"/>
    <s v="Dolichospermum planctonicum "/>
    <b v="1"/>
    <n v="10"/>
    <n v="16"/>
    <m/>
    <n v="4.8"/>
    <n v="1.776E-3"/>
    <n v="4.8"/>
    <n v="1.776E-3"/>
    <m/>
  </r>
  <r>
    <s v="5989.3"/>
    <x v="1"/>
    <x v="2"/>
    <x v="2"/>
    <s v="20A"/>
    <s v="Whole Plate"/>
    <s v="Limnococcus limneticus_x000a_"/>
    <b v="0"/>
    <n v="10"/>
    <n v="24.75"/>
    <m/>
    <n v="9.9"/>
    <n v="4.4549999999999998E-3"/>
    <n v="0"/>
    <n v="0"/>
    <m/>
  </r>
  <r>
    <s v="5989.4"/>
    <x v="1"/>
    <x v="2"/>
    <x v="2"/>
    <s v="20A"/>
    <s v="Whole Plate"/>
    <s v="Coelosphaerium cf natans"/>
    <b v="0"/>
    <n v="10"/>
    <n v="32"/>
    <m/>
    <n v="3.2"/>
    <n v="7.3599999999999998E-6"/>
    <n v="0"/>
    <n v="0"/>
    <m/>
  </r>
  <r>
    <s v="5989.5"/>
    <x v="1"/>
    <x v="2"/>
    <x v="2"/>
    <s v="20A"/>
    <s v="Whole Plate"/>
    <s v="Pseudanabaena sp."/>
    <b v="1"/>
    <n v="10"/>
    <n v="18"/>
    <m/>
    <n v="1.8"/>
    <n v="7.0199999999999999E-5"/>
    <n v="1.8"/>
    <n v="7.0199999999999999E-5"/>
    <m/>
  </r>
  <r>
    <s v="5982.1"/>
    <x v="1"/>
    <x v="3"/>
    <x v="2"/>
    <s v="20A"/>
    <s v="Whole Plate"/>
    <s v="Microcystis wesenbergii"/>
    <b v="1"/>
    <n v="10"/>
    <n v="46.909090909090899"/>
    <m/>
    <n v="51.6"/>
    <n v="9.8210280000000007E-3"/>
    <n v="51.6"/>
    <n v="9.8210280000000007E-3"/>
    <s v="Microcystis spp._x000a_"/>
  </r>
  <r>
    <s v="5982.2"/>
    <x v="1"/>
    <x v="3"/>
    <x v="2"/>
    <s v="20A"/>
    <s v="Whole Plate"/>
    <s v="Oscillatoria sp"/>
    <b v="1"/>
    <n v="10"/>
    <n v="16"/>
    <m/>
    <n v="1.6"/>
    <n v="4.3271999999999998E-3"/>
    <n v="1.6"/>
    <n v="4.3271999999999998E-3"/>
    <m/>
  </r>
  <r>
    <s v="5982.3"/>
    <x v="1"/>
    <x v="3"/>
    <x v="2"/>
    <s v="20A"/>
    <s v="Whole Plate"/>
    <s v="Dolichospermum lemmermannii"/>
    <b v="1"/>
    <n v="10"/>
    <n v="21.266666666666701"/>
    <m/>
    <n v="31.9"/>
    <n v="3.509E-3"/>
    <n v="31.9"/>
    <n v="3.509E-3"/>
    <m/>
  </r>
  <r>
    <s v="5982.4"/>
    <x v="1"/>
    <x v="3"/>
    <x v="2"/>
    <s v="20A"/>
    <s v="Whole Plate"/>
    <s v="Aphanocapsa sp"/>
    <b v="0"/>
    <n v="10"/>
    <n v="264"/>
    <m/>
    <n v="26.4"/>
    <n v="5.94E-5"/>
    <n v="0"/>
    <n v="0"/>
    <m/>
  </r>
  <r>
    <s v="5982.5"/>
    <x v="1"/>
    <x v="3"/>
    <x v="2"/>
    <s v="20A"/>
    <s v="Whole Plate"/>
    <s v="Phormidium sp"/>
    <b v="1"/>
    <n v="10"/>
    <n v="307.0625"/>
    <m/>
    <n v="491.3"/>
    <n v="4.5857941999999999E-2"/>
    <n v="491.3"/>
    <n v="4.5857941999999999E-2"/>
    <m/>
  </r>
  <r>
    <s v="5982.6"/>
    <x v="1"/>
    <x v="3"/>
    <x v="2"/>
    <s v="20A"/>
    <s v="Whole Plate"/>
    <s v="Coelosphaerium cf natans"/>
    <b v="0"/>
    <n v="10"/>
    <n v="28"/>
    <m/>
    <n v="5.6"/>
    <n v="1.288E-5"/>
    <n v="0"/>
    <n v="0"/>
    <m/>
  </r>
  <r>
    <s v="5982.7"/>
    <x v="1"/>
    <x v="3"/>
    <x v="2"/>
    <s v="20A"/>
    <s v="Whole Plate"/>
    <s v="Pseudanabaena sp."/>
    <b v="1"/>
    <n v="10"/>
    <n v="14"/>
    <m/>
    <n v="1.4"/>
    <n v="5.4599999999999999E-5"/>
    <n v="1.4"/>
    <n v="5.4599999999999999E-5"/>
    <m/>
  </r>
  <r>
    <s v="5982.8"/>
    <x v="1"/>
    <x v="3"/>
    <x v="2"/>
    <s v="20A"/>
    <s v="Whole Plate"/>
    <s v="Anabaena torulosa"/>
    <b v="1"/>
    <n v="10"/>
    <n v="19.5"/>
    <m/>
    <n v="3.9"/>
    <n v="8.6189999999999997E-4"/>
    <n v="3.9"/>
    <n v="8.6189999999999997E-4"/>
    <m/>
  </r>
  <r>
    <s v="5982.9"/>
    <x v="1"/>
    <x v="3"/>
    <x v="2"/>
    <s v="20A"/>
    <s v="Whole Plate"/>
    <s v="Dolichospermum circinale"/>
    <b v="1"/>
    <n v="10"/>
    <n v="21"/>
    <m/>
    <n v="2.1"/>
    <n v="1.2088439999999999E-3"/>
    <n v="2.1"/>
    <n v="1.2088439999999999E-3"/>
    <m/>
  </r>
  <r>
    <s v="5980.1"/>
    <x v="1"/>
    <x v="4"/>
    <x v="2"/>
    <s v="20A"/>
    <s v="Whole Plate"/>
    <s v="Microcystis sp"/>
    <b v="1"/>
    <n v="10"/>
    <n v="26.5"/>
    <m/>
    <n v="21.2"/>
    <n v="1.522129714104E-3"/>
    <n v="21.2"/>
    <n v="1.522129714104E-3"/>
    <s v="Microcystis spp._x000a_"/>
  </r>
  <r>
    <s v="5980.2"/>
    <x v="1"/>
    <x v="4"/>
    <x v="2"/>
    <s v="20A"/>
    <s v="Whole Plate"/>
    <s v="Microcystis wesenbergii"/>
    <b v="1"/>
    <n v="10"/>
    <n v="48.4"/>
    <n v="206"/>
    <n v="1093.8399999999999"/>
    <n v="0.20819056720000001"/>
    <n v="1093.8399999999999"/>
    <n v="0.20819056720000001"/>
    <s v="Microcystis spp._x000a_"/>
  </r>
  <r>
    <s v="5980.3"/>
    <x v="1"/>
    <x v="4"/>
    <x v="2"/>
    <s v="20A"/>
    <s v="Whole Plate"/>
    <s v="Pseudanabaena sp."/>
    <b v="1"/>
    <n v="10"/>
    <n v="3.3333333333333299"/>
    <m/>
    <n v="3"/>
    <n v="1.17E-4"/>
    <n v="3"/>
    <n v="1.17E-4"/>
    <m/>
  </r>
  <r>
    <s v="5980.4"/>
    <x v="1"/>
    <x v="4"/>
    <x v="2"/>
    <s v="20A"/>
    <s v="Whole Plate"/>
    <s v="Aphanocapsa sp"/>
    <b v="0"/>
    <n v="10"/>
    <n v="23"/>
    <m/>
    <n v="4.5999999999999996"/>
    <n v="1.0349999999999999E-5"/>
    <n v="0"/>
    <n v="0"/>
    <m/>
  </r>
  <r>
    <s v="5987.1"/>
    <x v="1"/>
    <x v="5"/>
    <x v="2"/>
    <s v="20A"/>
    <s v="Whole Plate"/>
    <s v="Microcystis sp"/>
    <b v="1"/>
    <n v="10"/>
    <n v="37.200000000000003"/>
    <m/>
    <n v="18.600000000000001"/>
    <n v="1.335453428412E-3"/>
    <n v="18.600000000000001"/>
    <n v="1.335453428412E-3"/>
    <s v="Microcystis spp._x000a_"/>
  </r>
  <r>
    <s v="5987.2"/>
    <x v="1"/>
    <x v="5"/>
    <x v="2"/>
    <s v="20A"/>
    <s v="Whole Plate"/>
    <s v="Microcystis wesenbergii"/>
    <b v="1"/>
    <n v="10"/>
    <n v="44.9444444444444"/>
    <m/>
    <n v="80.900000000000006"/>
    <n v="1.5397697E-2"/>
    <n v="80.900000000000006"/>
    <n v="1.5397697E-2"/>
    <s v="Microcystis spp._x000a_"/>
  </r>
  <r>
    <s v="5987.3"/>
    <x v="1"/>
    <x v="5"/>
    <x v="2"/>
    <s v="20A"/>
    <s v="Whole Plate"/>
    <s v="Limnococcus limneticus_x000a_"/>
    <b v="0"/>
    <n v="10"/>
    <n v="13"/>
    <m/>
    <n v="2.6"/>
    <n v="1.17E-3"/>
    <n v="0"/>
    <n v="0"/>
    <m/>
  </r>
  <r>
    <s v="5987.4"/>
    <x v="1"/>
    <x v="5"/>
    <x v="2"/>
    <s v="20A"/>
    <s v="Whole Plate"/>
    <s v="Dolichospermum planctonicum "/>
    <b v="1"/>
    <n v="10"/>
    <n v="13.5833333333333"/>
    <m/>
    <n v="16.3"/>
    <n v="6.0309999999999999E-3"/>
    <n v="16.3"/>
    <n v="6.0309999999999999E-3"/>
    <m/>
  </r>
  <r>
    <s v="5987.5"/>
    <x v="1"/>
    <x v="5"/>
    <x v="2"/>
    <s v="20A"/>
    <s v="Whole Plate"/>
    <s v="Dolichospermum circinale"/>
    <b v="1"/>
    <n v="10"/>
    <n v="19"/>
    <m/>
    <n v="3.8"/>
    <n v="2.187432E-3"/>
    <n v="3.8"/>
    <n v="2.187432E-3"/>
    <m/>
  </r>
  <r>
    <s v="5987.6"/>
    <x v="1"/>
    <x v="5"/>
    <x v="2"/>
    <s v="20A"/>
    <s v="Whole Plate"/>
    <s v="Aphanocapsa sp"/>
    <b v="0"/>
    <n v="10"/>
    <n v="160"/>
    <m/>
    <n v="16"/>
    <n v="3.6000000000000001E-5"/>
    <n v="0"/>
    <n v="0"/>
    <m/>
  </r>
  <r>
    <s v="5986.1"/>
    <x v="1"/>
    <x v="6"/>
    <x v="2"/>
    <s v="20A"/>
    <s v="Whole Plate"/>
    <s v="Microcystis wesenbergii"/>
    <b v="1"/>
    <n v="10"/>
    <n v="46.15"/>
    <n v="58"/>
    <n v="359.97"/>
    <n v="6.8513090099999993E-2"/>
    <n v="359.97"/>
    <n v="6.8513090099999993E-2"/>
    <s v="Microcystis spp._x000a_"/>
  </r>
  <r>
    <s v="5986.2"/>
    <x v="1"/>
    <x v="6"/>
    <x v="2"/>
    <s v="20A"/>
    <s v="Whole Plate"/>
    <s v="Dolichospermum planctonicum "/>
    <b v="1"/>
    <n v="10"/>
    <n v="17.100000000000001"/>
    <m/>
    <n v="34.200000000000003"/>
    <n v="1.2654E-2"/>
    <n v="34.200000000000003"/>
    <n v="1.2654E-2"/>
    <m/>
  </r>
  <r>
    <s v="5986.3"/>
    <x v="1"/>
    <x v="6"/>
    <x v="2"/>
    <s v="20A"/>
    <s v="Whole Plate"/>
    <s v="Microcystis sp"/>
    <b v="1"/>
    <n v="10"/>
    <n v="29.8571428571429"/>
    <m/>
    <n v="20.9"/>
    <n v="1.5005901426780001E-3"/>
    <n v="20.9"/>
    <n v="1.5005901426780001E-3"/>
    <s v="Microcystis spp._x000a_"/>
  </r>
  <r>
    <s v="5986.4"/>
    <x v="1"/>
    <x v="6"/>
    <x v="2"/>
    <s v="20A"/>
    <s v="Whole Plate"/>
    <s v="Dolichospermum circinale"/>
    <b v="1"/>
    <n v="10"/>
    <n v="18.5"/>
    <m/>
    <n v="7.4"/>
    <n v="4.2597360000000001E-3"/>
    <n v="7.4"/>
    <n v="4.2597360000000001E-3"/>
    <m/>
  </r>
  <r>
    <s v="5988.1"/>
    <x v="2"/>
    <x v="7"/>
    <x v="2"/>
    <s v="20A"/>
    <s v="Whole Plate"/>
    <s v="Microcystis wesenbergii"/>
    <b v="1"/>
    <n v="10"/>
    <n v="69.099999999999994"/>
    <n v="37"/>
    <n v="393.87"/>
    <n v="7.4965277100000005E-2"/>
    <n v="393.87"/>
    <n v="7.4965277100000005E-2"/>
    <s v="Microcystis spp._x000a_"/>
  </r>
  <r>
    <s v="5988.2"/>
    <x v="2"/>
    <x v="7"/>
    <x v="2"/>
    <s v="20A"/>
    <s v="Whole Plate"/>
    <s v="Microcystis sp"/>
    <b v="1"/>
    <n v="10"/>
    <n v="18.8333333333333"/>
    <m/>
    <n v="11.3"/>
    <n v="8.11323857046E-4"/>
    <n v="11.3"/>
    <n v="8.11323857046E-4"/>
    <s v="Microcystis spp._x000a_"/>
  </r>
  <r>
    <s v="5988.3"/>
    <x v="2"/>
    <x v="7"/>
    <x v="2"/>
    <s v="20A"/>
    <s v="Whole Plate"/>
    <s v="Pseudanabaena sp."/>
    <b v="1"/>
    <n v="10"/>
    <n v="5.1428571428571397"/>
    <m/>
    <n v="3.6"/>
    <n v="1.404E-4"/>
    <n v="3.6"/>
    <n v="1.404E-4"/>
    <m/>
  </r>
  <r>
    <s v="5979.1"/>
    <x v="2"/>
    <x v="8"/>
    <x v="2"/>
    <s v="20A"/>
    <s v="160"/>
    <s v="Microcystis wesenbergii"/>
    <b v="1"/>
    <n v="10"/>
    <n v="54.3"/>
    <n v="27"/>
    <n v="8017.6702708333296"/>
    <n v="1.5260031826477101"/>
    <n v="8017.6702708333296"/>
    <n v="1.5260031826477101"/>
    <s v="Microcystis spp._x000a_"/>
  </r>
  <r>
    <s v="5979.2"/>
    <x v="2"/>
    <x v="8"/>
    <x v="2"/>
    <s v="20A"/>
    <s v="160"/>
    <s v="Pseudanabaena sp."/>
    <b v="1"/>
    <n v="10"/>
    <n v="4.28571428571429"/>
    <m/>
    <n v="188.495833333333"/>
    <n v="7.3513374999999897E-3"/>
    <n v="188.495833333333"/>
    <n v="7.3513374999999897E-3"/>
    <m/>
  </r>
  <r>
    <s v="5981.1"/>
    <x v="2"/>
    <x v="9"/>
    <x v="2"/>
    <s v="20A"/>
    <s v="160"/>
    <s v="Microcystis wesenbergii"/>
    <b v="1"/>
    <n v="10"/>
    <n v="45.25"/>
    <n v="48"/>
    <n v="9666.69465277778"/>
    <n v="1.8398619932631901"/>
    <n v="9666.69465277778"/>
    <n v="1.8398619932631901"/>
    <s v="Microcystis spp._x000a_"/>
  </r>
  <r>
    <s v="5981.2"/>
    <x v="2"/>
    <x v="9"/>
    <x v="2"/>
    <s v="20A"/>
    <s v="160"/>
    <s v="Microcystis sp"/>
    <b v="1"/>
    <n v="10"/>
    <n v="15"/>
    <m/>
    <n v="94.247916666666697"/>
    <n v="6.76686577597787E-3"/>
    <n v="94.247916666666598"/>
    <n v="6.76686577597787E-3"/>
    <s v="Microcystis spp._x000a_"/>
  </r>
  <r>
    <s v="5981.3"/>
    <x v="2"/>
    <x v="9"/>
    <x v="2"/>
    <s v="20A"/>
    <s v="160"/>
    <s v="Pseudanabaena sp."/>
    <b v="1"/>
    <n v="10"/>
    <n v="4.6363636363636402"/>
    <m/>
    <n v="160.221458333333"/>
    <n v="6.2486368749999901E-3"/>
    <n v="160.221458333333"/>
    <n v="6.2486368749999901E-3"/>
    <m/>
  </r>
  <r>
    <s v="5981.4"/>
    <x v="2"/>
    <x v="9"/>
    <x v="2"/>
    <s v="20A"/>
    <s v="160"/>
    <s v="Oscillatoria sp"/>
    <b v="1"/>
    <n v="10"/>
    <n v="32"/>
    <m/>
    <n v="100.531111111111"/>
    <n v="0.27188638999999998"/>
    <n v="100.531111111111"/>
    <n v="0.27188638999999998"/>
    <m/>
  </r>
  <r>
    <s v="5981.5"/>
    <x v="2"/>
    <x v="9"/>
    <x v="2"/>
    <s v="20A"/>
    <s v="160"/>
    <s v="Dolichospermum planctonicum "/>
    <b v="1"/>
    <n v="10"/>
    <n v="180"/>
    <m/>
    <n v="565.48749999999995"/>
    <n v="0.209230375"/>
    <n v="565.48749999999995"/>
    <n v="0.209230375"/>
    <m/>
  </r>
  <r>
    <s v="5983.1"/>
    <x v="2"/>
    <x v="10"/>
    <x v="2"/>
    <s v="20A"/>
    <s v="Whole Plate"/>
    <s v="Microcystis wesenbergii"/>
    <b v="1"/>
    <n v="10"/>
    <n v="50.8"/>
    <n v="110"/>
    <n v="660.4"/>
    <n v="0.12569393200000001"/>
    <n v="660.4"/>
    <n v="0.12569393200000001"/>
    <s v="Microcystis spp._x000a_"/>
  </r>
  <r>
    <s v="5983.2"/>
    <x v="2"/>
    <x v="10"/>
    <x v="2"/>
    <s v="20A"/>
    <s v="Whole Plate"/>
    <s v="Pseudanabaena sp."/>
    <b v="1"/>
    <n v="10"/>
    <n v="7.8571428571428603"/>
    <m/>
    <n v="5.5"/>
    <n v="2.1450000000000001E-4"/>
    <n v="5.5"/>
    <n v="2.1450000000000001E-4"/>
    <m/>
  </r>
  <r>
    <s v="5983.3"/>
    <x v="2"/>
    <x v="10"/>
    <x v="2"/>
    <s v="20A"/>
    <s v="Whole Plate"/>
    <s v="Microcystis sp"/>
    <b v="1"/>
    <n v="10"/>
    <n v="29.5"/>
    <m/>
    <n v="11.8"/>
    <n v="8.4722314275599998E-4"/>
    <n v="11.8"/>
    <n v="8.4722314275599998E-4"/>
    <s v="Microcystis spp._x000a_"/>
  </r>
  <r>
    <s v="5983.4"/>
    <x v="2"/>
    <x v="10"/>
    <x v="2"/>
    <s v="20A"/>
    <s v="Whole Plate"/>
    <s v="Anabaena torulosa"/>
    <b v="1"/>
    <n v="10"/>
    <n v="18"/>
    <m/>
    <n v="1.8"/>
    <n v="3.9780000000000002E-4"/>
    <n v="1.8"/>
    <n v="3.9780000000000002E-4"/>
    <m/>
  </r>
  <r>
    <s v="5990.1"/>
    <x v="3"/>
    <x v="11"/>
    <x v="2"/>
    <s v="20A"/>
    <s v="Whole Plate"/>
    <s v="Dolichospermum planctonicum "/>
    <b v="1"/>
    <n v="10"/>
    <n v="15.5714285714286"/>
    <m/>
    <n v="21.8"/>
    <n v="8.0660000000000003E-3"/>
    <n v="21.8"/>
    <n v="8.0660000000000003E-3"/>
    <m/>
  </r>
  <r>
    <s v="5990.2"/>
    <x v="3"/>
    <x v="11"/>
    <x v="2"/>
    <s v="20A"/>
    <s v="Whole Plate"/>
    <s v="Woronichinia naegeliana"/>
    <b v="1"/>
    <n v="10"/>
    <n v="420"/>
    <m/>
    <n v="84"/>
    <n v="0"/>
    <n v="84"/>
    <n v="0"/>
    <m/>
  </r>
  <r>
    <s v="5990.3"/>
    <x v="3"/>
    <x v="11"/>
    <x v="2"/>
    <s v="20A"/>
    <s v="Whole Plate"/>
    <s v="Dolichospermum circinale"/>
    <b v="1"/>
    <n v="10"/>
    <n v="20.882352941176499"/>
    <m/>
    <n v="35.5"/>
    <n v="2.043522E-2"/>
    <n v="35.5"/>
    <n v="2.043522E-2"/>
    <m/>
  </r>
  <r>
    <s v="5990.4"/>
    <x v="3"/>
    <x v="11"/>
    <x v="2"/>
    <s v="20A"/>
    <s v="Whole Plate"/>
    <s v="Phormidium sp"/>
    <b v="1"/>
    <n v="10"/>
    <n v="104"/>
    <m/>
    <n v="20.8"/>
    <n v="1.9414720000000001E-3"/>
    <n v="20.8"/>
    <n v="1.9414720000000001E-3"/>
    <m/>
  </r>
  <r>
    <s v="5990.5"/>
    <x v="3"/>
    <x v="11"/>
    <x v="2"/>
    <s v="20A"/>
    <s v="Whole Plate"/>
    <s v="Anabaena torulosa"/>
    <b v="1"/>
    <n v="10"/>
    <n v="32.5"/>
    <m/>
    <n v="13"/>
    <n v="2.8730000000000001E-3"/>
    <n v="13"/>
    <n v="2.8730000000000001E-3"/>
    <m/>
  </r>
  <r>
    <s v="5990.6"/>
    <x v="3"/>
    <x v="11"/>
    <x v="2"/>
    <s v="20A"/>
    <s v="Whole Plate"/>
    <s v="Oscillatoria sp"/>
    <b v="1"/>
    <n v="10"/>
    <n v="48"/>
    <m/>
    <n v="4.8"/>
    <n v="1.2981599999999999E-2"/>
    <n v="4.8"/>
    <n v="1.2981599999999999E-2"/>
    <m/>
  </r>
  <r>
    <s v="5990.7"/>
    <x v="3"/>
    <x v="11"/>
    <x v="2"/>
    <s v="20A"/>
    <s v="Whole Plate"/>
    <s v="Pseudanabaena sp."/>
    <b v="1"/>
    <n v="10"/>
    <n v="24.3333333333333"/>
    <m/>
    <n v="7.3"/>
    <n v="2.8469999999999998E-4"/>
    <n v="7.3"/>
    <n v="2.8469999999999998E-4"/>
    <m/>
  </r>
  <r>
    <s v="5973.1"/>
    <x v="0"/>
    <x v="0"/>
    <x v="3"/>
    <s v="20A"/>
    <s v="Whole Plate"/>
    <s v="Dolichospermum lemmermannii"/>
    <b v="1"/>
    <n v="10"/>
    <n v="13.6666666666667"/>
    <m/>
    <n v="4.0999999999999996"/>
    <n v="4.5100000000000001E-4"/>
    <n v="4.0999999999999996"/>
    <n v="4.5100000000000001E-4"/>
    <m/>
  </r>
  <r>
    <s v="5973.2"/>
    <x v="0"/>
    <x v="0"/>
    <x v="3"/>
    <s v="20A"/>
    <s v="Whole Plate"/>
    <s v="Anabaena torulosa"/>
    <b v="1"/>
    <n v="10"/>
    <n v="15.214285714285699"/>
    <m/>
    <n v="21.3"/>
    <n v="4.7073000000000002E-3"/>
    <n v="21.3"/>
    <n v="4.7073000000000002E-3"/>
    <m/>
  </r>
  <r>
    <s v="5973.3"/>
    <x v="0"/>
    <x v="0"/>
    <x v="3"/>
    <s v="20A"/>
    <s v="Whole Plate"/>
    <s v="Microcystis sp"/>
    <b v="1"/>
    <n v="10"/>
    <n v="36"/>
    <m/>
    <n v="39.6"/>
    <n v="2.843223428232E-3"/>
    <n v="39.6"/>
    <n v="2.843223428232E-3"/>
    <s v="Microcystis spp._x000a_"/>
  </r>
  <r>
    <s v="5973.4"/>
    <x v="0"/>
    <x v="0"/>
    <x v="3"/>
    <s v="20A"/>
    <s v="Whole Plate"/>
    <s v="Dolichospermum planctonicum "/>
    <b v="1"/>
    <n v="10"/>
    <n v="16.6666666666667"/>
    <m/>
    <n v="5"/>
    <n v="1.8500000000000001E-3"/>
    <n v="5"/>
    <n v="1.8500000000000001E-3"/>
    <m/>
  </r>
  <r>
    <s v="5973.5"/>
    <x v="0"/>
    <x v="0"/>
    <x v="3"/>
    <s v="20A"/>
    <s v="Whole Plate"/>
    <s v="Microcystis wesenbergii"/>
    <b v="1"/>
    <n v="10"/>
    <n v="58.3333333333333"/>
    <m/>
    <n v="17.5"/>
    <n v="3.3307749999999998E-3"/>
    <n v="17.5"/>
    <n v="3.3307749999999998E-3"/>
    <s v="Microcystis spp._x000a_"/>
  </r>
  <r>
    <s v="5973.6"/>
    <x v="0"/>
    <x v="0"/>
    <x v="3"/>
    <s v="20A"/>
    <s v="Whole Plate"/>
    <s v="Pseudanabaena sp."/>
    <b v="1"/>
    <n v="10"/>
    <n v="14.3333333333333"/>
    <m/>
    <n v="17.2"/>
    <n v="6.7080000000000004E-4"/>
    <n v="17.2"/>
    <n v="6.7080000000000004E-4"/>
    <m/>
  </r>
  <r>
    <s v="5973.7"/>
    <x v="0"/>
    <x v="0"/>
    <x v="3"/>
    <s v="20A"/>
    <s v="Whole Plate"/>
    <s v="Oscillatoria sp"/>
    <b v="1"/>
    <n v="10"/>
    <n v="161"/>
    <m/>
    <n v="32.200000000000003"/>
    <n v="8.7084900000000007E-2"/>
    <n v="32.200000000000003"/>
    <n v="8.7084900000000007E-2"/>
    <m/>
  </r>
  <r>
    <s v="5973.8"/>
    <x v="0"/>
    <x v="0"/>
    <x v="3"/>
    <s v="20A"/>
    <s v="Whole Plate"/>
    <s v="Phormidium sp"/>
    <b v="1"/>
    <n v="10"/>
    <n v="78"/>
    <m/>
    <n v="7.8"/>
    <n v="7.2805199999999997E-4"/>
    <n v="7.8"/>
    <n v="7.2805199999999997E-4"/>
    <m/>
  </r>
  <r>
    <s v="5975.1"/>
    <x v="0"/>
    <x v="1"/>
    <x v="3"/>
    <s v="20A"/>
    <s v="Whole Plate"/>
    <s v="Microcystis sp"/>
    <b v="1"/>
    <n v="10"/>
    <n v="69.95"/>
    <n v="80"/>
    <n v="699.5"/>
    <n v="5.0223100708290003E-2"/>
    <n v="699.5"/>
    <n v="5.0223100708290003E-2"/>
    <s v="Microcystis spp._x000a_"/>
  </r>
  <r>
    <s v="5975.2"/>
    <x v="0"/>
    <x v="1"/>
    <x v="3"/>
    <s v="20A"/>
    <s v="Whole Plate"/>
    <s v="Pseudanabaena sp."/>
    <b v="1"/>
    <n v="10"/>
    <n v="7.5"/>
    <m/>
    <n v="4.5"/>
    <n v="1.7550000000000001E-4"/>
    <n v="4.5"/>
    <n v="1.7550000000000001E-4"/>
    <m/>
  </r>
  <r>
    <s v="5975.3"/>
    <x v="0"/>
    <x v="1"/>
    <x v="3"/>
    <s v="20A"/>
    <s v="Whole Plate"/>
    <s v="Dolichospermum lemmermannii"/>
    <b v="1"/>
    <n v="10"/>
    <n v="19.5"/>
    <m/>
    <n v="11.7"/>
    <n v="1.2869999999999999E-3"/>
    <n v="11.7"/>
    <n v="1.2869999999999999E-3"/>
    <m/>
  </r>
  <r>
    <s v="5975.4"/>
    <x v="0"/>
    <x v="1"/>
    <x v="3"/>
    <s v="20A"/>
    <s v="Whole Plate"/>
    <s v="Anabaena torulosa"/>
    <b v="1"/>
    <n v="10"/>
    <n v="25.8"/>
    <m/>
    <n v="12.9"/>
    <n v="2.8509E-3"/>
    <n v="12.9"/>
    <n v="2.8509E-3"/>
    <m/>
  </r>
  <r>
    <s v="5975.5"/>
    <x v="0"/>
    <x v="1"/>
    <x v="3"/>
    <s v="20A"/>
    <s v="Whole Plate"/>
    <s v="Microcystis wesenbergii"/>
    <b v="1"/>
    <n v="10"/>
    <n v="38.25"/>
    <m/>
    <n v="30.6"/>
    <n v="5.8240979999999998E-3"/>
    <n v="30.6"/>
    <n v="5.8240979999999998E-3"/>
    <s v="Microcystis spp._x000a_"/>
  </r>
  <r>
    <s v="5975.6"/>
    <x v="0"/>
    <x v="1"/>
    <x v="3"/>
    <s v="20A"/>
    <s v="Whole Plate"/>
    <s v="Limnococcus limneticus_x000a_"/>
    <b v="0"/>
    <n v="10"/>
    <n v="22"/>
    <m/>
    <n v="2.2000000000000002"/>
    <n v="9.8999999999999999E-4"/>
    <n v="0"/>
    <n v="0"/>
    <m/>
  </r>
  <r>
    <s v="5975.7"/>
    <x v="0"/>
    <x v="1"/>
    <x v="3"/>
    <s v="20A"/>
    <s v="Whole Plate"/>
    <s v="Dolichospermum spiroides"/>
    <b v="1"/>
    <n v="10"/>
    <n v="14"/>
    <m/>
    <n v="1.4"/>
    <n v="3.6400000000000001E-4"/>
    <n v="1.4"/>
    <n v="3.6400000000000001E-4"/>
    <m/>
  </r>
  <r>
    <s v="5975.8"/>
    <x v="0"/>
    <x v="1"/>
    <x v="3"/>
    <s v="20A"/>
    <s v="Whole Plate"/>
    <s v="Coelosphaerium cf natans"/>
    <b v="0"/>
    <n v="10"/>
    <n v="22"/>
    <m/>
    <n v="2.2000000000000002"/>
    <n v="5.0599999999999998E-6"/>
    <n v="0"/>
    <n v="0"/>
    <m/>
  </r>
  <r>
    <s v="5975.9"/>
    <x v="0"/>
    <x v="1"/>
    <x v="3"/>
    <s v="20A"/>
    <s v="Whole Plate"/>
    <s v="Phormidium sp"/>
    <b v="1"/>
    <n v="10"/>
    <n v="96"/>
    <m/>
    <n v="9.6"/>
    <n v="8.9606400000000002E-4"/>
    <n v="9.6"/>
    <n v="8.9606400000000002E-4"/>
    <m/>
  </r>
  <r>
    <s v="5974.1"/>
    <x v="1"/>
    <x v="2"/>
    <x v="3"/>
    <s v="20A"/>
    <s v="Whole Plate"/>
    <s v="Microcystis wesenbergii"/>
    <b v="1"/>
    <n v="10"/>
    <n v="43.153846153846203"/>
    <m/>
    <n v="56.1"/>
    <n v="1.0677513E-2"/>
    <n v="56.1"/>
    <n v="1.0677513E-2"/>
    <s v="Microcystis spp._x000a_"/>
  </r>
  <r>
    <s v="5974.2"/>
    <x v="1"/>
    <x v="2"/>
    <x v="3"/>
    <s v="20A"/>
    <s v="Whole Plate"/>
    <s v="Dolichospermum planctonicum "/>
    <b v="1"/>
    <n v="10"/>
    <n v="11.8"/>
    <m/>
    <n v="5.9"/>
    <n v="2.183E-3"/>
    <n v="5.9"/>
    <n v="2.183E-3"/>
    <m/>
  </r>
  <r>
    <s v="5974.3"/>
    <x v="1"/>
    <x v="2"/>
    <x v="3"/>
    <s v="20A"/>
    <s v="Whole Plate"/>
    <s v="Limnococcus limneticus_x000a_"/>
    <b v="0"/>
    <n v="10"/>
    <n v="14"/>
    <m/>
    <n v="5.6"/>
    <n v="2.5200000000000001E-3"/>
    <n v="0"/>
    <n v="0"/>
    <m/>
  </r>
  <r>
    <s v="5974.4"/>
    <x v="1"/>
    <x v="2"/>
    <x v="3"/>
    <s v="20A"/>
    <s v="Whole Plate"/>
    <s v="Pseudanabaena sp."/>
    <b v="1"/>
    <n v="10"/>
    <n v="19"/>
    <m/>
    <n v="3.8"/>
    <n v="1.482E-4"/>
    <n v="3.8"/>
    <n v="1.482E-4"/>
    <m/>
  </r>
  <r>
    <s v="5974.5"/>
    <x v="1"/>
    <x v="2"/>
    <x v="3"/>
    <s v="20A"/>
    <s v="Whole Plate"/>
    <s v="Oscillatoria sp"/>
    <b v="1"/>
    <n v="10"/>
    <n v="390"/>
    <m/>
    <n v="39"/>
    <n v="0.1054755"/>
    <n v="39"/>
    <n v="0.1054755"/>
    <m/>
  </r>
  <r>
    <s v="5972.1"/>
    <x v="1"/>
    <x v="3"/>
    <x v="3"/>
    <s v="20A"/>
    <s v="Whole Plate"/>
    <s v="Phormidium sp"/>
    <b v="1"/>
    <n v="10"/>
    <n v="573.33333333333303"/>
    <m/>
    <n v="172"/>
    <n v="1.6054479999999999E-2"/>
    <n v="172"/>
    <n v="1.6054479999999999E-2"/>
    <m/>
  </r>
  <r>
    <s v="5972.2"/>
    <x v="1"/>
    <x v="3"/>
    <x v="3"/>
    <s v="20A"/>
    <s v="Whole Plate"/>
    <s v="Microcystis wesenbergii"/>
    <b v="1"/>
    <n v="10"/>
    <n v="26.5"/>
    <m/>
    <n v="10.6"/>
    <n v="2.0174979999999999E-3"/>
    <n v="10.6"/>
    <n v="2.0174979999999999E-3"/>
    <s v="Microcystis spp._x000a_"/>
  </r>
  <r>
    <s v="5972.3"/>
    <x v="1"/>
    <x v="3"/>
    <x v="3"/>
    <s v="20A"/>
    <s v="Whole Plate"/>
    <s v="Dolichospermum sp"/>
    <b v="1"/>
    <n v="10"/>
    <n v="11.4"/>
    <m/>
    <n v="5.7"/>
    <n v="1.083E-3"/>
    <n v="5.7"/>
    <n v="1.083E-3"/>
    <m/>
  </r>
  <r>
    <s v="5972.4"/>
    <x v="1"/>
    <x v="3"/>
    <x v="3"/>
    <s v="20A"/>
    <s v="Whole Plate"/>
    <s v="Dolichospermum lemmermannii"/>
    <b v="1"/>
    <n v="10"/>
    <n v="29"/>
    <n v="7"/>
    <n v="78.3"/>
    <n v="8.6130000000000009E-3"/>
    <n v="78.3"/>
    <n v="8.6130000000000009E-3"/>
    <m/>
  </r>
  <r>
    <s v="5972.5"/>
    <x v="1"/>
    <x v="3"/>
    <x v="3"/>
    <s v="20A"/>
    <s v="Whole Plate"/>
    <s v="Oscillatoria sp"/>
    <b v="1"/>
    <n v="10"/>
    <n v="105"/>
    <m/>
    <n v="10.5"/>
    <n v="2.8397249999999999E-2"/>
    <n v="10.5"/>
    <n v="2.8397249999999999E-2"/>
    <m/>
  </r>
  <r>
    <s v="5972.6"/>
    <x v="1"/>
    <x v="3"/>
    <x v="3"/>
    <s v="20A"/>
    <s v="Whole Plate"/>
    <s v="Coelosphaerium cf natans"/>
    <b v="0"/>
    <n v="10"/>
    <n v="24"/>
    <m/>
    <n v="2.4"/>
    <n v="5.5199999999999997E-6"/>
    <n v="0"/>
    <n v="0"/>
    <m/>
  </r>
  <r>
    <s v="5972.7"/>
    <x v="1"/>
    <x v="3"/>
    <x v="3"/>
    <s v="20A"/>
    <s v="Whole Plate"/>
    <s v="Microcystis sp"/>
    <b v="1"/>
    <n v="10"/>
    <n v="15.5"/>
    <m/>
    <n v="3.1"/>
    <n v="2.2257557140199999E-4"/>
    <n v="3.1"/>
    <n v="2.2257557140199999E-4"/>
    <s v="Microcystis spp._x000a_"/>
  </r>
  <r>
    <s v="5972.8"/>
    <x v="1"/>
    <x v="3"/>
    <x v="3"/>
    <s v="20A"/>
    <s v="Whole Plate"/>
    <s v="Dolichospermum circinale"/>
    <b v="1"/>
    <n v="10"/>
    <n v="20"/>
    <m/>
    <n v="2"/>
    <n v="1.15128E-3"/>
    <n v="2"/>
    <n v="1.15128E-3"/>
    <m/>
  </r>
  <r>
    <s v="5968.1"/>
    <x v="1"/>
    <x v="4"/>
    <x v="3"/>
    <s v="20A"/>
    <s v="160"/>
    <s v="Microcystis wesenbergii"/>
    <b v="1"/>
    <n v="10"/>
    <n v="40.5555555555556"/>
    <m/>
    <n v="1146.68298611111"/>
    <n v="0.218248172746528"/>
    <n v="1146.68298611111"/>
    <n v="0.218248172746528"/>
    <s v="Microcystis spp._x000a_"/>
  </r>
  <r>
    <s v="5968.2"/>
    <x v="1"/>
    <x v="4"/>
    <x v="3"/>
    <s v="20A"/>
    <s v="160"/>
    <s v="Woronichinia naegeliana"/>
    <b v="1"/>
    <n v="10"/>
    <n v="608"/>
    <m/>
    <n v="1910.09111111111"/>
    <n v="0"/>
    <n v="1910.09111111111"/>
    <n v="0"/>
    <m/>
  </r>
  <r>
    <s v="5968.3"/>
    <x v="1"/>
    <x v="4"/>
    <x v="3"/>
    <s v="20A"/>
    <s v="160"/>
    <s v="Microcystis sp"/>
    <b v="1"/>
    <n v="10"/>
    <n v="27"/>
    <m/>
    <n v="169.64625000000001"/>
    <n v="1.21803583967602E-2"/>
    <n v="169.64625000000001"/>
    <n v="1.21803583967602E-2"/>
    <s v="Microcystis spp._x000a_"/>
  </r>
  <r>
    <s v="5968.4"/>
    <x v="1"/>
    <x v="4"/>
    <x v="3"/>
    <s v="20A"/>
    <s v="160"/>
    <s v="Oscillatoria sp"/>
    <b v="1"/>
    <n v="10"/>
    <n v="24"/>
    <m/>
    <n v="75.398333333333298"/>
    <n v="0.2039147925"/>
    <n v="75.398333333333298"/>
    <n v="0.2039147925"/>
    <m/>
  </r>
  <r>
    <s v="5968.5"/>
    <x v="1"/>
    <x v="4"/>
    <x v="3"/>
    <s v="20A"/>
    <s v="160"/>
    <s v="Pseudanabaena sp."/>
    <b v="1"/>
    <n v="10"/>
    <n v="3"/>
    <m/>
    <n v="28.274374999999999"/>
    <n v="1.102700625E-3"/>
    <n v="28.274374999999999"/>
    <n v="1.102700625E-3"/>
    <m/>
  </r>
  <r>
    <s v="5978.1"/>
    <x v="1"/>
    <x v="5"/>
    <x v="3"/>
    <s v="20A"/>
    <s v="Whole Plate"/>
    <s v="Microcystis wesenbergii"/>
    <b v="1"/>
    <n v="10"/>
    <n v="33.700000000000003"/>
    <n v="17"/>
    <n v="124.69"/>
    <n v="2.37322477E-2"/>
    <n v="124.69"/>
    <n v="2.37322477E-2"/>
    <s v="Microcystis spp._x000a_"/>
  </r>
  <r>
    <s v="5978.3"/>
    <x v="1"/>
    <x v="5"/>
    <x v="3"/>
    <s v="20A"/>
    <s v="Whole Plate"/>
    <s v="Dolichospermum planctonicum "/>
    <b v="1"/>
    <n v="10"/>
    <n v="11.75"/>
    <m/>
    <n v="4.7"/>
    <n v="1.7390000000000001E-3"/>
    <n v="4.7"/>
    <n v="1.7390000000000001E-3"/>
    <m/>
  </r>
  <r>
    <s v="5978.4"/>
    <x v="1"/>
    <x v="5"/>
    <x v="3"/>
    <s v="20A"/>
    <s v="Whole Plate"/>
    <s v="Pseudanabaena sp."/>
    <b v="1"/>
    <n v="10"/>
    <n v="5.8"/>
    <m/>
    <n v="2.9"/>
    <n v="1.131E-4"/>
    <n v="2.9"/>
    <n v="1.131E-4"/>
    <m/>
  </r>
  <r>
    <s v="5978.5"/>
    <x v="1"/>
    <x v="5"/>
    <x v="3"/>
    <s v="20A"/>
    <s v="Whole Plate"/>
    <s v="Limnococcus limneticus_x000a_"/>
    <b v="0"/>
    <n v="10"/>
    <n v="23.3333333333333"/>
    <m/>
    <n v="7"/>
    <n v="3.15E-3"/>
    <n v="0"/>
    <n v="0"/>
    <m/>
  </r>
  <r>
    <s v="5976.1"/>
    <x v="1"/>
    <x v="6"/>
    <x v="3"/>
    <s v="20A"/>
    <s v="Whole Plate"/>
    <s v="Microcystis wesenbergii"/>
    <b v="1"/>
    <n v="10"/>
    <n v="36.049999999999997"/>
    <n v="53"/>
    <n v="263.16500000000002"/>
    <n v="5.0088194449999998E-2"/>
    <n v="263.16500000000002"/>
    <n v="5.0088194449999998E-2"/>
    <s v="Microcystis spp._x000a_"/>
  </r>
  <r>
    <s v="5976.2"/>
    <x v="1"/>
    <x v="6"/>
    <x v="3"/>
    <s v="20A"/>
    <s v="Whole Plate"/>
    <s v="Pseudanabaena sp."/>
    <b v="1"/>
    <n v="10"/>
    <n v="2.6666666666666701"/>
    <m/>
    <n v="0.8"/>
    <n v="3.1199999999999999E-5"/>
    <n v="0.8"/>
    <n v="3.1199999999999999E-5"/>
    <m/>
  </r>
  <r>
    <s v="5976.3"/>
    <x v="1"/>
    <x v="6"/>
    <x v="3"/>
    <s v="20A"/>
    <s v="Whole Plate"/>
    <s v="Anabaena torulosa"/>
    <b v="1"/>
    <n v="10"/>
    <n v="24"/>
    <m/>
    <n v="2.4"/>
    <n v="5.3039999999999999E-4"/>
    <n v="2.4"/>
    <n v="5.3039999999999999E-4"/>
    <m/>
  </r>
  <r>
    <s v="5976.4"/>
    <x v="1"/>
    <x v="6"/>
    <x v="3"/>
    <s v="20A"/>
    <s v="Whole Plate"/>
    <s v="Dolichospermum smithii"/>
    <b v="1"/>
    <n v="10"/>
    <n v="23"/>
    <m/>
    <n v="4.5999999999999996"/>
    <n v="1.9918000000000002E-3"/>
    <n v="4.5999999999999996"/>
    <n v="1.9918000000000002E-3"/>
    <m/>
  </r>
  <r>
    <s v="5976.5"/>
    <x v="1"/>
    <x v="6"/>
    <x v="3"/>
    <s v="20A"/>
    <s v="Whole Plate"/>
    <s v="Dolichospermum planctonicum "/>
    <b v="1"/>
    <n v="10"/>
    <n v="33"/>
    <m/>
    <n v="13.2"/>
    <n v="4.8840000000000003E-3"/>
    <n v="13.2"/>
    <n v="4.8840000000000003E-3"/>
    <m/>
  </r>
  <r>
    <s v="5976.6"/>
    <x v="1"/>
    <x v="6"/>
    <x v="3"/>
    <s v="20A"/>
    <s v="Whole Plate"/>
    <s v="Dolichospermum sp"/>
    <b v="1"/>
    <n v="10"/>
    <n v="10.75"/>
    <m/>
    <n v="4.3"/>
    <n v="8.1700000000000002E-4"/>
    <n v="4.3"/>
    <n v="8.1700000000000002E-4"/>
    <m/>
  </r>
  <r>
    <s v="5976.7"/>
    <x v="1"/>
    <x v="6"/>
    <x v="3"/>
    <s v="20A"/>
    <s v="Whole Plate"/>
    <s v="Oscillatoria sp"/>
    <b v="1"/>
    <n v="10"/>
    <n v="80"/>
    <m/>
    <n v="8"/>
    <n v="2.1635999999999999E-2"/>
    <n v="8"/>
    <n v="2.1635999999999999E-2"/>
    <m/>
  </r>
  <r>
    <s v="5976.8"/>
    <x v="1"/>
    <x v="6"/>
    <x v="3"/>
    <s v="20A"/>
    <s v="Whole Plate"/>
    <s v="Aphanocapsa sp"/>
    <b v="0"/>
    <n v="10"/>
    <n v="240"/>
    <m/>
    <n v="24"/>
    <n v="5.3999999999999998E-5"/>
    <n v="0"/>
    <n v="0"/>
    <m/>
  </r>
  <r>
    <s v="5971.1"/>
    <x v="2"/>
    <x v="7"/>
    <x v="3"/>
    <s v="20A"/>
    <s v="160"/>
    <s v="Microcystis wesenbergii"/>
    <b v="1"/>
    <n v="10"/>
    <n v="45.153846153846203"/>
    <m/>
    <n v="1844.1175694444401"/>
    <n v="0.35099089699236002"/>
    <n v="1844.1175694444401"/>
    <n v="0.35099089699236002"/>
    <s v="Microcystis spp._x000a_"/>
  </r>
  <r>
    <s v="5971.2"/>
    <x v="2"/>
    <x v="7"/>
    <x v="3"/>
    <s v="20A"/>
    <s v="160"/>
    <s v="Microcystis sp"/>
    <b v="1"/>
    <n v="10"/>
    <n v="700"/>
    <m/>
    <n v="2199.1180555555602"/>
    <n v="0.15789353477281701"/>
    <n v="2199.1180555555602"/>
    <n v="0.15789353477281701"/>
    <s v="Microcystis spp._x000a_"/>
  </r>
  <r>
    <s v="5971.3"/>
    <x v="2"/>
    <x v="7"/>
    <x v="3"/>
    <s v="20A"/>
    <s v="160"/>
    <s v="Pseudanabaena sp."/>
    <b v="1"/>
    <n v="10"/>
    <n v="4"/>
    <m/>
    <n v="62.831944444444403"/>
    <n v="2.4504458333333302E-3"/>
    <n v="62.831944444444403"/>
    <n v="2.4504458333333302E-3"/>
    <m/>
  </r>
  <r>
    <s v="5971.4"/>
    <x v="2"/>
    <x v="7"/>
    <x v="3"/>
    <s v="20A"/>
    <s v="160"/>
    <s v="Dolichospermum planctonicum "/>
    <b v="1"/>
    <n v="10"/>
    <n v="17"/>
    <m/>
    <n v="106.814305555556"/>
    <n v="3.9521293055555698E-2"/>
    <n v="106.814305555556"/>
    <n v="3.9521293055555698E-2"/>
    <m/>
  </r>
  <r>
    <s v="5969.1"/>
    <x v="2"/>
    <x v="8"/>
    <x v="3"/>
    <s v="20A"/>
    <s v="160"/>
    <s v="Microcystis wesenbergii"/>
    <b v="1"/>
    <n v="10"/>
    <n v="38.8125"/>
    <m/>
    <n v="1950.931875"/>
    <n v="0.37132086376875001"/>
    <n v="1950.931875"/>
    <n v="0.37132086376875001"/>
    <s v="Microcystis spp._x000a_"/>
  </r>
  <r>
    <s v="5969.2"/>
    <x v="2"/>
    <x v="8"/>
    <x v="3"/>
    <s v="20A"/>
    <s v="160"/>
    <s v="Pseudanabaena sp."/>
    <b v="1"/>
    <n v="10"/>
    <n v="6.5"/>
    <m/>
    <n v="163.363055555556"/>
    <n v="6.37115916666668E-3"/>
    <n v="163.363055555556"/>
    <n v="6.37115916666668E-3"/>
    <m/>
  </r>
  <r>
    <s v="5969.3"/>
    <x v="2"/>
    <x v="8"/>
    <x v="3"/>
    <s v="20A"/>
    <s v="160"/>
    <s v="Phormidium sp"/>
    <b v="1"/>
    <n v="10"/>
    <n v="12"/>
    <m/>
    <n v="37.699166666666699"/>
    <n v="3.5188402166666699E-3"/>
    <n v="37.699166666666699"/>
    <n v="3.5188402166666699E-3"/>
    <m/>
  </r>
  <r>
    <s v="5969.4"/>
    <x v="2"/>
    <x v="8"/>
    <x v="3"/>
    <s v="20A"/>
    <s v="160"/>
    <s v="Dolichospermum planctonicum "/>
    <b v="1"/>
    <n v="10"/>
    <n v="13"/>
    <m/>
    <n v="122.522291666667"/>
    <n v="4.5333247916666798E-2"/>
    <n v="122.522291666667"/>
    <n v="4.5333247916666798E-2"/>
    <m/>
  </r>
  <r>
    <s v="5969.5"/>
    <x v="2"/>
    <x v="8"/>
    <x v="3"/>
    <s v="20A"/>
    <s v="160"/>
    <s v="Geitlerinema sp"/>
    <b v="0"/>
    <n v="10"/>
    <n v="13"/>
    <m/>
    <n v="81.681527777777802"/>
    <n v="1.7969936111111101E-3"/>
    <n v="0"/>
    <n v="0"/>
    <m/>
  </r>
  <r>
    <s v="5970.1"/>
    <x v="2"/>
    <x v="9"/>
    <x v="3"/>
    <s v="20A"/>
    <s v="160"/>
    <s v="Microcystis wesenbergii"/>
    <b v="1"/>
    <n v="10"/>
    <n v="37.764705882352899"/>
    <m/>
    <n v="2016.9054166666699"/>
    <n v="0.38387760795416698"/>
    <n v="2016.9054166666699"/>
    <n v="0.38387760795416698"/>
    <s v="Microcystis spp._x000a_"/>
  </r>
  <r>
    <s v="5970.2"/>
    <x v="2"/>
    <x v="9"/>
    <x v="3"/>
    <s v="20A"/>
    <s v="160"/>
    <s v="Microcystis sp"/>
    <b v="1"/>
    <n v="10"/>
    <n v="78"/>
    <m/>
    <n v="245.04458333333301"/>
    <n v="1.7593851017542499E-2"/>
    <n v="245.04458333333301"/>
    <n v="1.7593851017542499E-2"/>
    <s v="Microcystis spp._x000a_"/>
  </r>
  <r>
    <s v="5970.3"/>
    <x v="2"/>
    <x v="9"/>
    <x v="3"/>
    <s v="20A"/>
    <s v="160"/>
    <s v="Pseudanabaena sp."/>
    <b v="1"/>
    <n v="10"/>
    <n v="7.2"/>
    <m/>
    <n v="113.0975"/>
    <n v="4.4108024999999999E-3"/>
    <n v="113.0975"/>
    <n v="4.4108024999999999E-3"/>
    <m/>
  </r>
  <r>
    <s v="5970.4"/>
    <x v="2"/>
    <x v="9"/>
    <x v="3"/>
    <s v="20A"/>
    <s v="160"/>
    <s v="Dolichospermum planctonicum "/>
    <b v="1"/>
    <n v="10"/>
    <n v="25"/>
    <m/>
    <n v="78.5399305555555"/>
    <n v="2.9059774305555602E-2"/>
    <n v="78.5399305555556"/>
    <n v="2.9059774305555602E-2"/>
    <m/>
  </r>
  <r>
    <s v="5967.1"/>
    <x v="2"/>
    <x v="10"/>
    <x v="3"/>
    <s v="20A"/>
    <s v="160"/>
    <s v="Microcystis wesenbergii"/>
    <b v="1"/>
    <n v="10"/>
    <n v="51.3888888888889"/>
    <m/>
    <n v="2905.9774305555602"/>
    <n v="0.55309468435763998"/>
    <n v="2905.9774305555602"/>
    <n v="0.55309468435763998"/>
    <s v="Microcystis spp._x000a_"/>
  </r>
  <r>
    <s v="5967.2"/>
    <x v="2"/>
    <x v="10"/>
    <x v="3"/>
    <s v="20A"/>
    <s v="160"/>
    <s v="Microcystis sp"/>
    <b v="1"/>
    <n v="10"/>
    <n v="26.5"/>
    <m/>
    <n v="333.00930555555499"/>
    <n v="2.3909592408455201E-2"/>
    <n v="333.00930555555601"/>
    <n v="2.3909592408455201E-2"/>
    <s v="Microcystis spp._x000a_"/>
  </r>
  <r>
    <s v="5967.3"/>
    <x v="2"/>
    <x v="10"/>
    <x v="3"/>
    <s v="20A"/>
    <s v="160"/>
    <s v="Dolichospermum planctonicum "/>
    <b v="1"/>
    <n v="10"/>
    <n v="14"/>
    <m/>
    <n v="43.982361111111103"/>
    <n v="1.6273473611111099E-2"/>
    <n v="43.982361111111103"/>
    <n v="1.6273473611111099E-2"/>
    <m/>
  </r>
  <r>
    <s v="5967.4"/>
    <x v="2"/>
    <x v="10"/>
    <x v="3"/>
    <s v="20A"/>
    <s v="160"/>
    <s v="Pseudanabaena sp."/>
    <b v="1"/>
    <n v="10"/>
    <n v="3.5384615384615401"/>
    <m/>
    <n v="144.51347222222199"/>
    <n v="5.6360254166666597E-3"/>
    <n v="144.51347222222199"/>
    <n v="5.6360254166666597E-3"/>
    <m/>
  </r>
  <r>
    <s v="5977.1"/>
    <x v="3"/>
    <x v="11"/>
    <x v="3"/>
    <s v="20A"/>
    <s v="Whole Plate"/>
    <s v="Dolichospermum circinale"/>
    <b v="1"/>
    <n v="10"/>
    <n v="17.2"/>
    <m/>
    <n v="17.2"/>
    <n v="9.9010079999999993E-3"/>
    <n v="17.2"/>
    <n v="9.9010079999999993E-3"/>
    <m/>
  </r>
  <r>
    <s v="5977.2"/>
    <x v="3"/>
    <x v="11"/>
    <x v="3"/>
    <s v="20A"/>
    <s v="Whole Plate"/>
    <s v="Dolichospermum planctonicum "/>
    <b v="1"/>
    <n v="10"/>
    <n v="24.1666666666667"/>
    <m/>
    <n v="14.5"/>
    <n v="5.365E-3"/>
    <n v="14.5"/>
    <n v="5.365E-3"/>
    <m/>
  </r>
  <r>
    <s v="5977.3"/>
    <x v="3"/>
    <x v="11"/>
    <x v="3"/>
    <s v="20A"/>
    <s v="Whole Plate"/>
    <s v="Woronichinia naegeliana"/>
    <b v="1"/>
    <n v="10"/>
    <n v="84"/>
    <m/>
    <n v="8.4"/>
    <n v="0"/>
    <n v="8.4"/>
    <n v="0"/>
    <m/>
  </r>
  <r>
    <s v="5977.4"/>
    <x v="3"/>
    <x v="11"/>
    <x v="3"/>
    <s v="20A"/>
    <s v="Whole Plate"/>
    <s v="Phormidium sp"/>
    <b v="1"/>
    <n v="10"/>
    <n v="48"/>
    <m/>
    <n v="4.8"/>
    <n v="4.4803200000000001E-4"/>
    <n v="4.8"/>
    <n v="4.4803200000000001E-4"/>
    <m/>
  </r>
  <r>
    <s v="5977.5"/>
    <x v="3"/>
    <x v="11"/>
    <x v="3"/>
    <s v="20A"/>
    <s v="Whole Plate"/>
    <s v="Pseudanabaena sp."/>
    <b v="1"/>
    <n v="10"/>
    <n v="7"/>
    <m/>
    <n v="0.7"/>
    <n v="2.73E-5"/>
    <n v="0.7"/>
    <n v="2.73E-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lertWarning" cacheId="21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J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dataField="1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2">
    <field x="3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TotalBioVolume" fld="12" baseField="0" baseItem="0"/>
    <dataField name="PotentiallyToxicBioVolume" fld="14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88EA6-DBD5-4817-A393-4E51789FF3FB}" name="PivotTable1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R7:W20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/>
  </dataFields>
  <formats count="33">
    <format dxfId="31">
      <pivotArea outline="0" fieldPosition="0">
        <references count="2">
          <reference field="1" count="1" selected="0">
            <x v="0"/>
          </reference>
          <reference field="2" count="1" selected="0">
            <x v="1"/>
          </reference>
        </references>
      </pivotArea>
    </format>
    <format dxfId="32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33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34">
      <pivotArea outline="0" fieldPosition="0"/>
    </format>
    <format dxfId="30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0"/>
          </reference>
        </references>
      </pivotArea>
    </format>
    <format dxfId="28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</references>
      </pivotArea>
    </format>
    <format dxfId="26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0"/>
          </reference>
        </references>
      </pivotArea>
    </format>
    <format dxfId="25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0"/>
          </reference>
        </references>
      </pivotArea>
    </format>
    <format dxfId="24">
      <pivotArea outline="0" fieldPosition="0">
        <references count="3">
          <reference field="1" count="1" selected="0">
            <x v="1"/>
          </reference>
          <reference field="2" count="2" selected="0">
            <x v="5"/>
            <x v="6"/>
          </reference>
          <reference field="3" count="1" selected="0">
            <x v="0"/>
          </reference>
        </references>
      </pivotArea>
    </format>
    <format dxfId="23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0"/>
          </reference>
        </references>
      </pivotArea>
    </format>
    <format dxfId="22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0"/>
          </reference>
        </references>
      </pivotArea>
    </format>
    <format dxfId="21">
      <pivotArea outline="0" fieldPosition="0">
        <references count="2">
          <reference field="1" count="1" selected="0">
            <x v="3"/>
          </reference>
          <reference field="3" count="1" selected="0">
            <x v="0"/>
          </reference>
        </references>
      </pivotArea>
    </format>
    <format dxfId="20">
      <pivotArea outline="0" fieldPosition="0">
        <references count="3">
          <reference field="1" count="1" selected="0">
            <x v="1"/>
          </reference>
          <reference field="2" count="2" selected="0">
            <x v="3"/>
            <x v="4"/>
          </reference>
          <reference field="3" count="1" selected="0">
            <x v="0"/>
          </reference>
        </references>
      </pivotArea>
    </format>
    <format dxfId="19">
      <pivotArea outline="0" fieldPosition="0">
        <references count="3">
          <reference field="1" count="1" selected="0">
            <x v="2"/>
          </reference>
          <reference field="2" count="1" selected="0">
            <x v="8"/>
          </reference>
          <reference field="3" count="1" selected="0">
            <x v="0"/>
          </reference>
        </references>
      </pivotArea>
    </format>
    <format dxfId="18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0"/>
          </reference>
        </references>
      </pivotArea>
    </format>
    <format dxfId="17">
      <pivotArea outline="0" fieldPosition="0">
        <references count="3">
          <reference field="1" count="1" selected="0">
            <x v="1"/>
          </reference>
          <reference field="2" count="1" selected="0">
            <x v="3"/>
          </reference>
          <reference field="3" count="1" selected="0">
            <x v="1"/>
          </reference>
        </references>
      </pivotArea>
    </format>
    <format dxfId="16">
      <pivotArea outline="0" fieldPosition="0">
        <references count="3">
          <reference field="1" count="1" selected="0">
            <x v="2"/>
          </reference>
          <reference field="2" count="2" selected="0">
            <x v="7"/>
            <x v="8"/>
          </reference>
          <reference field="3" count="1" selected="0">
            <x v="1"/>
          </reference>
        </references>
      </pivotArea>
    </format>
    <format dxfId="15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1"/>
          </reference>
        </references>
      </pivotArea>
    </format>
    <format dxfId="14">
      <pivotArea outline="0" fieldPosition="0">
        <references count="3">
          <reference field="1" count="1" selected="0">
            <x v="2"/>
          </reference>
          <reference field="2" count="2" selected="0">
            <x v="8"/>
            <x v="9"/>
          </reference>
          <reference field="3" count="1" selected="0">
            <x v="2"/>
          </reference>
        </references>
      </pivotArea>
    </format>
    <format dxfId="13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3"/>
          </reference>
        </references>
      </pivotArea>
    </format>
    <format dxfId="12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3"/>
          </reference>
        </references>
      </pivotArea>
    </format>
    <format dxfId="11">
      <pivotArea outline="0" fieldPosition="0">
        <references count="3">
          <reference field="1" count="1" selected="0">
            <x v="0"/>
          </reference>
          <reference field="2" count="2" selected="0">
            <x v="0"/>
            <x v="1"/>
          </reference>
          <reference field="3" count="1" selected="0">
            <x v="1"/>
          </reference>
        </references>
      </pivotArea>
    </format>
    <format dxfId="10">
      <pivotArea outline="0" fieldPosition="0">
        <references count="3">
          <reference field="1" count="1" selected="0">
            <x v="1"/>
          </reference>
          <reference field="2" count="1" selected="0">
            <x v="2"/>
          </reference>
          <reference field="3" count="1" selected="0">
            <x v="1"/>
          </reference>
        </references>
      </pivotArea>
    </format>
    <format dxfId="9">
      <pivotArea outline="0" fieldPosition="0">
        <references count="3">
          <reference field="1" count="1" selected="0">
            <x v="1"/>
          </reference>
          <reference field="2" count="3" selected="0">
            <x v="4"/>
            <x v="5"/>
            <x v="6"/>
          </reference>
          <reference field="3" count="1" selected="0">
            <x v="1"/>
          </reference>
        </references>
      </pivotArea>
    </format>
    <format dxfId="8">
      <pivotArea outline="0" fieldPosition="0">
        <references count="3">
          <reference field="1" count="1" selected="0">
            <x v="2"/>
          </reference>
          <reference field="2" count="1" selected="0">
            <x v="9"/>
          </reference>
          <reference field="3" count="1" selected="0">
            <x v="1"/>
          </reference>
        </references>
      </pivotArea>
    </format>
    <format dxfId="7">
      <pivotArea outline="0" fieldPosition="0">
        <references count="2">
          <reference field="1" count="1" selected="0">
            <x v="3"/>
          </reference>
          <reference field="3" count="1" selected="0">
            <x v="1"/>
          </reference>
        </references>
      </pivotArea>
    </format>
    <format dxfId="6">
      <pivotArea outline="0" fieldPosition="0">
        <references count="3">
          <reference field="1" count="1" selected="0">
            <x v="2"/>
          </reference>
          <reference field="2" count="1" selected="0">
            <x v="10"/>
          </reference>
          <reference field="3" count="1" selected="0">
            <x v="2"/>
          </reference>
        </references>
      </pivotArea>
    </format>
    <format dxfId="5">
      <pivotArea outline="0" fieldPosition="0">
        <references count="2">
          <reference field="1" count="1" selected="0">
            <x v="3"/>
          </reference>
          <reference field="3" count="1" selected="0">
            <x v="2"/>
          </reference>
        </references>
      </pivotArea>
    </format>
    <format dxfId="4">
      <pivotArea outline="0" fieldPosition="0">
        <references count="2">
          <reference field="1" count="1" selected="0">
            <x v="3"/>
          </reference>
          <reference field="3" count="1" selected="0">
            <x v="3"/>
          </reference>
        </references>
      </pivotArea>
    </format>
    <format dxfId="3">
      <pivotArea outline="0" fieldPosition="0">
        <references count="2">
          <reference field="1" count="2" selected="0">
            <x v="0"/>
            <x v="1"/>
          </reference>
          <reference field="3" count="1" selected="0">
            <x v="2"/>
          </reference>
        </references>
      </pivotArea>
    </format>
    <format dxfId="2">
      <pivotArea outline="0" fieldPosition="0">
        <references count="3">
          <reference field="1" count="1" selected="0">
            <x v="2"/>
          </reference>
          <reference field="2" count="1" selected="0">
            <x v="7"/>
          </reference>
          <reference field="3" count="1" selected="0">
            <x v="2"/>
          </reference>
        </references>
      </pivotArea>
    </format>
    <format dxfId="1">
      <pivotArea outline="0" fieldPosition="0">
        <references count="2">
          <reference field="1" count="2" selected="0">
            <x v="0"/>
            <x v="1"/>
          </reference>
          <reference field="3" count="1" selected="0">
            <x v="3"/>
          </reference>
        </references>
      </pivotArea>
    </format>
    <format dxfId="0">
      <pivotArea outline="0" fieldPosition="0">
        <references count="3">
          <reference field="1" count="1" selected="0">
            <x v="2"/>
          </reference>
          <reference field="2" count="2" selected="0">
            <x v="8"/>
            <x v="9"/>
          </reference>
          <reference field="3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AlertWarning" cacheId="8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37:F50" firstHeaderRow="1" firstDataRow="2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compact="0" outline="0" defaultSubtotal="0"/>
    <pivotField name="TotalBioVolume" dataField="1" compact="0" outline="0" defaultSubtotal="0"/>
    <pivotField name="PotentiallyToxicCellMl" compact="0" outline="0" defaultSubtotal="0"/>
    <pivotField name="PotentiallyToxicBioVolume" compact="0" outline="0" defaultSubtotal="0"/>
    <pivotField name="ToxinCluster" compact="0" outline="0" defaultSubtotal="0"/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1">
    <field x="3"/>
  </colFields>
  <colItems count="4">
    <i>
      <x/>
    </i>
    <i>
      <x v="1"/>
    </i>
    <i>
      <x v="2"/>
    </i>
    <i>
      <x v="3"/>
    </i>
  </colItems>
  <dataFields count="1">
    <dataField name="TotalBioVolume" fld="12" baseField="0" baseItem="0"/>
  </dataFields>
  <formats count="4">
    <format dxfId="44">
      <pivotArea outline="0" fieldPosition="0">
        <references count="2">
          <reference field="1" count="1" selected="0">
            <x v="0"/>
          </reference>
          <reference field="2" count="1" selected="0">
            <x v="1"/>
          </reference>
        </references>
      </pivotArea>
    </format>
    <format dxfId="42">
      <pivotArea outline="0" fieldPosition="0">
        <references count="1">
          <reference field="1" count="3" selected="0">
            <x v="1"/>
            <x v="2"/>
            <x v="3"/>
          </reference>
        </references>
      </pivotArea>
    </format>
    <format dxfId="37">
      <pivotArea outline="0" fieldPosition="0">
        <references count="2">
          <reference field="1" count="1" selected="0">
            <x v="0"/>
          </reference>
          <reference field="2" count="1" selected="0">
            <x v="0"/>
          </reference>
        </references>
      </pivotArea>
    </format>
    <format dxfId="35">
      <pivotArea outline="0" fieldPosition="0"/>
    </format>
  </format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CellsPermL" cacheId="15" applyNumberFormats="0" applyBorderFormats="0" applyFontFormats="0" applyPatternFormats="0" applyAlignmentFormats="0" applyWidthHeightFormats="0" dataCaption="Values" missingCaption="" updatedVersion="8" rowGrandTotals="0" colGrandTotals="0" compact="0" compactData="0" gridDropZones="1" rowHeaderCaption="Locations" colHeaderCaption="Dates">
  <location ref="A8:F22" firstHeaderRow="1" firstDataRow="3" firstDataCol="2"/>
  <pivotFields count="16">
    <pivotField name="SampleId" compact="0" outline="0" defaultSubtotal="0"/>
    <pivotField name="Location" axis="axisRow" compact="0" outline="0" showAll="0" defaultSubtotal="0">
      <items count="4">
        <item x="0"/>
        <item x="1"/>
        <item x="2"/>
        <item x="3"/>
      </items>
    </pivotField>
    <pivotField name="Site" axis="axisRow"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Dates" axis="axisCol" compact="0" outline="0" showAll="0" defaultSubtotal="0">
      <items count="4">
        <item x="0"/>
        <item x="1"/>
        <item x="2"/>
        <item x="3"/>
      </items>
    </pivotField>
    <pivotField name="MicroscopeType" compact="0" outline="0" defaultSubtotal="0"/>
    <pivotField name="WholePlate" compact="0" outline="0" defaultSubtotal="0"/>
    <pivotField name="Species" compact="0" outline="0" defaultSubtotal="0"/>
    <pivotField name="IsSpeciesToxic" compact="0" outline="0" defaultSubtotal="0"/>
    <pivotField name="VolumeInMillilitres" compact="0" outline="0" defaultSubtotal="0"/>
    <pivotField name="Average" compact="0" outline="0" defaultSubtotal="0"/>
    <pivotField name="NumberOfColonies" compact="0" outline="0" defaultSubtotal="0"/>
    <pivotField name="CellsPerMl" dataField="1" compact="0" outline="0" defaultSubtotal="0"/>
    <pivotField name="TotalBioVolume" compact="0" outline="0" defaultSubtotal="0"/>
    <pivotField name="PotentiallyToxicCellMl" compact="0" outline="0" defaultSubtotal="0"/>
    <pivotField name="PotentiallyToxicBioVolume" compact="0" outline="0" defaultSubtotal="0"/>
    <pivotField name="ToxinCluster" axis="axisCol" compact="0" outline="0" showAll="0" defaultSubtotal="0">
      <items count="2">
        <item m="1" x="1"/>
        <item x="0"/>
      </items>
    </pivotField>
  </pivotFields>
  <rowFields count="2">
    <field x="1"/>
    <field x="2"/>
  </rowFields>
  <rowItems count="12">
    <i>
      <x/>
      <x/>
    </i>
    <i r="1">
      <x v="1"/>
    </i>
    <i>
      <x v="1"/>
      <x v="2"/>
    </i>
    <i r="1">
      <x v="3"/>
    </i>
    <i r="1">
      <x v="4"/>
    </i>
    <i r="1">
      <x v="5"/>
    </i>
    <i r="1">
      <x v="6"/>
    </i>
    <i>
      <x v="2"/>
      <x v="7"/>
    </i>
    <i r="1">
      <x v="8"/>
    </i>
    <i r="1">
      <x v="9"/>
    </i>
    <i r="1">
      <x v="10"/>
    </i>
    <i>
      <x v="3"/>
      <x v="11"/>
    </i>
  </rowItems>
  <colFields count="2">
    <field x="3"/>
    <field x="15"/>
  </colFields>
  <colItems count="4">
    <i>
      <x/>
      <x v="1"/>
    </i>
    <i>
      <x v="1"/>
      <x v="1"/>
    </i>
    <i>
      <x v="2"/>
      <x v="1"/>
    </i>
    <i>
      <x v="3"/>
      <x v="1"/>
    </i>
  </colItems>
  <dataFields count="1">
    <dataField name="CellsPerMl" fld="11" baseField="0" baseItem="0"/>
  </dataFields>
  <pivotTableStyleInfo name="PivotStyleLight16"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46" totalsRowShown="0">
  <autoFilter ref="A1:P246" xr:uid="{00000000-0009-0000-0100-000001000000}"/>
  <tableColumns count="16">
    <tableColumn id="1" xr3:uid="{00000000-0010-0000-0000-000001000000}" name="SampleId"/>
    <tableColumn id="2" xr3:uid="{00000000-0010-0000-0000-000002000000}" name="Location"/>
    <tableColumn id="3" xr3:uid="{00000000-0010-0000-0000-000003000000}" name="Site"/>
    <tableColumn id="4" xr3:uid="{00000000-0010-0000-0000-000004000000}" name="SampleDate"/>
    <tableColumn id="5" xr3:uid="{00000000-0010-0000-0000-000005000000}" name="MicroscopeType"/>
    <tableColumn id="6" xr3:uid="{00000000-0010-0000-0000-000006000000}" name="WholePlate"/>
    <tableColumn id="7" xr3:uid="{00000000-0010-0000-0000-000007000000}" name="Species"/>
    <tableColumn id="8" xr3:uid="{00000000-0010-0000-0000-000008000000}" name="IsSpeciesToxic"/>
    <tableColumn id="9" xr3:uid="{00000000-0010-0000-0000-000009000000}" name="VolumeInMillilitres"/>
    <tableColumn id="10" xr3:uid="{00000000-0010-0000-0000-00000A000000}" name="Average"/>
    <tableColumn id="11" xr3:uid="{00000000-0010-0000-0000-00000B000000}" name="NumberOfColonies"/>
    <tableColumn id="12" xr3:uid="{00000000-0010-0000-0000-00000C000000}" name="CellsPerMl"/>
    <tableColumn id="13" xr3:uid="{00000000-0010-0000-0000-00000D000000}" name="TotalBioVolume"/>
    <tableColumn id="14" xr3:uid="{00000000-0010-0000-0000-00000E000000}" name="PotentiallyToxicCellMl"/>
    <tableColumn id="15" xr3:uid="{00000000-0010-0000-0000-00000F000000}" name="PotentiallyToxicBioVolume"/>
    <tableColumn id="16" xr3:uid="{00000000-0010-0000-0000-000010000000}" name="ToxinClus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P75" totalsRowShown="0">
  <autoFilter ref="A1:P75" xr:uid="{00000000-0009-0000-0100-000002000000}"/>
  <tableColumns count="16">
    <tableColumn id="1" xr3:uid="{00000000-0010-0000-0100-000001000000}" name="SampleId"/>
    <tableColumn id="2" xr3:uid="{00000000-0010-0000-0100-000002000000}" name="Location"/>
    <tableColumn id="3" xr3:uid="{00000000-0010-0000-0100-000003000000}" name="Site"/>
    <tableColumn id="4" xr3:uid="{00000000-0010-0000-0100-000004000000}" name="SampleDate"/>
    <tableColumn id="5" xr3:uid="{00000000-0010-0000-0100-000005000000}" name="MicroscopeType"/>
    <tableColumn id="6" xr3:uid="{00000000-0010-0000-0100-000006000000}" name="WholePlate"/>
    <tableColumn id="7" xr3:uid="{00000000-0010-0000-0100-000007000000}" name="Species"/>
    <tableColumn id="8" xr3:uid="{00000000-0010-0000-0100-000008000000}" name="IsSpeciesToxic"/>
    <tableColumn id="9" xr3:uid="{00000000-0010-0000-0100-000009000000}" name="VolumeInMillilitres"/>
    <tableColumn id="10" xr3:uid="{00000000-0010-0000-0100-00000A000000}" name="Average"/>
    <tableColumn id="11" xr3:uid="{00000000-0010-0000-0100-00000B000000}" name="NumberOfColonies"/>
    <tableColumn id="12" xr3:uid="{00000000-0010-0000-0100-00000C000000}" name="CellsPerMl"/>
    <tableColumn id="13" xr3:uid="{00000000-0010-0000-0100-00000D000000}" name="TotalBioVolume"/>
    <tableColumn id="14" xr3:uid="{00000000-0010-0000-0100-00000E000000}" name="PotentiallyToxicCellMl"/>
    <tableColumn id="15" xr3:uid="{00000000-0010-0000-0100-00000F000000}" name="PotentiallyToxicBioVolume"/>
    <tableColumn id="16" xr3:uid="{00000000-0010-0000-0100-000010000000}" name="ToxinClus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6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8.5429687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2.5429687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25</v>
      </c>
      <c r="K2">
        <v>83</v>
      </c>
      <c r="L2">
        <v>257.5</v>
      </c>
      <c r="M2">
        <v>1.8488132140649999E-2</v>
      </c>
      <c r="N2">
        <v>257.5</v>
      </c>
      <c r="O2">
        <v>1.8488132140649999E-2</v>
      </c>
      <c r="P2" s="1" t="s">
        <v>23</v>
      </c>
    </row>
    <row r="3" spans="1:16" ht="29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74.5</v>
      </c>
      <c r="L3">
        <v>14.9</v>
      </c>
      <c r="M3">
        <v>2.8359169999999999E-3</v>
      </c>
      <c r="N3">
        <v>14.9</v>
      </c>
      <c r="O3">
        <v>2.8359169999999999E-3</v>
      </c>
      <c r="P3" s="1" t="s">
        <v>23</v>
      </c>
    </row>
    <row r="4" spans="1:16" x14ac:dyDescent="0.35">
      <c r="A4" t="s">
        <v>26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27</v>
      </c>
      <c r="H4" t="b">
        <v>0</v>
      </c>
      <c r="I4">
        <v>10</v>
      </c>
      <c r="J4">
        <v>40.3333333333333</v>
      </c>
      <c r="L4">
        <v>36.299999999999997</v>
      </c>
      <c r="M4">
        <v>8.1675000000000007E-5</v>
      </c>
      <c r="N4">
        <v>0</v>
      </c>
      <c r="O4">
        <v>0</v>
      </c>
    </row>
    <row r="5" spans="1:16" x14ac:dyDescent="0.35">
      <c r="A5" t="s">
        <v>28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29</v>
      </c>
      <c r="H5" t="b">
        <v>1</v>
      </c>
      <c r="I5">
        <v>10</v>
      </c>
      <c r="J5">
        <v>7.5</v>
      </c>
      <c r="L5">
        <v>1.5</v>
      </c>
      <c r="M5">
        <v>5.8499999999999999E-5</v>
      </c>
      <c r="N5">
        <v>1.5</v>
      </c>
      <c r="O5">
        <v>5.8499999999999999E-5</v>
      </c>
    </row>
    <row r="6" spans="1:16" x14ac:dyDescent="0.35">
      <c r="A6" t="s">
        <v>30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31</v>
      </c>
      <c r="H6" t="b">
        <v>1</v>
      </c>
      <c r="I6">
        <v>10</v>
      </c>
      <c r="J6">
        <v>12</v>
      </c>
      <c r="L6">
        <v>1.2</v>
      </c>
      <c r="M6">
        <v>2.2800000000000001E-4</v>
      </c>
      <c r="N6">
        <v>1.2</v>
      </c>
      <c r="O6">
        <v>2.2800000000000001E-4</v>
      </c>
    </row>
    <row r="7" spans="1:16" ht="29" x14ac:dyDescent="0.35">
      <c r="A7" t="s">
        <v>32</v>
      </c>
      <c r="B7" t="s">
        <v>17</v>
      </c>
      <c r="C7" t="s">
        <v>33</v>
      </c>
      <c r="D7" t="s">
        <v>19</v>
      </c>
      <c r="E7" t="s">
        <v>20</v>
      </c>
      <c r="F7" t="s">
        <v>21</v>
      </c>
      <c r="G7" t="s">
        <v>22</v>
      </c>
      <c r="H7" t="b">
        <v>1</v>
      </c>
      <c r="I7">
        <v>10</v>
      </c>
      <c r="J7">
        <v>17.25</v>
      </c>
      <c r="K7">
        <v>94</v>
      </c>
      <c r="L7">
        <v>196.65</v>
      </c>
      <c r="M7">
        <v>1.4119189069743E-2</v>
      </c>
      <c r="N7">
        <v>196.65</v>
      </c>
      <c r="O7">
        <v>1.4119189069743E-2</v>
      </c>
      <c r="P7" s="1" t="s">
        <v>23</v>
      </c>
    </row>
    <row r="8" spans="1:16" x14ac:dyDescent="0.35">
      <c r="A8" t="s">
        <v>34</v>
      </c>
      <c r="B8" t="s">
        <v>17</v>
      </c>
      <c r="C8" t="s">
        <v>33</v>
      </c>
      <c r="D8" t="s">
        <v>19</v>
      </c>
      <c r="E8" t="s">
        <v>20</v>
      </c>
      <c r="F8" t="s">
        <v>21</v>
      </c>
      <c r="G8" t="s">
        <v>31</v>
      </c>
      <c r="H8" t="b">
        <v>1</v>
      </c>
      <c r="I8">
        <v>10</v>
      </c>
      <c r="J8">
        <v>12.363636363636401</v>
      </c>
      <c r="L8">
        <v>13.6</v>
      </c>
      <c r="M8">
        <v>2.5839999999999999E-3</v>
      </c>
      <c r="N8">
        <v>13.6</v>
      </c>
      <c r="O8">
        <v>2.5839999999999999E-3</v>
      </c>
    </row>
    <row r="9" spans="1:16" x14ac:dyDescent="0.35">
      <c r="A9" t="s">
        <v>35</v>
      </c>
      <c r="B9" t="s">
        <v>17</v>
      </c>
      <c r="C9" t="s">
        <v>33</v>
      </c>
      <c r="D9" t="s">
        <v>19</v>
      </c>
      <c r="E9" t="s">
        <v>20</v>
      </c>
      <c r="F9" t="s">
        <v>21</v>
      </c>
      <c r="G9" t="s">
        <v>36</v>
      </c>
      <c r="H9" t="b">
        <v>1</v>
      </c>
      <c r="I9">
        <v>10</v>
      </c>
      <c r="J9">
        <v>37.200000000000003</v>
      </c>
      <c r="L9">
        <v>18.600000000000001</v>
      </c>
      <c r="M9">
        <v>5.03037E-2</v>
      </c>
      <c r="N9">
        <v>18.600000000000001</v>
      </c>
      <c r="O9">
        <v>5.03037E-2</v>
      </c>
    </row>
    <row r="10" spans="1:16" x14ac:dyDescent="0.35">
      <c r="A10" t="s">
        <v>37</v>
      </c>
      <c r="B10" t="s">
        <v>17</v>
      </c>
      <c r="C10" t="s">
        <v>33</v>
      </c>
      <c r="D10" t="s">
        <v>19</v>
      </c>
      <c r="E10" t="s">
        <v>20</v>
      </c>
      <c r="F10" t="s">
        <v>21</v>
      </c>
      <c r="G10" t="s">
        <v>29</v>
      </c>
      <c r="H10" t="b">
        <v>1</v>
      </c>
      <c r="I10">
        <v>10</v>
      </c>
      <c r="J10">
        <v>8.6666666666666696</v>
      </c>
      <c r="L10">
        <v>2.6</v>
      </c>
      <c r="M10">
        <v>1.014E-4</v>
      </c>
      <c r="N10">
        <v>2.6</v>
      </c>
      <c r="O10">
        <v>1.014E-4</v>
      </c>
    </row>
    <row r="11" spans="1:16" ht="29" x14ac:dyDescent="0.35">
      <c r="A11" t="s">
        <v>38</v>
      </c>
      <c r="B11" t="s">
        <v>17</v>
      </c>
      <c r="C11" t="s">
        <v>33</v>
      </c>
      <c r="D11" t="s">
        <v>19</v>
      </c>
      <c r="E11" t="s">
        <v>20</v>
      </c>
      <c r="F11" t="s">
        <v>21</v>
      </c>
      <c r="G11" t="s">
        <v>25</v>
      </c>
      <c r="H11" t="b">
        <v>1</v>
      </c>
      <c r="I11">
        <v>10</v>
      </c>
      <c r="J11">
        <v>38.5</v>
      </c>
      <c r="L11">
        <v>7.7</v>
      </c>
      <c r="M11">
        <v>1.4655409999999999E-3</v>
      </c>
      <c r="N11">
        <v>7.7</v>
      </c>
      <c r="O11">
        <v>1.4655409999999999E-3</v>
      </c>
      <c r="P11" s="1" t="s">
        <v>23</v>
      </c>
    </row>
    <row r="12" spans="1:16" x14ac:dyDescent="0.35">
      <c r="A12" t="s">
        <v>39</v>
      </c>
      <c r="B12" t="s">
        <v>17</v>
      </c>
      <c r="C12" t="s">
        <v>33</v>
      </c>
      <c r="D12" t="s">
        <v>19</v>
      </c>
      <c r="E12" t="s">
        <v>20</v>
      </c>
      <c r="F12" t="s">
        <v>21</v>
      </c>
      <c r="G12" t="s">
        <v>27</v>
      </c>
      <c r="H12" t="b">
        <v>0</v>
      </c>
      <c r="I12">
        <v>10</v>
      </c>
      <c r="J12">
        <v>68</v>
      </c>
      <c r="L12">
        <v>6.8</v>
      </c>
      <c r="M12">
        <v>1.5299999999999999E-5</v>
      </c>
      <c r="N12">
        <v>0</v>
      </c>
      <c r="O12">
        <v>0</v>
      </c>
    </row>
    <row r="13" spans="1:16" x14ac:dyDescent="0.35">
      <c r="A13" t="s">
        <v>40</v>
      </c>
      <c r="B13" t="s">
        <v>17</v>
      </c>
      <c r="C13" t="s">
        <v>33</v>
      </c>
      <c r="D13" t="s">
        <v>19</v>
      </c>
      <c r="E13" t="s">
        <v>20</v>
      </c>
      <c r="F13" t="s">
        <v>21</v>
      </c>
      <c r="G13" t="s">
        <v>41</v>
      </c>
      <c r="H13" t="b">
        <v>1</v>
      </c>
      <c r="I13">
        <v>10</v>
      </c>
      <c r="J13">
        <v>15</v>
      </c>
      <c r="L13">
        <v>1.5</v>
      </c>
      <c r="M13">
        <v>3.8999999999999999E-4</v>
      </c>
      <c r="N13">
        <v>1.5</v>
      </c>
      <c r="O13">
        <v>3.8999999999999999E-4</v>
      </c>
    </row>
    <row r="14" spans="1:16" x14ac:dyDescent="0.35">
      <c r="A14" t="s">
        <v>42</v>
      </c>
      <c r="B14" t="s">
        <v>43</v>
      </c>
      <c r="C14" t="s">
        <v>44</v>
      </c>
      <c r="D14" t="s">
        <v>19</v>
      </c>
      <c r="E14" t="s">
        <v>20</v>
      </c>
      <c r="F14" t="s">
        <v>21</v>
      </c>
      <c r="G14" t="s">
        <v>45</v>
      </c>
      <c r="H14" t="b">
        <v>1</v>
      </c>
      <c r="I14">
        <v>10</v>
      </c>
      <c r="J14">
        <v>12</v>
      </c>
      <c r="L14">
        <v>3.6</v>
      </c>
      <c r="M14">
        <v>1.3320000000000001E-3</v>
      </c>
      <c r="N14">
        <v>3.6</v>
      </c>
      <c r="O14">
        <v>1.3320000000000001E-3</v>
      </c>
    </row>
    <row r="15" spans="1:16" ht="29" x14ac:dyDescent="0.35">
      <c r="A15" t="s">
        <v>46</v>
      </c>
      <c r="B15" t="s">
        <v>43</v>
      </c>
      <c r="C15" t="s">
        <v>44</v>
      </c>
      <c r="D15" t="s">
        <v>19</v>
      </c>
      <c r="E15" t="s">
        <v>20</v>
      </c>
      <c r="F15" t="s">
        <v>21</v>
      </c>
      <c r="G15" t="s">
        <v>25</v>
      </c>
      <c r="H15" t="b">
        <v>1</v>
      </c>
      <c r="I15">
        <v>10</v>
      </c>
      <c r="J15">
        <v>40.4444444444444</v>
      </c>
      <c r="L15">
        <v>72.8</v>
      </c>
      <c r="M15">
        <v>1.3856024E-2</v>
      </c>
      <c r="N15">
        <v>72.8</v>
      </c>
      <c r="O15">
        <v>1.3856024E-2</v>
      </c>
      <c r="P15" s="1" t="s">
        <v>23</v>
      </c>
    </row>
    <row r="16" spans="1:16" x14ac:dyDescent="0.35">
      <c r="A16" t="s">
        <v>47</v>
      </c>
      <c r="B16" t="s">
        <v>43</v>
      </c>
      <c r="C16" t="s">
        <v>44</v>
      </c>
      <c r="D16" t="s">
        <v>19</v>
      </c>
      <c r="E16" t="s">
        <v>20</v>
      </c>
      <c r="F16" t="s">
        <v>21</v>
      </c>
      <c r="G16" t="s">
        <v>29</v>
      </c>
      <c r="H16" t="b">
        <v>1</v>
      </c>
      <c r="I16">
        <v>10</v>
      </c>
      <c r="J16">
        <v>3.5</v>
      </c>
      <c r="L16">
        <v>0.7</v>
      </c>
      <c r="M16">
        <v>2.73E-5</v>
      </c>
      <c r="N16">
        <v>0.7</v>
      </c>
      <c r="O16">
        <v>2.73E-5</v>
      </c>
    </row>
    <row r="17" spans="1:16" ht="29" x14ac:dyDescent="0.35">
      <c r="A17" t="s">
        <v>48</v>
      </c>
      <c r="B17" t="s">
        <v>43</v>
      </c>
      <c r="C17" t="s">
        <v>44</v>
      </c>
      <c r="D17" t="s">
        <v>19</v>
      </c>
      <c r="E17" t="s">
        <v>20</v>
      </c>
      <c r="F17" t="s">
        <v>21</v>
      </c>
      <c r="G17" s="1" t="s">
        <v>49</v>
      </c>
      <c r="H17" t="b">
        <v>0</v>
      </c>
      <c r="I17">
        <v>10</v>
      </c>
      <c r="J17">
        <v>18</v>
      </c>
      <c r="L17">
        <v>1.8</v>
      </c>
      <c r="M17">
        <v>8.0999999999999996E-4</v>
      </c>
      <c r="N17">
        <v>0</v>
      </c>
      <c r="O17">
        <v>0</v>
      </c>
    </row>
    <row r="18" spans="1:16" ht="29" x14ac:dyDescent="0.35">
      <c r="A18" t="s">
        <v>50</v>
      </c>
      <c r="B18" t="s">
        <v>43</v>
      </c>
      <c r="C18" t="s">
        <v>51</v>
      </c>
      <c r="D18" t="s">
        <v>19</v>
      </c>
      <c r="E18" t="s">
        <v>20</v>
      </c>
      <c r="F18" t="s">
        <v>21</v>
      </c>
      <c r="G18" t="s">
        <v>25</v>
      </c>
      <c r="H18" t="b">
        <v>1</v>
      </c>
      <c r="I18">
        <v>10</v>
      </c>
      <c r="J18">
        <v>34.549999999999997</v>
      </c>
      <c r="K18">
        <v>3</v>
      </c>
      <c r="L18">
        <v>79.465000000000003</v>
      </c>
      <c r="M18">
        <v>1.512457345E-2</v>
      </c>
      <c r="N18">
        <v>79.465000000000003</v>
      </c>
      <c r="O18">
        <v>1.512457345E-2</v>
      </c>
      <c r="P18" s="1" t="s">
        <v>23</v>
      </c>
    </row>
    <row r="19" spans="1:16" x14ac:dyDescent="0.35">
      <c r="A19" t="s">
        <v>52</v>
      </c>
      <c r="B19" t="s">
        <v>43</v>
      </c>
      <c r="C19" t="s">
        <v>51</v>
      </c>
      <c r="D19" t="s">
        <v>19</v>
      </c>
      <c r="E19" t="s">
        <v>20</v>
      </c>
      <c r="F19" t="s">
        <v>21</v>
      </c>
      <c r="G19" t="s">
        <v>36</v>
      </c>
      <c r="H19" t="b">
        <v>1</v>
      </c>
      <c r="I19">
        <v>10</v>
      </c>
      <c r="J19">
        <v>236.15</v>
      </c>
      <c r="K19">
        <v>4</v>
      </c>
      <c r="L19">
        <v>566.76</v>
      </c>
      <c r="M19">
        <v>1.5328024200000001</v>
      </c>
      <c r="N19">
        <v>566.76</v>
      </c>
      <c r="O19">
        <v>1.5328024200000001</v>
      </c>
    </row>
    <row r="20" spans="1:16" x14ac:dyDescent="0.35">
      <c r="A20" t="s">
        <v>53</v>
      </c>
      <c r="B20" t="s">
        <v>43</v>
      </c>
      <c r="C20" t="s">
        <v>51</v>
      </c>
      <c r="D20" t="s">
        <v>19</v>
      </c>
      <c r="E20" t="s">
        <v>20</v>
      </c>
      <c r="F20" t="s">
        <v>21</v>
      </c>
      <c r="G20" t="s">
        <v>54</v>
      </c>
      <c r="H20" t="b">
        <v>1</v>
      </c>
      <c r="I20">
        <v>10</v>
      </c>
      <c r="J20">
        <v>13.4285714285714</v>
      </c>
      <c r="L20">
        <v>9.4</v>
      </c>
      <c r="M20">
        <v>1.034E-3</v>
      </c>
      <c r="N20">
        <v>9.4</v>
      </c>
      <c r="O20">
        <v>1.034E-3</v>
      </c>
    </row>
    <row r="21" spans="1:16" ht="29" x14ac:dyDescent="0.35">
      <c r="A21" t="s">
        <v>55</v>
      </c>
      <c r="B21" t="s">
        <v>43</v>
      </c>
      <c r="C21" t="s">
        <v>51</v>
      </c>
      <c r="D21" t="s">
        <v>19</v>
      </c>
      <c r="E21" t="s">
        <v>20</v>
      </c>
      <c r="F21" t="s">
        <v>21</v>
      </c>
      <c r="G21" t="s">
        <v>22</v>
      </c>
      <c r="H21" t="b">
        <v>1</v>
      </c>
      <c r="I21">
        <v>10</v>
      </c>
      <c r="J21">
        <v>22.3333333333333</v>
      </c>
      <c r="L21">
        <v>6.7</v>
      </c>
      <c r="M21">
        <v>4.8105042851400001E-4</v>
      </c>
      <c r="N21">
        <v>6.7</v>
      </c>
      <c r="O21">
        <v>4.8105042851400001E-4</v>
      </c>
      <c r="P21" s="1" t="s">
        <v>23</v>
      </c>
    </row>
    <row r="22" spans="1:16" x14ac:dyDescent="0.35">
      <c r="A22" t="s">
        <v>56</v>
      </c>
      <c r="B22" t="s">
        <v>43</v>
      </c>
      <c r="C22" t="s">
        <v>51</v>
      </c>
      <c r="D22" t="s">
        <v>19</v>
      </c>
      <c r="E22" t="s">
        <v>20</v>
      </c>
      <c r="F22" t="s">
        <v>21</v>
      </c>
      <c r="G22" t="s">
        <v>57</v>
      </c>
      <c r="H22" t="b">
        <v>0</v>
      </c>
      <c r="I22">
        <v>10</v>
      </c>
      <c r="J22">
        <v>34</v>
      </c>
      <c r="L22">
        <v>3.4</v>
      </c>
      <c r="M22">
        <v>7.4800000000000002E-5</v>
      </c>
      <c r="N22">
        <v>0</v>
      </c>
      <c r="O22">
        <v>0</v>
      </c>
    </row>
    <row r="23" spans="1:16" x14ac:dyDescent="0.35">
      <c r="A23" t="s">
        <v>58</v>
      </c>
      <c r="B23" t="s">
        <v>43</v>
      </c>
      <c r="C23" t="s">
        <v>51</v>
      </c>
      <c r="D23" t="s">
        <v>19</v>
      </c>
      <c r="E23" t="s">
        <v>20</v>
      </c>
      <c r="F23" t="s">
        <v>21</v>
      </c>
      <c r="G23" t="s">
        <v>27</v>
      </c>
      <c r="H23" t="b">
        <v>0</v>
      </c>
      <c r="I23">
        <v>10</v>
      </c>
      <c r="J23">
        <v>28</v>
      </c>
      <c r="L23">
        <v>2.8</v>
      </c>
      <c r="M23">
        <v>6.2999999999999998E-6</v>
      </c>
      <c r="N23">
        <v>0</v>
      </c>
      <c r="O23">
        <v>0</v>
      </c>
    </row>
    <row r="24" spans="1:16" x14ac:dyDescent="0.35">
      <c r="A24" t="s">
        <v>59</v>
      </c>
      <c r="B24" t="s">
        <v>43</v>
      </c>
      <c r="C24" t="s">
        <v>51</v>
      </c>
      <c r="D24" t="s">
        <v>19</v>
      </c>
      <c r="E24" t="s">
        <v>20</v>
      </c>
      <c r="F24" t="s">
        <v>21</v>
      </c>
      <c r="G24" t="s">
        <v>60</v>
      </c>
      <c r="H24" t="b">
        <v>1</v>
      </c>
      <c r="I24">
        <v>10</v>
      </c>
      <c r="J24">
        <v>15</v>
      </c>
      <c r="L24">
        <v>3</v>
      </c>
      <c r="M24">
        <v>1.7269200000000001E-3</v>
      </c>
      <c r="N24">
        <v>3</v>
      </c>
      <c r="O24">
        <v>1.7269200000000001E-3</v>
      </c>
    </row>
    <row r="25" spans="1:16" x14ac:dyDescent="0.35">
      <c r="A25" t="s">
        <v>61</v>
      </c>
      <c r="B25" t="s">
        <v>43</v>
      </c>
      <c r="C25" t="s">
        <v>51</v>
      </c>
      <c r="D25" t="s">
        <v>19</v>
      </c>
      <c r="E25" t="s">
        <v>20</v>
      </c>
      <c r="F25" t="s">
        <v>21</v>
      </c>
      <c r="G25" t="s">
        <v>29</v>
      </c>
      <c r="H25" t="b">
        <v>1</v>
      </c>
      <c r="I25">
        <v>10</v>
      </c>
      <c r="J25">
        <v>16</v>
      </c>
      <c r="L25">
        <v>1.6</v>
      </c>
      <c r="M25">
        <v>6.2399999999999999E-5</v>
      </c>
      <c r="N25">
        <v>1.6</v>
      </c>
      <c r="O25">
        <v>6.2399999999999999E-5</v>
      </c>
    </row>
    <row r="26" spans="1:16" ht="29" x14ac:dyDescent="0.35">
      <c r="A26" t="s">
        <v>62</v>
      </c>
      <c r="B26" t="s">
        <v>43</v>
      </c>
      <c r="C26" t="s">
        <v>63</v>
      </c>
      <c r="D26" t="s">
        <v>19</v>
      </c>
      <c r="E26" t="s">
        <v>20</v>
      </c>
      <c r="F26" t="s">
        <v>64</v>
      </c>
      <c r="G26" t="s">
        <v>25</v>
      </c>
      <c r="H26" t="b">
        <v>1</v>
      </c>
      <c r="I26">
        <v>10</v>
      </c>
      <c r="J26">
        <v>44.9</v>
      </c>
      <c r="K26">
        <v>5</v>
      </c>
      <c r="L26">
        <v>3526.4428819444402</v>
      </c>
      <c r="M26">
        <v>0.67118787372048505</v>
      </c>
      <c r="N26">
        <v>3526.4428819444402</v>
      </c>
      <c r="O26">
        <v>0.67118787372048505</v>
      </c>
      <c r="P26" s="1" t="s">
        <v>23</v>
      </c>
    </row>
    <row r="27" spans="1:16" ht="29" x14ac:dyDescent="0.35">
      <c r="A27" t="s">
        <v>65</v>
      </c>
      <c r="B27" t="s">
        <v>43</v>
      </c>
      <c r="C27" t="s">
        <v>63</v>
      </c>
      <c r="D27" t="s">
        <v>19</v>
      </c>
      <c r="E27" t="s">
        <v>20</v>
      </c>
      <c r="F27" t="s">
        <v>64</v>
      </c>
      <c r="G27" t="s">
        <v>22</v>
      </c>
      <c r="H27" t="b">
        <v>1</v>
      </c>
      <c r="I27">
        <v>10</v>
      </c>
      <c r="J27">
        <v>32</v>
      </c>
      <c r="L27">
        <v>301.59333333333302</v>
      </c>
      <c r="M27">
        <v>2.1653970483129201E-2</v>
      </c>
      <c r="N27">
        <v>301.59333333333302</v>
      </c>
      <c r="O27">
        <v>2.1653970483129201E-2</v>
      </c>
      <c r="P27" s="1" t="s">
        <v>23</v>
      </c>
    </row>
    <row r="28" spans="1:16" x14ac:dyDescent="0.35">
      <c r="A28" t="s">
        <v>66</v>
      </c>
      <c r="B28" t="s">
        <v>43</v>
      </c>
      <c r="C28" t="s">
        <v>63</v>
      </c>
      <c r="D28" t="s">
        <v>19</v>
      </c>
      <c r="E28" t="s">
        <v>20</v>
      </c>
      <c r="F28" t="s">
        <v>64</v>
      </c>
      <c r="G28" t="s">
        <v>45</v>
      </c>
      <c r="H28" t="b">
        <v>1</v>
      </c>
      <c r="I28">
        <v>10</v>
      </c>
      <c r="J28">
        <v>10</v>
      </c>
      <c r="L28">
        <v>31.415972222222202</v>
      </c>
      <c r="M28">
        <v>1.16239097222222E-2</v>
      </c>
      <c r="N28">
        <v>31.415972222222202</v>
      </c>
      <c r="O28">
        <v>1.16239097222222E-2</v>
      </c>
    </row>
    <row r="29" spans="1:16" x14ac:dyDescent="0.35">
      <c r="A29" t="s">
        <v>67</v>
      </c>
      <c r="B29" t="s">
        <v>43</v>
      </c>
      <c r="C29" t="s">
        <v>63</v>
      </c>
      <c r="D29" t="s">
        <v>19</v>
      </c>
      <c r="E29" t="s">
        <v>20</v>
      </c>
      <c r="F29" t="s">
        <v>64</v>
      </c>
      <c r="G29" t="s">
        <v>29</v>
      </c>
      <c r="H29" t="b">
        <v>1</v>
      </c>
      <c r="I29">
        <v>10</v>
      </c>
      <c r="J29">
        <v>2.5</v>
      </c>
      <c r="L29">
        <v>15.707986111111101</v>
      </c>
      <c r="M29">
        <v>6.1261145833333298E-4</v>
      </c>
      <c r="N29">
        <v>15.707986111111101</v>
      </c>
      <c r="O29">
        <v>6.1261145833333298E-4</v>
      </c>
    </row>
    <row r="30" spans="1:16" ht="29" x14ac:dyDescent="0.35">
      <c r="A30" t="s">
        <v>68</v>
      </c>
      <c r="B30" t="s">
        <v>43</v>
      </c>
      <c r="C30" t="s">
        <v>69</v>
      </c>
      <c r="D30" t="s">
        <v>19</v>
      </c>
      <c r="E30" t="s">
        <v>20</v>
      </c>
      <c r="F30" t="s">
        <v>21</v>
      </c>
      <c r="G30" t="s">
        <v>25</v>
      </c>
      <c r="H30" t="b">
        <v>1</v>
      </c>
      <c r="I30">
        <v>10</v>
      </c>
      <c r="J30">
        <v>49.4</v>
      </c>
      <c r="L30">
        <v>98.8</v>
      </c>
      <c r="M30">
        <v>1.8804603999999999E-2</v>
      </c>
      <c r="N30">
        <v>98.8</v>
      </c>
      <c r="O30">
        <v>1.8804603999999999E-2</v>
      </c>
      <c r="P30" s="1" t="s">
        <v>23</v>
      </c>
    </row>
    <row r="31" spans="1:16" x14ac:dyDescent="0.35">
      <c r="A31" t="s">
        <v>70</v>
      </c>
      <c r="B31" t="s">
        <v>43</v>
      </c>
      <c r="C31" t="s">
        <v>69</v>
      </c>
      <c r="D31" t="s">
        <v>19</v>
      </c>
      <c r="E31" t="s">
        <v>20</v>
      </c>
      <c r="F31" t="s">
        <v>21</v>
      </c>
      <c r="G31" t="s">
        <v>36</v>
      </c>
      <c r="H31" t="b">
        <v>1</v>
      </c>
      <c r="I31">
        <v>10</v>
      </c>
      <c r="J31">
        <v>258</v>
      </c>
      <c r="L31">
        <v>51.6</v>
      </c>
      <c r="M31">
        <v>0.13955219999999999</v>
      </c>
      <c r="N31">
        <v>51.6</v>
      </c>
      <c r="O31">
        <v>0.13955219999999999</v>
      </c>
    </row>
    <row r="32" spans="1:16" x14ac:dyDescent="0.35">
      <c r="A32" t="s">
        <v>71</v>
      </c>
      <c r="B32" t="s">
        <v>43</v>
      </c>
      <c r="C32" t="s">
        <v>69</v>
      </c>
      <c r="D32" t="s">
        <v>19</v>
      </c>
      <c r="E32" t="s">
        <v>20</v>
      </c>
      <c r="F32" t="s">
        <v>21</v>
      </c>
      <c r="G32" t="s">
        <v>54</v>
      </c>
      <c r="H32" t="b">
        <v>1</v>
      </c>
      <c r="I32">
        <v>10</v>
      </c>
      <c r="J32">
        <v>48</v>
      </c>
      <c r="L32">
        <v>4.8</v>
      </c>
      <c r="M32">
        <v>5.2800000000000004E-4</v>
      </c>
      <c r="N32">
        <v>4.8</v>
      </c>
      <c r="O32">
        <v>5.2800000000000004E-4</v>
      </c>
    </row>
    <row r="33" spans="1:16" x14ac:dyDescent="0.35">
      <c r="A33" t="s">
        <v>72</v>
      </c>
      <c r="B33" t="s">
        <v>43</v>
      </c>
      <c r="C33" t="s">
        <v>73</v>
      </c>
      <c r="D33" t="s">
        <v>19</v>
      </c>
      <c r="E33" t="s">
        <v>20</v>
      </c>
      <c r="F33" t="s">
        <v>21</v>
      </c>
      <c r="G33" t="s">
        <v>45</v>
      </c>
      <c r="H33" t="b">
        <v>1</v>
      </c>
      <c r="I33">
        <v>10</v>
      </c>
      <c r="J33">
        <v>13.8571428571429</v>
      </c>
      <c r="L33">
        <v>9.6999999999999993</v>
      </c>
      <c r="M33">
        <v>3.5890000000000002E-3</v>
      </c>
      <c r="N33">
        <v>9.6999999999999993</v>
      </c>
      <c r="O33">
        <v>3.5890000000000002E-3</v>
      </c>
    </row>
    <row r="34" spans="1:16" ht="29" x14ac:dyDescent="0.35">
      <c r="A34" t="s">
        <v>74</v>
      </c>
      <c r="B34" t="s">
        <v>43</v>
      </c>
      <c r="C34" t="s">
        <v>73</v>
      </c>
      <c r="D34" t="s">
        <v>19</v>
      </c>
      <c r="E34" t="s">
        <v>20</v>
      </c>
      <c r="F34" t="s">
        <v>21</v>
      </c>
      <c r="G34" t="s">
        <v>25</v>
      </c>
      <c r="H34" t="b">
        <v>1</v>
      </c>
      <c r="I34">
        <v>10</v>
      </c>
      <c r="J34">
        <v>43.75</v>
      </c>
      <c r="K34">
        <v>30</v>
      </c>
      <c r="L34">
        <v>218.75</v>
      </c>
      <c r="M34">
        <v>4.1634687500000003E-2</v>
      </c>
      <c r="N34">
        <v>218.75</v>
      </c>
      <c r="O34">
        <v>4.1634687500000003E-2</v>
      </c>
      <c r="P34" s="1" t="s">
        <v>23</v>
      </c>
    </row>
    <row r="35" spans="1:16" x14ac:dyDescent="0.35">
      <c r="A35" t="s">
        <v>75</v>
      </c>
      <c r="B35" t="s">
        <v>43</v>
      </c>
      <c r="C35" t="s">
        <v>73</v>
      </c>
      <c r="D35" t="s">
        <v>19</v>
      </c>
      <c r="E35" t="s">
        <v>20</v>
      </c>
      <c r="F35" t="s">
        <v>21</v>
      </c>
      <c r="G35" t="s">
        <v>54</v>
      </c>
      <c r="H35" t="b">
        <v>1</v>
      </c>
      <c r="I35">
        <v>10</v>
      </c>
      <c r="J35">
        <v>34.5</v>
      </c>
      <c r="L35">
        <v>6.9</v>
      </c>
      <c r="M35">
        <v>7.5900000000000002E-4</v>
      </c>
      <c r="N35">
        <v>6.9</v>
      </c>
      <c r="O35">
        <v>7.5900000000000002E-4</v>
      </c>
    </row>
    <row r="36" spans="1:16" x14ac:dyDescent="0.35">
      <c r="A36" t="s">
        <v>76</v>
      </c>
      <c r="B36" t="s">
        <v>43</v>
      </c>
      <c r="C36" t="s">
        <v>73</v>
      </c>
      <c r="D36" t="s">
        <v>19</v>
      </c>
      <c r="E36" t="s">
        <v>20</v>
      </c>
      <c r="F36" t="s">
        <v>21</v>
      </c>
      <c r="G36" t="s">
        <v>60</v>
      </c>
      <c r="H36" t="b">
        <v>1</v>
      </c>
      <c r="I36">
        <v>10</v>
      </c>
      <c r="J36">
        <v>13</v>
      </c>
      <c r="L36">
        <v>2.6</v>
      </c>
      <c r="M36">
        <v>1.496664E-3</v>
      </c>
      <c r="N36">
        <v>2.6</v>
      </c>
      <c r="O36">
        <v>1.496664E-3</v>
      </c>
    </row>
    <row r="37" spans="1:16" x14ac:dyDescent="0.35">
      <c r="A37" t="s">
        <v>77</v>
      </c>
      <c r="B37" t="s">
        <v>43</v>
      </c>
      <c r="C37" t="s">
        <v>73</v>
      </c>
      <c r="D37" t="s">
        <v>19</v>
      </c>
      <c r="E37" t="s">
        <v>20</v>
      </c>
      <c r="F37" t="s">
        <v>21</v>
      </c>
      <c r="G37" t="s">
        <v>29</v>
      </c>
      <c r="H37" t="b">
        <v>1</v>
      </c>
      <c r="I37">
        <v>10</v>
      </c>
      <c r="J37">
        <v>4</v>
      </c>
      <c r="L37">
        <v>0.4</v>
      </c>
      <c r="M37">
        <v>1.56E-5</v>
      </c>
      <c r="N37">
        <v>0.4</v>
      </c>
      <c r="O37">
        <v>1.56E-5</v>
      </c>
    </row>
    <row r="38" spans="1:16" x14ac:dyDescent="0.35">
      <c r="A38" t="s">
        <v>78</v>
      </c>
      <c r="B38" t="s">
        <v>43</v>
      </c>
      <c r="C38" t="s">
        <v>73</v>
      </c>
      <c r="D38" t="s">
        <v>19</v>
      </c>
      <c r="E38" t="s">
        <v>20</v>
      </c>
      <c r="F38" t="s">
        <v>21</v>
      </c>
      <c r="G38" t="s">
        <v>36</v>
      </c>
      <c r="H38" t="b">
        <v>1</v>
      </c>
      <c r="I38">
        <v>10</v>
      </c>
      <c r="J38">
        <v>35.5</v>
      </c>
      <c r="L38">
        <v>7.1</v>
      </c>
      <c r="M38">
        <v>1.9201949999999999E-2</v>
      </c>
      <c r="N38">
        <v>7.1</v>
      </c>
      <c r="O38">
        <v>1.9201949999999999E-2</v>
      </c>
    </row>
    <row r="39" spans="1:16" x14ac:dyDescent="0.35">
      <c r="A39" t="s">
        <v>79</v>
      </c>
      <c r="B39" t="s">
        <v>43</v>
      </c>
      <c r="C39" t="s">
        <v>73</v>
      </c>
      <c r="D39" t="s">
        <v>19</v>
      </c>
      <c r="E39" t="s">
        <v>20</v>
      </c>
      <c r="F39" t="s">
        <v>21</v>
      </c>
      <c r="G39" t="s">
        <v>80</v>
      </c>
      <c r="H39" t="b">
        <v>1</v>
      </c>
      <c r="I39">
        <v>10</v>
      </c>
      <c r="J39">
        <v>18.5</v>
      </c>
      <c r="L39">
        <v>3.7</v>
      </c>
      <c r="M39">
        <v>8.1769999999999998E-4</v>
      </c>
      <c r="N39">
        <v>3.7</v>
      </c>
      <c r="O39">
        <v>8.1769999999999998E-4</v>
      </c>
    </row>
    <row r="40" spans="1:16" ht="29" x14ac:dyDescent="0.35">
      <c r="A40" t="s">
        <v>81</v>
      </c>
      <c r="B40" t="s">
        <v>82</v>
      </c>
      <c r="C40" t="s">
        <v>83</v>
      </c>
      <c r="D40" t="s">
        <v>19</v>
      </c>
      <c r="E40" t="s">
        <v>20</v>
      </c>
      <c r="F40" t="s">
        <v>64</v>
      </c>
      <c r="G40" t="s">
        <v>25</v>
      </c>
      <c r="H40" t="b">
        <v>1</v>
      </c>
      <c r="I40">
        <v>10</v>
      </c>
      <c r="J40">
        <v>41.142857142857103</v>
      </c>
      <c r="L40">
        <v>1809.56</v>
      </c>
      <c r="M40">
        <v>0.34441355480000002</v>
      </c>
      <c r="N40">
        <v>1809.56</v>
      </c>
      <c r="O40">
        <v>0.34441355480000002</v>
      </c>
      <c r="P40" s="1" t="s">
        <v>23</v>
      </c>
    </row>
    <row r="41" spans="1:16" x14ac:dyDescent="0.35">
      <c r="A41" t="s">
        <v>84</v>
      </c>
      <c r="B41" t="s">
        <v>82</v>
      </c>
      <c r="C41" t="s">
        <v>83</v>
      </c>
      <c r="D41" t="s">
        <v>19</v>
      </c>
      <c r="E41" t="s">
        <v>20</v>
      </c>
      <c r="F41" t="s">
        <v>64</v>
      </c>
      <c r="G41" t="s">
        <v>29</v>
      </c>
      <c r="H41" t="b">
        <v>1</v>
      </c>
      <c r="I41">
        <v>10</v>
      </c>
      <c r="J41">
        <v>12</v>
      </c>
      <c r="L41">
        <v>37.699166666666699</v>
      </c>
      <c r="M41">
        <v>1.4702675000000001E-3</v>
      </c>
      <c r="N41">
        <v>37.699166666666699</v>
      </c>
      <c r="O41">
        <v>1.4702675000000001E-3</v>
      </c>
    </row>
    <row r="42" spans="1:16" ht="29" x14ac:dyDescent="0.35">
      <c r="A42" t="s">
        <v>85</v>
      </c>
      <c r="B42" t="s">
        <v>82</v>
      </c>
      <c r="C42" t="s">
        <v>86</v>
      </c>
      <c r="D42" t="s">
        <v>19</v>
      </c>
      <c r="E42" t="s">
        <v>20</v>
      </c>
      <c r="F42" t="s">
        <v>64</v>
      </c>
      <c r="G42" t="s">
        <v>25</v>
      </c>
      <c r="H42" t="b">
        <v>1</v>
      </c>
      <c r="I42">
        <v>10</v>
      </c>
      <c r="J42">
        <v>49.65</v>
      </c>
      <c r="K42">
        <v>92</v>
      </c>
      <c r="L42">
        <v>17469.7938333333</v>
      </c>
      <c r="M42">
        <v>3.32502586029833</v>
      </c>
      <c r="N42">
        <v>17469.7938333333</v>
      </c>
      <c r="O42">
        <v>3.32502586029833</v>
      </c>
      <c r="P42" s="1" t="s">
        <v>23</v>
      </c>
    </row>
    <row r="43" spans="1:16" ht="29" x14ac:dyDescent="0.35">
      <c r="A43" t="s">
        <v>87</v>
      </c>
      <c r="B43" t="s">
        <v>82</v>
      </c>
      <c r="C43" t="s">
        <v>86</v>
      </c>
      <c r="D43" t="s">
        <v>19</v>
      </c>
      <c r="E43" t="s">
        <v>20</v>
      </c>
      <c r="F43" t="s">
        <v>64</v>
      </c>
      <c r="G43" t="s">
        <v>22</v>
      </c>
      <c r="H43" t="b">
        <v>1</v>
      </c>
      <c r="I43">
        <v>10</v>
      </c>
      <c r="J43">
        <v>22.75</v>
      </c>
      <c r="L43">
        <v>285.88534722222198</v>
      </c>
      <c r="M43">
        <v>2.05261595204662E-2</v>
      </c>
      <c r="N43">
        <v>285.88534722222198</v>
      </c>
      <c r="O43">
        <v>2.05261595204662E-2</v>
      </c>
      <c r="P43" s="1" t="s">
        <v>23</v>
      </c>
    </row>
    <row r="44" spans="1:16" x14ac:dyDescent="0.35">
      <c r="A44" t="s">
        <v>88</v>
      </c>
      <c r="B44" t="s">
        <v>82</v>
      </c>
      <c r="C44" t="s">
        <v>86</v>
      </c>
      <c r="D44" t="s">
        <v>19</v>
      </c>
      <c r="E44" t="s">
        <v>20</v>
      </c>
      <c r="F44" t="s">
        <v>64</v>
      </c>
      <c r="G44" t="s">
        <v>29</v>
      </c>
      <c r="H44" t="b">
        <v>1</v>
      </c>
      <c r="I44">
        <v>10</v>
      </c>
      <c r="J44">
        <v>3.5</v>
      </c>
      <c r="L44">
        <v>65.973541666666705</v>
      </c>
      <c r="M44">
        <v>2.5729681250000001E-3</v>
      </c>
      <c r="N44">
        <v>65.973541666666705</v>
      </c>
      <c r="O44">
        <v>2.5729681250000001E-3</v>
      </c>
    </row>
    <row r="45" spans="1:16" ht="29" x14ac:dyDescent="0.35">
      <c r="A45" t="s">
        <v>89</v>
      </c>
      <c r="B45" t="s">
        <v>82</v>
      </c>
      <c r="C45" t="s">
        <v>90</v>
      </c>
      <c r="D45" t="s">
        <v>19</v>
      </c>
      <c r="E45" t="s">
        <v>20</v>
      </c>
      <c r="F45" t="s">
        <v>64</v>
      </c>
      <c r="G45" t="s">
        <v>25</v>
      </c>
      <c r="H45" t="b">
        <v>1</v>
      </c>
      <c r="I45">
        <v>10</v>
      </c>
      <c r="J45">
        <v>41.421052631578902</v>
      </c>
      <c r="L45">
        <v>2472.4370138888899</v>
      </c>
      <c r="M45">
        <v>0.47057893685347202</v>
      </c>
      <c r="N45">
        <v>2472.4370138888899</v>
      </c>
      <c r="O45">
        <v>0.47057893685347202</v>
      </c>
      <c r="P45" s="1" t="s">
        <v>23</v>
      </c>
    </row>
    <row r="46" spans="1:16" x14ac:dyDescent="0.35">
      <c r="A46" t="s">
        <v>91</v>
      </c>
      <c r="B46" t="s">
        <v>82</v>
      </c>
      <c r="C46" t="s">
        <v>90</v>
      </c>
      <c r="D46" t="s">
        <v>19</v>
      </c>
      <c r="E46" t="s">
        <v>20</v>
      </c>
      <c r="F46" t="s">
        <v>64</v>
      </c>
      <c r="G46" t="s">
        <v>29</v>
      </c>
      <c r="H46" t="b">
        <v>1</v>
      </c>
      <c r="I46">
        <v>10</v>
      </c>
      <c r="J46">
        <v>7.25</v>
      </c>
      <c r="L46">
        <v>91.106319444444395</v>
      </c>
      <c r="M46">
        <v>3.5531464583333301E-3</v>
      </c>
      <c r="N46">
        <v>91.106319444444395</v>
      </c>
      <c r="O46">
        <v>3.5531464583333301E-3</v>
      </c>
    </row>
    <row r="47" spans="1:16" ht="29" x14ac:dyDescent="0.35">
      <c r="A47" t="s">
        <v>92</v>
      </c>
      <c r="B47" t="s">
        <v>82</v>
      </c>
      <c r="C47" t="s">
        <v>93</v>
      </c>
      <c r="D47" t="s">
        <v>19</v>
      </c>
      <c r="E47" t="s">
        <v>20</v>
      </c>
      <c r="F47" t="s">
        <v>64</v>
      </c>
      <c r="G47" t="s">
        <v>25</v>
      </c>
      <c r="H47" t="b">
        <v>1</v>
      </c>
      <c r="I47">
        <v>10</v>
      </c>
      <c r="J47">
        <v>46.2</v>
      </c>
      <c r="K47">
        <v>67</v>
      </c>
      <c r="L47">
        <v>12627.335875000001</v>
      </c>
      <c r="M47">
        <v>2.40336083708875</v>
      </c>
      <c r="N47">
        <v>12627.335875000001</v>
      </c>
      <c r="O47">
        <v>2.40336083708875</v>
      </c>
      <c r="P47" s="1" t="s">
        <v>23</v>
      </c>
    </row>
    <row r="48" spans="1:16" ht="29" x14ac:dyDescent="0.35">
      <c r="A48" t="s">
        <v>94</v>
      </c>
      <c r="B48" t="s">
        <v>82</v>
      </c>
      <c r="C48" t="s">
        <v>93</v>
      </c>
      <c r="D48" t="s">
        <v>19</v>
      </c>
      <c r="E48" t="s">
        <v>20</v>
      </c>
      <c r="F48" t="s">
        <v>64</v>
      </c>
      <c r="G48" t="s">
        <v>22</v>
      </c>
      <c r="H48" t="b">
        <v>1</v>
      </c>
      <c r="I48">
        <v>10</v>
      </c>
      <c r="J48">
        <v>21.5</v>
      </c>
      <c r="L48">
        <v>270.177361111111</v>
      </c>
      <c r="M48">
        <v>1.9398348557803199E-2</v>
      </c>
      <c r="N48">
        <v>270.177361111111</v>
      </c>
      <c r="O48">
        <v>1.9398348557803199E-2</v>
      </c>
      <c r="P48" s="1" t="s">
        <v>23</v>
      </c>
    </row>
    <row r="49" spans="1:16" x14ac:dyDescent="0.35">
      <c r="A49" t="s">
        <v>95</v>
      </c>
      <c r="B49" t="s">
        <v>96</v>
      </c>
      <c r="C49" t="s">
        <v>97</v>
      </c>
      <c r="D49" t="s">
        <v>19</v>
      </c>
      <c r="E49" t="s">
        <v>20</v>
      </c>
      <c r="F49" t="s">
        <v>21</v>
      </c>
      <c r="G49" t="s">
        <v>60</v>
      </c>
      <c r="H49" t="b">
        <v>1</v>
      </c>
      <c r="I49">
        <v>10</v>
      </c>
      <c r="J49">
        <v>14.6</v>
      </c>
      <c r="K49">
        <v>37</v>
      </c>
      <c r="L49">
        <v>83.22</v>
      </c>
      <c r="M49">
        <v>4.7904760800000001E-2</v>
      </c>
      <c r="N49">
        <v>83.22</v>
      </c>
      <c r="O49">
        <v>4.7904760800000001E-2</v>
      </c>
    </row>
    <row r="50" spans="1:16" x14ac:dyDescent="0.35">
      <c r="A50" t="s">
        <v>98</v>
      </c>
      <c r="B50" t="s">
        <v>96</v>
      </c>
      <c r="C50" t="s">
        <v>97</v>
      </c>
      <c r="D50" t="s">
        <v>19</v>
      </c>
      <c r="E50" t="s">
        <v>20</v>
      </c>
      <c r="F50" t="s">
        <v>21</v>
      </c>
      <c r="G50" t="s">
        <v>36</v>
      </c>
      <c r="H50" t="b">
        <v>1</v>
      </c>
      <c r="I50">
        <v>10</v>
      </c>
      <c r="J50">
        <v>80</v>
      </c>
      <c r="L50">
        <v>8</v>
      </c>
      <c r="M50">
        <v>2.1635999999999999E-2</v>
      </c>
      <c r="N50">
        <v>8</v>
      </c>
      <c r="O50">
        <v>2.1635999999999999E-2</v>
      </c>
    </row>
    <row r="51" spans="1:16" x14ac:dyDescent="0.35">
      <c r="A51" t="s">
        <v>99</v>
      </c>
      <c r="B51" t="s">
        <v>96</v>
      </c>
      <c r="C51" t="s">
        <v>97</v>
      </c>
      <c r="D51" t="s">
        <v>19</v>
      </c>
      <c r="E51" t="s">
        <v>20</v>
      </c>
      <c r="F51" t="s">
        <v>21</v>
      </c>
      <c r="G51" t="s">
        <v>100</v>
      </c>
      <c r="H51" t="b">
        <v>1</v>
      </c>
      <c r="I51">
        <v>10</v>
      </c>
      <c r="J51">
        <v>405</v>
      </c>
      <c r="L51">
        <v>81</v>
      </c>
      <c r="M51">
        <v>0</v>
      </c>
      <c r="N51">
        <v>81</v>
      </c>
      <c r="O51">
        <v>0</v>
      </c>
    </row>
    <row r="52" spans="1:16" x14ac:dyDescent="0.35">
      <c r="A52" t="s">
        <v>101</v>
      </c>
      <c r="B52" t="s">
        <v>96</v>
      </c>
      <c r="C52" t="s">
        <v>97</v>
      </c>
      <c r="D52" t="s">
        <v>19</v>
      </c>
      <c r="E52" t="s">
        <v>20</v>
      </c>
      <c r="F52" t="s">
        <v>21</v>
      </c>
      <c r="G52" t="s">
        <v>31</v>
      </c>
      <c r="H52" t="b">
        <v>1</v>
      </c>
      <c r="I52">
        <v>10</v>
      </c>
      <c r="J52">
        <v>19.5</v>
      </c>
      <c r="L52">
        <v>7.8</v>
      </c>
      <c r="M52">
        <v>1.482E-3</v>
      </c>
      <c r="N52">
        <v>7.8</v>
      </c>
      <c r="O52">
        <v>1.482E-3</v>
      </c>
    </row>
    <row r="53" spans="1:16" x14ac:dyDescent="0.35">
      <c r="A53" t="s">
        <v>102</v>
      </c>
      <c r="B53" t="s">
        <v>96</v>
      </c>
      <c r="C53" t="s">
        <v>97</v>
      </c>
      <c r="D53" t="s">
        <v>19</v>
      </c>
      <c r="E53" t="s">
        <v>20</v>
      </c>
      <c r="F53" t="s">
        <v>21</v>
      </c>
      <c r="G53" t="s">
        <v>54</v>
      </c>
      <c r="H53" t="b">
        <v>1</v>
      </c>
      <c r="I53">
        <v>10</v>
      </c>
      <c r="J53">
        <v>18.6666666666667</v>
      </c>
      <c r="L53">
        <v>11.2</v>
      </c>
      <c r="M53">
        <v>1.232E-3</v>
      </c>
      <c r="N53">
        <v>11.2</v>
      </c>
      <c r="O53">
        <v>1.232E-3</v>
      </c>
    </row>
    <row r="54" spans="1:16" ht="29" x14ac:dyDescent="0.35">
      <c r="A54" t="s">
        <v>103</v>
      </c>
      <c r="B54" t="s">
        <v>96</v>
      </c>
      <c r="C54" t="s">
        <v>97</v>
      </c>
      <c r="D54" t="s">
        <v>19</v>
      </c>
      <c r="E54" t="s">
        <v>20</v>
      </c>
      <c r="F54" t="s">
        <v>21</v>
      </c>
      <c r="G54" t="s">
        <v>22</v>
      </c>
      <c r="H54" t="b">
        <v>1</v>
      </c>
      <c r="I54">
        <v>10</v>
      </c>
      <c r="J54">
        <v>28</v>
      </c>
      <c r="L54">
        <v>2.8</v>
      </c>
      <c r="M54">
        <v>2.01035999976E-4</v>
      </c>
      <c r="N54">
        <v>2.8</v>
      </c>
      <c r="O54">
        <v>2.01035999976E-4</v>
      </c>
      <c r="P54" s="1" t="s">
        <v>23</v>
      </c>
    </row>
    <row r="55" spans="1:16" x14ac:dyDescent="0.35">
      <c r="A55" t="s">
        <v>104</v>
      </c>
      <c r="B55" t="s">
        <v>96</v>
      </c>
      <c r="C55" t="s">
        <v>97</v>
      </c>
      <c r="D55" t="s">
        <v>19</v>
      </c>
      <c r="E55" t="s">
        <v>20</v>
      </c>
      <c r="F55" t="s">
        <v>21</v>
      </c>
      <c r="G55" t="s">
        <v>45</v>
      </c>
      <c r="H55" t="b">
        <v>1</v>
      </c>
      <c r="I55">
        <v>10</v>
      </c>
      <c r="J55">
        <v>15.6</v>
      </c>
      <c r="L55">
        <v>7.8</v>
      </c>
      <c r="M55">
        <v>2.8860000000000001E-3</v>
      </c>
      <c r="N55">
        <v>7.8</v>
      </c>
      <c r="O55">
        <v>2.8860000000000001E-3</v>
      </c>
    </row>
    <row r="56" spans="1:16" ht="29" x14ac:dyDescent="0.35">
      <c r="A56" t="s">
        <v>105</v>
      </c>
      <c r="B56" t="s">
        <v>17</v>
      </c>
      <c r="C56" t="s">
        <v>18</v>
      </c>
      <c r="D56" t="s">
        <v>106</v>
      </c>
      <c r="E56" t="s">
        <v>20</v>
      </c>
      <c r="F56" t="s">
        <v>21</v>
      </c>
      <c r="G56" t="s">
        <v>22</v>
      </c>
      <c r="H56" t="b">
        <v>1</v>
      </c>
      <c r="I56">
        <v>10</v>
      </c>
      <c r="J56">
        <v>39.85</v>
      </c>
      <c r="K56">
        <v>43</v>
      </c>
      <c r="L56">
        <v>251.05500000000001</v>
      </c>
      <c r="M56">
        <v>1.80253903478481E-2</v>
      </c>
      <c r="N56">
        <v>251.05500000000001</v>
      </c>
      <c r="O56">
        <v>1.80253903478481E-2</v>
      </c>
      <c r="P56" s="1" t="s">
        <v>23</v>
      </c>
    </row>
    <row r="57" spans="1:16" x14ac:dyDescent="0.35">
      <c r="A57" t="s">
        <v>107</v>
      </c>
      <c r="B57" t="s">
        <v>17</v>
      </c>
      <c r="C57" t="s">
        <v>18</v>
      </c>
      <c r="D57" t="s">
        <v>106</v>
      </c>
      <c r="E57" t="s">
        <v>20</v>
      </c>
      <c r="F57" t="s">
        <v>21</v>
      </c>
      <c r="G57" t="s">
        <v>29</v>
      </c>
      <c r="H57" t="b">
        <v>1</v>
      </c>
      <c r="I57">
        <v>10</v>
      </c>
      <c r="J57">
        <v>9.3846153846153904</v>
      </c>
      <c r="L57">
        <v>12.2</v>
      </c>
      <c r="M57">
        <v>4.7580000000000002E-4</v>
      </c>
      <c r="N57">
        <v>12.2</v>
      </c>
      <c r="O57">
        <v>4.7580000000000002E-4</v>
      </c>
    </row>
    <row r="58" spans="1:16" x14ac:dyDescent="0.35">
      <c r="A58" t="s">
        <v>108</v>
      </c>
      <c r="B58" t="s">
        <v>17</v>
      </c>
      <c r="C58" t="s">
        <v>18</v>
      </c>
      <c r="D58" t="s">
        <v>106</v>
      </c>
      <c r="E58" t="s">
        <v>20</v>
      </c>
      <c r="F58" t="s">
        <v>21</v>
      </c>
      <c r="G58" t="s">
        <v>80</v>
      </c>
      <c r="H58" t="b">
        <v>1</v>
      </c>
      <c r="I58">
        <v>10</v>
      </c>
      <c r="J58">
        <v>12.5</v>
      </c>
      <c r="L58">
        <v>2.5</v>
      </c>
      <c r="M58">
        <v>5.5250000000000004E-4</v>
      </c>
      <c r="N58">
        <v>2.5</v>
      </c>
      <c r="O58">
        <v>5.5250000000000004E-4</v>
      </c>
    </row>
    <row r="59" spans="1:16" x14ac:dyDescent="0.35">
      <c r="A59" t="s">
        <v>109</v>
      </c>
      <c r="B59" t="s">
        <v>17</v>
      </c>
      <c r="C59" t="s">
        <v>18</v>
      </c>
      <c r="D59" t="s">
        <v>106</v>
      </c>
      <c r="E59" t="s">
        <v>20</v>
      </c>
      <c r="F59" t="s">
        <v>21</v>
      </c>
      <c r="G59" t="s">
        <v>36</v>
      </c>
      <c r="H59" t="b">
        <v>1</v>
      </c>
      <c r="I59">
        <v>10</v>
      </c>
      <c r="J59">
        <v>106.857142857143</v>
      </c>
      <c r="L59">
        <v>74.8</v>
      </c>
      <c r="M59">
        <v>0.20229659999999999</v>
      </c>
      <c r="N59">
        <v>74.8</v>
      </c>
      <c r="O59">
        <v>0.20229659999999999</v>
      </c>
    </row>
    <row r="60" spans="1:16" ht="29" x14ac:dyDescent="0.35">
      <c r="A60" t="s">
        <v>110</v>
      </c>
      <c r="B60" t="s">
        <v>17</v>
      </c>
      <c r="C60" t="s">
        <v>18</v>
      </c>
      <c r="D60" t="s">
        <v>106</v>
      </c>
      <c r="E60" t="s">
        <v>20</v>
      </c>
      <c r="F60" t="s">
        <v>21</v>
      </c>
      <c r="G60" t="s">
        <v>25</v>
      </c>
      <c r="H60" t="b">
        <v>1</v>
      </c>
      <c r="I60">
        <v>10</v>
      </c>
      <c r="J60">
        <v>42</v>
      </c>
      <c r="L60">
        <v>4.2</v>
      </c>
      <c r="M60">
        <v>7.9938600000000002E-4</v>
      </c>
      <c r="N60">
        <v>4.2</v>
      </c>
      <c r="O60">
        <v>7.9938600000000002E-4</v>
      </c>
      <c r="P60" s="1" t="s">
        <v>23</v>
      </c>
    </row>
    <row r="61" spans="1:16" ht="29" x14ac:dyDescent="0.35">
      <c r="A61" t="s">
        <v>111</v>
      </c>
      <c r="B61" t="s">
        <v>17</v>
      </c>
      <c r="C61" t="s">
        <v>33</v>
      </c>
      <c r="D61" t="s">
        <v>106</v>
      </c>
      <c r="E61" t="s">
        <v>20</v>
      </c>
      <c r="F61" t="s">
        <v>21</v>
      </c>
      <c r="G61" t="s">
        <v>22</v>
      </c>
      <c r="H61" t="b">
        <v>1</v>
      </c>
      <c r="I61">
        <v>10</v>
      </c>
      <c r="J61">
        <v>35.2777777777778</v>
      </c>
      <c r="L61">
        <v>63.5</v>
      </c>
      <c r="M61">
        <v>4.5592092851700003E-3</v>
      </c>
      <c r="N61">
        <v>63.5</v>
      </c>
      <c r="O61">
        <v>4.5592092851700003E-3</v>
      </c>
      <c r="P61" s="1" t="s">
        <v>23</v>
      </c>
    </row>
    <row r="62" spans="1:16" x14ac:dyDescent="0.35">
      <c r="A62" t="s">
        <v>112</v>
      </c>
      <c r="B62" t="s">
        <v>17</v>
      </c>
      <c r="C62" t="s">
        <v>33</v>
      </c>
      <c r="D62" t="s">
        <v>106</v>
      </c>
      <c r="E62" t="s">
        <v>20</v>
      </c>
      <c r="F62" t="s">
        <v>21</v>
      </c>
      <c r="G62" t="s">
        <v>80</v>
      </c>
      <c r="H62" t="b">
        <v>1</v>
      </c>
      <c r="I62">
        <v>10</v>
      </c>
      <c r="J62">
        <v>30</v>
      </c>
      <c r="L62">
        <v>3</v>
      </c>
      <c r="M62">
        <v>6.6299999999999996E-4</v>
      </c>
      <c r="N62">
        <v>3</v>
      </c>
      <c r="O62">
        <v>6.6299999999999996E-4</v>
      </c>
    </row>
    <row r="63" spans="1:16" x14ac:dyDescent="0.35">
      <c r="A63" t="s">
        <v>113</v>
      </c>
      <c r="B63" t="s">
        <v>17</v>
      </c>
      <c r="C63" t="s">
        <v>33</v>
      </c>
      <c r="D63" t="s">
        <v>106</v>
      </c>
      <c r="E63" t="s">
        <v>20</v>
      </c>
      <c r="F63" t="s">
        <v>21</v>
      </c>
      <c r="G63" t="s">
        <v>114</v>
      </c>
      <c r="H63" t="b">
        <v>1</v>
      </c>
      <c r="I63">
        <v>10</v>
      </c>
      <c r="J63">
        <v>126.6</v>
      </c>
      <c r="L63">
        <v>63.3</v>
      </c>
      <c r="M63">
        <v>5.908422E-3</v>
      </c>
      <c r="N63">
        <v>63.3</v>
      </c>
      <c r="O63">
        <v>5.908422E-3</v>
      </c>
    </row>
    <row r="64" spans="1:16" x14ac:dyDescent="0.35">
      <c r="A64" t="s">
        <v>115</v>
      </c>
      <c r="B64" t="s">
        <v>17</v>
      </c>
      <c r="C64" t="s">
        <v>33</v>
      </c>
      <c r="D64" t="s">
        <v>106</v>
      </c>
      <c r="E64" t="s">
        <v>20</v>
      </c>
      <c r="F64" t="s">
        <v>21</v>
      </c>
      <c r="G64" t="s">
        <v>36</v>
      </c>
      <c r="H64" t="b">
        <v>1</v>
      </c>
      <c r="I64">
        <v>10</v>
      </c>
      <c r="J64">
        <v>46</v>
      </c>
      <c r="L64">
        <v>36.799999999999997</v>
      </c>
      <c r="M64">
        <v>9.9525600000000006E-2</v>
      </c>
      <c r="N64">
        <v>36.799999999999997</v>
      </c>
      <c r="O64">
        <v>9.9525600000000006E-2</v>
      </c>
    </row>
    <row r="65" spans="1:16" ht="29" x14ac:dyDescent="0.35">
      <c r="A65" t="s">
        <v>116</v>
      </c>
      <c r="B65" t="s">
        <v>17</v>
      </c>
      <c r="C65" t="s">
        <v>33</v>
      </c>
      <c r="D65" t="s">
        <v>106</v>
      </c>
      <c r="E65" t="s">
        <v>20</v>
      </c>
      <c r="F65" t="s">
        <v>21</v>
      </c>
      <c r="G65" t="s">
        <v>25</v>
      </c>
      <c r="H65" t="b">
        <v>1</v>
      </c>
      <c r="I65">
        <v>10</v>
      </c>
      <c r="J65">
        <v>19</v>
      </c>
      <c r="L65">
        <v>3.8</v>
      </c>
      <c r="M65">
        <v>7.23254E-4</v>
      </c>
      <c r="N65">
        <v>3.8</v>
      </c>
      <c r="O65">
        <v>7.23254E-4</v>
      </c>
      <c r="P65" s="1" t="s">
        <v>23</v>
      </c>
    </row>
    <row r="66" spans="1:16" ht="29" x14ac:dyDescent="0.35">
      <c r="A66" t="s">
        <v>117</v>
      </c>
      <c r="B66" t="s">
        <v>43</v>
      </c>
      <c r="C66" t="s">
        <v>44</v>
      </c>
      <c r="D66" t="s">
        <v>106</v>
      </c>
      <c r="E66" t="s">
        <v>20</v>
      </c>
      <c r="F66" t="s">
        <v>21</v>
      </c>
      <c r="G66" t="s">
        <v>25</v>
      </c>
      <c r="H66" t="b">
        <v>1</v>
      </c>
      <c r="I66">
        <v>10</v>
      </c>
      <c r="J66">
        <v>46.846153846153797</v>
      </c>
      <c r="L66">
        <v>60.9</v>
      </c>
      <c r="M66">
        <v>1.1591097E-2</v>
      </c>
      <c r="N66">
        <v>60.9</v>
      </c>
      <c r="O66">
        <v>1.1591097E-2</v>
      </c>
      <c r="P66" s="1" t="s">
        <v>23</v>
      </c>
    </row>
    <row r="67" spans="1:16" x14ac:dyDescent="0.35">
      <c r="A67" t="s">
        <v>118</v>
      </c>
      <c r="B67" t="s">
        <v>43</v>
      </c>
      <c r="C67" t="s">
        <v>44</v>
      </c>
      <c r="D67" t="s">
        <v>106</v>
      </c>
      <c r="E67" t="s">
        <v>20</v>
      </c>
      <c r="F67" t="s">
        <v>21</v>
      </c>
      <c r="G67" t="s">
        <v>45</v>
      </c>
      <c r="H67" t="b">
        <v>1</v>
      </c>
      <c r="I67">
        <v>10</v>
      </c>
      <c r="J67">
        <v>15</v>
      </c>
      <c r="L67">
        <v>18</v>
      </c>
      <c r="M67">
        <v>6.6600000000000001E-3</v>
      </c>
      <c r="N67">
        <v>18</v>
      </c>
      <c r="O67">
        <v>6.6600000000000001E-3</v>
      </c>
    </row>
    <row r="68" spans="1:16" ht="29" x14ac:dyDescent="0.35">
      <c r="A68" t="s">
        <v>119</v>
      </c>
      <c r="B68" t="s">
        <v>43</v>
      </c>
      <c r="C68" t="s">
        <v>44</v>
      </c>
      <c r="D68" t="s">
        <v>106</v>
      </c>
      <c r="E68" t="s">
        <v>20</v>
      </c>
      <c r="F68" t="s">
        <v>21</v>
      </c>
      <c r="G68" s="1" t="s">
        <v>49</v>
      </c>
      <c r="H68" t="b">
        <v>0</v>
      </c>
      <c r="I68">
        <v>10</v>
      </c>
      <c r="J68">
        <v>31</v>
      </c>
      <c r="L68">
        <v>6.2</v>
      </c>
      <c r="M68">
        <v>2.7899999999999999E-3</v>
      </c>
      <c r="N68">
        <v>0</v>
      </c>
      <c r="O68">
        <v>0</v>
      </c>
    </row>
    <row r="69" spans="1:16" x14ac:dyDescent="0.35">
      <c r="A69" t="s">
        <v>120</v>
      </c>
      <c r="B69" t="s">
        <v>43</v>
      </c>
      <c r="C69" t="s">
        <v>51</v>
      </c>
      <c r="D69" t="s">
        <v>106</v>
      </c>
      <c r="E69" t="s">
        <v>20</v>
      </c>
      <c r="F69" t="s">
        <v>21</v>
      </c>
      <c r="G69" t="s">
        <v>36</v>
      </c>
      <c r="H69" t="b">
        <v>1</v>
      </c>
      <c r="I69">
        <v>10</v>
      </c>
      <c r="J69">
        <v>180.75</v>
      </c>
      <c r="K69">
        <v>6</v>
      </c>
      <c r="L69">
        <v>469.95</v>
      </c>
      <c r="M69">
        <v>1.270979775</v>
      </c>
      <c r="N69">
        <v>469.95</v>
      </c>
      <c r="O69">
        <v>1.270979775</v>
      </c>
    </row>
    <row r="70" spans="1:16" x14ac:dyDescent="0.35">
      <c r="A70" t="s">
        <v>121</v>
      </c>
      <c r="B70" t="s">
        <v>43</v>
      </c>
      <c r="C70" t="s">
        <v>51</v>
      </c>
      <c r="D70" t="s">
        <v>106</v>
      </c>
      <c r="E70" t="s">
        <v>20</v>
      </c>
      <c r="F70" t="s">
        <v>21</v>
      </c>
      <c r="G70" t="s">
        <v>27</v>
      </c>
      <c r="H70" t="b">
        <v>0</v>
      </c>
      <c r="I70">
        <v>10</v>
      </c>
      <c r="J70">
        <v>34.6666666666667</v>
      </c>
      <c r="L70">
        <v>10.4</v>
      </c>
      <c r="M70">
        <v>2.34E-5</v>
      </c>
      <c r="N70">
        <v>0</v>
      </c>
      <c r="O70">
        <v>0</v>
      </c>
    </row>
    <row r="71" spans="1:16" x14ac:dyDescent="0.35">
      <c r="A71" t="s">
        <v>122</v>
      </c>
      <c r="B71" t="s">
        <v>43</v>
      </c>
      <c r="C71" t="s">
        <v>51</v>
      </c>
      <c r="D71" t="s">
        <v>106</v>
      </c>
      <c r="E71" t="s">
        <v>20</v>
      </c>
      <c r="F71" t="s">
        <v>21</v>
      </c>
      <c r="G71" t="s">
        <v>54</v>
      </c>
      <c r="H71" t="b">
        <v>1</v>
      </c>
      <c r="I71">
        <v>10</v>
      </c>
      <c r="J71">
        <v>22.363636363636399</v>
      </c>
      <c r="L71">
        <v>24.6</v>
      </c>
      <c r="M71">
        <v>2.7060000000000001E-3</v>
      </c>
      <c r="N71">
        <v>24.6</v>
      </c>
      <c r="O71">
        <v>2.7060000000000001E-3</v>
      </c>
    </row>
    <row r="72" spans="1:16" ht="29" x14ac:dyDescent="0.35">
      <c r="A72" t="s">
        <v>123</v>
      </c>
      <c r="B72" t="s">
        <v>43</v>
      </c>
      <c r="C72" t="s">
        <v>51</v>
      </c>
      <c r="D72" t="s">
        <v>106</v>
      </c>
      <c r="E72" t="s">
        <v>20</v>
      </c>
      <c r="F72" t="s">
        <v>21</v>
      </c>
      <c r="G72" t="s">
        <v>25</v>
      </c>
      <c r="H72" t="b">
        <v>1</v>
      </c>
      <c r="I72">
        <v>10</v>
      </c>
      <c r="J72">
        <v>59.368421052631597</v>
      </c>
      <c r="L72">
        <v>112.8</v>
      </c>
      <c r="M72">
        <v>2.1469223999999999E-2</v>
      </c>
      <c r="N72">
        <v>112.8</v>
      </c>
      <c r="O72">
        <v>2.1469223999999999E-2</v>
      </c>
      <c r="P72" s="1" t="s">
        <v>23</v>
      </c>
    </row>
    <row r="73" spans="1:16" x14ac:dyDescent="0.35">
      <c r="A73" t="s">
        <v>124</v>
      </c>
      <c r="B73" t="s">
        <v>43</v>
      </c>
      <c r="C73" t="s">
        <v>51</v>
      </c>
      <c r="D73" t="s">
        <v>106</v>
      </c>
      <c r="E73" t="s">
        <v>20</v>
      </c>
      <c r="F73" t="s">
        <v>21</v>
      </c>
      <c r="G73" t="s">
        <v>100</v>
      </c>
      <c r="H73" t="b">
        <v>1</v>
      </c>
      <c r="I73">
        <v>10</v>
      </c>
      <c r="J73">
        <v>272</v>
      </c>
      <c r="L73">
        <v>27.2</v>
      </c>
      <c r="M73">
        <v>0</v>
      </c>
      <c r="N73">
        <v>27.2</v>
      </c>
      <c r="O73">
        <v>0</v>
      </c>
    </row>
    <row r="74" spans="1:16" x14ac:dyDescent="0.35">
      <c r="A74" t="s">
        <v>125</v>
      </c>
      <c r="B74" t="s">
        <v>43</v>
      </c>
      <c r="C74" t="s">
        <v>51</v>
      </c>
      <c r="D74" t="s">
        <v>106</v>
      </c>
      <c r="E74" t="s">
        <v>20</v>
      </c>
      <c r="F74" t="s">
        <v>21</v>
      </c>
      <c r="G74" t="s">
        <v>29</v>
      </c>
      <c r="H74" t="b">
        <v>1</v>
      </c>
      <c r="I74">
        <v>10</v>
      </c>
      <c r="J74">
        <v>27</v>
      </c>
      <c r="L74">
        <v>2.7</v>
      </c>
      <c r="M74">
        <v>1.053E-4</v>
      </c>
      <c r="N74">
        <v>2.7</v>
      </c>
      <c r="O74">
        <v>1.053E-4</v>
      </c>
    </row>
    <row r="75" spans="1:16" x14ac:dyDescent="0.35">
      <c r="A75" t="s">
        <v>126</v>
      </c>
      <c r="B75" t="s">
        <v>43</v>
      </c>
      <c r="C75" t="s">
        <v>51</v>
      </c>
      <c r="D75" t="s">
        <v>106</v>
      </c>
      <c r="E75" t="s">
        <v>20</v>
      </c>
      <c r="F75" t="s">
        <v>21</v>
      </c>
      <c r="G75" t="s">
        <v>127</v>
      </c>
      <c r="H75" t="b">
        <v>0</v>
      </c>
      <c r="I75">
        <v>10</v>
      </c>
      <c r="J75">
        <v>68</v>
      </c>
      <c r="L75">
        <v>6.8</v>
      </c>
      <c r="M75">
        <v>1.5639999999999999E-5</v>
      </c>
      <c r="N75">
        <v>0</v>
      </c>
      <c r="O75">
        <v>0</v>
      </c>
    </row>
    <row r="76" spans="1:16" ht="29" x14ac:dyDescent="0.35">
      <c r="A76" t="s">
        <v>128</v>
      </c>
      <c r="B76" t="s">
        <v>43</v>
      </c>
      <c r="C76" t="s">
        <v>51</v>
      </c>
      <c r="D76" t="s">
        <v>106</v>
      </c>
      <c r="E76" t="s">
        <v>20</v>
      </c>
      <c r="F76" t="s">
        <v>21</v>
      </c>
      <c r="G76" t="s">
        <v>22</v>
      </c>
      <c r="H76" t="b">
        <v>1</v>
      </c>
      <c r="I76">
        <v>10</v>
      </c>
      <c r="J76">
        <v>306</v>
      </c>
      <c r="L76">
        <v>30.6</v>
      </c>
      <c r="M76">
        <v>2.197036285452E-3</v>
      </c>
      <c r="N76">
        <v>30.6</v>
      </c>
      <c r="O76">
        <v>2.197036285452E-3</v>
      </c>
      <c r="P76" s="1" t="s">
        <v>23</v>
      </c>
    </row>
    <row r="77" spans="1:16" x14ac:dyDescent="0.35">
      <c r="A77" t="s">
        <v>129</v>
      </c>
      <c r="B77" t="s">
        <v>43</v>
      </c>
      <c r="C77" t="s">
        <v>51</v>
      </c>
      <c r="D77" t="s">
        <v>106</v>
      </c>
      <c r="E77" t="s">
        <v>20</v>
      </c>
      <c r="F77" t="s">
        <v>21</v>
      </c>
      <c r="G77" t="s">
        <v>60</v>
      </c>
      <c r="H77" t="b">
        <v>1</v>
      </c>
      <c r="I77">
        <v>10</v>
      </c>
      <c r="J77">
        <v>15</v>
      </c>
      <c r="L77">
        <v>1.5</v>
      </c>
      <c r="M77">
        <v>8.6346000000000003E-4</v>
      </c>
      <c r="N77">
        <v>1.5</v>
      </c>
      <c r="O77">
        <v>8.6346000000000003E-4</v>
      </c>
    </row>
    <row r="78" spans="1:16" x14ac:dyDescent="0.35">
      <c r="A78" t="s">
        <v>130</v>
      </c>
      <c r="B78" t="s">
        <v>43</v>
      </c>
      <c r="C78" t="s">
        <v>51</v>
      </c>
      <c r="D78" t="s">
        <v>106</v>
      </c>
      <c r="E78" t="s">
        <v>20</v>
      </c>
      <c r="F78" t="s">
        <v>21</v>
      </c>
      <c r="G78" t="s">
        <v>45</v>
      </c>
      <c r="H78" t="b">
        <v>1</v>
      </c>
      <c r="I78">
        <v>10</v>
      </c>
      <c r="J78">
        <v>18</v>
      </c>
      <c r="L78">
        <v>1.8</v>
      </c>
      <c r="M78">
        <v>6.6600000000000003E-4</v>
      </c>
      <c r="N78">
        <v>1.8</v>
      </c>
      <c r="O78">
        <v>6.6600000000000003E-4</v>
      </c>
    </row>
    <row r="79" spans="1:16" ht="29" x14ac:dyDescent="0.35">
      <c r="A79" t="s">
        <v>131</v>
      </c>
      <c r="B79" t="s">
        <v>43</v>
      </c>
      <c r="C79" t="s">
        <v>51</v>
      </c>
      <c r="D79" t="s">
        <v>106</v>
      </c>
      <c r="E79" t="s">
        <v>20</v>
      </c>
      <c r="F79" t="s">
        <v>21</v>
      </c>
      <c r="G79" s="1" t="s">
        <v>49</v>
      </c>
      <c r="H79" t="b">
        <v>0</v>
      </c>
      <c r="I79">
        <v>10</v>
      </c>
      <c r="J79">
        <v>36</v>
      </c>
      <c r="L79">
        <v>3.6</v>
      </c>
      <c r="M79">
        <v>1.6199999999999999E-3</v>
      </c>
      <c r="N79">
        <v>0</v>
      </c>
      <c r="O79">
        <v>0</v>
      </c>
    </row>
    <row r="80" spans="1:16" ht="29" x14ac:dyDescent="0.35">
      <c r="A80" t="s">
        <v>132</v>
      </c>
      <c r="B80" t="s">
        <v>43</v>
      </c>
      <c r="C80" t="s">
        <v>63</v>
      </c>
      <c r="D80" t="s">
        <v>106</v>
      </c>
      <c r="E80" t="s">
        <v>20</v>
      </c>
      <c r="F80" t="s">
        <v>21</v>
      </c>
      <c r="G80" t="s">
        <v>25</v>
      </c>
      <c r="H80" t="b">
        <v>1</v>
      </c>
      <c r="I80">
        <v>10</v>
      </c>
      <c r="J80">
        <v>68.8</v>
      </c>
      <c r="K80">
        <v>125</v>
      </c>
      <c r="L80">
        <v>997.6</v>
      </c>
      <c r="M80">
        <v>0.18987320799999999</v>
      </c>
      <c r="N80">
        <v>997.6</v>
      </c>
      <c r="O80">
        <v>0.18987320799999999</v>
      </c>
      <c r="P80" s="1" t="s">
        <v>23</v>
      </c>
    </row>
    <row r="81" spans="1:16" ht="29" x14ac:dyDescent="0.35">
      <c r="A81" t="s">
        <v>133</v>
      </c>
      <c r="B81" t="s">
        <v>43</v>
      </c>
      <c r="C81" t="s">
        <v>63</v>
      </c>
      <c r="D81" t="s">
        <v>106</v>
      </c>
      <c r="E81" t="s">
        <v>20</v>
      </c>
      <c r="F81" t="s">
        <v>21</v>
      </c>
      <c r="G81" t="s">
        <v>22</v>
      </c>
      <c r="H81" t="b">
        <v>1</v>
      </c>
      <c r="I81">
        <v>10</v>
      </c>
      <c r="J81">
        <v>27.5</v>
      </c>
      <c r="L81">
        <v>22</v>
      </c>
      <c r="M81">
        <v>1.5795685712399999E-3</v>
      </c>
      <c r="N81">
        <v>22</v>
      </c>
      <c r="O81">
        <v>1.5795685712399999E-3</v>
      </c>
      <c r="P81" s="1" t="s">
        <v>23</v>
      </c>
    </row>
    <row r="82" spans="1:16" x14ac:dyDescent="0.35">
      <c r="A82" t="s">
        <v>134</v>
      </c>
      <c r="B82" t="s">
        <v>43</v>
      </c>
      <c r="C82" t="s">
        <v>63</v>
      </c>
      <c r="D82" t="s">
        <v>106</v>
      </c>
      <c r="E82" t="s">
        <v>20</v>
      </c>
      <c r="F82" t="s">
        <v>21</v>
      </c>
      <c r="G82" t="s">
        <v>36</v>
      </c>
      <c r="H82" t="b">
        <v>1</v>
      </c>
      <c r="I82">
        <v>10</v>
      </c>
      <c r="J82">
        <v>54</v>
      </c>
      <c r="L82">
        <v>10.8</v>
      </c>
      <c r="M82">
        <v>2.9208600000000001E-2</v>
      </c>
      <c r="N82">
        <v>10.8</v>
      </c>
      <c r="O82">
        <v>2.9208600000000001E-2</v>
      </c>
    </row>
    <row r="83" spans="1:16" x14ac:dyDescent="0.35">
      <c r="A83" t="s">
        <v>135</v>
      </c>
      <c r="B83" t="s">
        <v>43</v>
      </c>
      <c r="C83" t="s">
        <v>69</v>
      </c>
      <c r="D83" t="s">
        <v>106</v>
      </c>
      <c r="E83" t="s">
        <v>20</v>
      </c>
      <c r="F83" t="s">
        <v>21</v>
      </c>
      <c r="G83" t="s">
        <v>45</v>
      </c>
      <c r="H83" t="b">
        <v>1</v>
      </c>
      <c r="I83">
        <v>10</v>
      </c>
      <c r="J83">
        <v>12.5555555555556</v>
      </c>
      <c r="L83">
        <v>11.3</v>
      </c>
      <c r="M83">
        <v>4.1809999999999998E-3</v>
      </c>
      <c r="N83">
        <v>11.3</v>
      </c>
      <c r="O83">
        <v>4.1809999999999998E-3</v>
      </c>
    </row>
    <row r="84" spans="1:16" ht="29" x14ac:dyDescent="0.35">
      <c r="A84" t="s">
        <v>136</v>
      </c>
      <c r="B84" t="s">
        <v>43</v>
      </c>
      <c r="C84" t="s">
        <v>69</v>
      </c>
      <c r="D84" t="s">
        <v>106</v>
      </c>
      <c r="E84" t="s">
        <v>20</v>
      </c>
      <c r="F84" t="s">
        <v>21</v>
      </c>
      <c r="G84" t="s">
        <v>25</v>
      </c>
      <c r="H84" t="b">
        <v>1</v>
      </c>
      <c r="I84">
        <v>10</v>
      </c>
      <c r="J84">
        <v>45.9</v>
      </c>
      <c r="K84">
        <v>25</v>
      </c>
      <c r="L84">
        <v>206.55</v>
      </c>
      <c r="M84">
        <v>3.9312661499999998E-2</v>
      </c>
      <c r="N84">
        <v>206.55</v>
      </c>
      <c r="O84">
        <v>3.9312661499999998E-2</v>
      </c>
      <c r="P84" s="1" t="s">
        <v>23</v>
      </c>
    </row>
    <row r="85" spans="1:16" ht="29" x14ac:dyDescent="0.35">
      <c r="A85" t="s">
        <v>137</v>
      </c>
      <c r="B85" t="s">
        <v>43</v>
      </c>
      <c r="C85" t="s">
        <v>69</v>
      </c>
      <c r="D85" t="s">
        <v>106</v>
      </c>
      <c r="E85" t="s">
        <v>20</v>
      </c>
      <c r="F85" t="s">
        <v>21</v>
      </c>
      <c r="G85" s="1" t="s">
        <v>49</v>
      </c>
      <c r="H85" t="b">
        <v>0</v>
      </c>
      <c r="I85">
        <v>10</v>
      </c>
      <c r="J85">
        <v>21.3333333333333</v>
      </c>
      <c r="L85">
        <v>6.4</v>
      </c>
      <c r="M85">
        <v>2.8800000000000002E-3</v>
      </c>
      <c r="N85">
        <v>0</v>
      </c>
      <c r="O85">
        <v>0</v>
      </c>
    </row>
    <row r="86" spans="1:16" x14ac:dyDescent="0.35">
      <c r="A86" t="s">
        <v>138</v>
      </c>
      <c r="B86" t="s">
        <v>43</v>
      </c>
      <c r="C86" t="s">
        <v>69</v>
      </c>
      <c r="D86" t="s">
        <v>106</v>
      </c>
      <c r="E86" t="s">
        <v>20</v>
      </c>
      <c r="F86" t="s">
        <v>21</v>
      </c>
      <c r="G86" t="s">
        <v>36</v>
      </c>
      <c r="H86" t="b">
        <v>1</v>
      </c>
      <c r="I86">
        <v>10</v>
      </c>
      <c r="J86">
        <v>74</v>
      </c>
      <c r="L86">
        <v>14.8</v>
      </c>
      <c r="M86">
        <v>4.0026600000000002E-2</v>
      </c>
      <c r="N86">
        <v>14.8</v>
      </c>
      <c r="O86">
        <v>4.0026600000000002E-2</v>
      </c>
    </row>
    <row r="87" spans="1:16" x14ac:dyDescent="0.35">
      <c r="A87" t="s">
        <v>139</v>
      </c>
      <c r="B87" t="s">
        <v>43</v>
      </c>
      <c r="C87" t="s">
        <v>73</v>
      </c>
      <c r="D87" t="s">
        <v>106</v>
      </c>
      <c r="E87" t="s">
        <v>20</v>
      </c>
      <c r="F87" t="s">
        <v>21</v>
      </c>
      <c r="G87" t="s">
        <v>45</v>
      </c>
      <c r="H87" t="b">
        <v>1</v>
      </c>
      <c r="I87">
        <v>10</v>
      </c>
      <c r="J87">
        <v>16.466666666666701</v>
      </c>
      <c r="L87">
        <v>24.7</v>
      </c>
      <c r="M87">
        <v>9.1389999999999996E-3</v>
      </c>
      <c r="N87">
        <v>24.7</v>
      </c>
      <c r="O87">
        <v>9.1389999999999996E-3</v>
      </c>
    </row>
    <row r="88" spans="1:16" ht="29" x14ac:dyDescent="0.35">
      <c r="A88" t="s">
        <v>140</v>
      </c>
      <c r="B88" t="s">
        <v>43</v>
      </c>
      <c r="C88" t="s">
        <v>73</v>
      </c>
      <c r="D88" t="s">
        <v>106</v>
      </c>
      <c r="E88" t="s">
        <v>20</v>
      </c>
      <c r="F88" t="s">
        <v>21</v>
      </c>
      <c r="G88" t="s">
        <v>25</v>
      </c>
      <c r="H88" t="b">
        <v>1</v>
      </c>
      <c r="I88">
        <v>10</v>
      </c>
      <c r="J88">
        <v>47.55</v>
      </c>
      <c r="K88">
        <v>37</v>
      </c>
      <c r="L88">
        <v>271.03500000000003</v>
      </c>
      <c r="M88">
        <v>5.1586091549999998E-2</v>
      </c>
      <c r="N88">
        <v>271.03500000000003</v>
      </c>
      <c r="O88">
        <v>5.1586091549999998E-2</v>
      </c>
      <c r="P88" s="1" t="s">
        <v>23</v>
      </c>
    </row>
    <row r="89" spans="1:16" x14ac:dyDescent="0.35">
      <c r="A89" t="s">
        <v>141</v>
      </c>
      <c r="B89" t="s">
        <v>43</v>
      </c>
      <c r="C89" t="s">
        <v>73</v>
      </c>
      <c r="D89" t="s">
        <v>106</v>
      </c>
      <c r="E89" t="s">
        <v>20</v>
      </c>
      <c r="F89" t="s">
        <v>21</v>
      </c>
      <c r="G89" t="s">
        <v>29</v>
      </c>
      <c r="H89" t="b">
        <v>1</v>
      </c>
      <c r="I89">
        <v>10</v>
      </c>
      <c r="J89">
        <v>6</v>
      </c>
      <c r="L89">
        <v>0.6</v>
      </c>
      <c r="M89">
        <v>2.34E-5</v>
      </c>
      <c r="N89">
        <v>0.6</v>
      </c>
      <c r="O89">
        <v>2.34E-5</v>
      </c>
    </row>
    <row r="90" spans="1:16" x14ac:dyDescent="0.35">
      <c r="A90" t="s">
        <v>142</v>
      </c>
      <c r="B90" t="s">
        <v>43</v>
      </c>
      <c r="C90" t="s">
        <v>73</v>
      </c>
      <c r="D90" t="s">
        <v>106</v>
      </c>
      <c r="E90" t="s">
        <v>20</v>
      </c>
      <c r="F90" t="s">
        <v>21</v>
      </c>
      <c r="G90" t="s">
        <v>31</v>
      </c>
      <c r="H90" t="b">
        <v>1</v>
      </c>
      <c r="I90">
        <v>10</v>
      </c>
      <c r="J90">
        <v>14</v>
      </c>
      <c r="L90">
        <v>2.8</v>
      </c>
      <c r="M90">
        <v>5.3200000000000003E-4</v>
      </c>
      <c r="N90">
        <v>2.8</v>
      </c>
      <c r="O90">
        <v>5.3200000000000003E-4</v>
      </c>
    </row>
    <row r="91" spans="1:16" x14ac:dyDescent="0.35">
      <c r="A91" t="s">
        <v>143</v>
      </c>
      <c r="B91" t="s">
        <v>43</v>
      </c>
      <c r="C91" t="s">
        <v>73</v>
      </c>
      <c r="D91" t="s">
        <v>106</v>
      </c>
      <c r="E91" t="s">
        <v>20</v>
      </c>
      <c r="F91" t="s">
        <v>21</v>
      </c>
      <c r="G91" t="s">
        <v>144</v>
      </c>
      <c r="H91" t="b">
        <v>1</v>
      </c>
      <c r="I91">
        <v>10</v>
      </c>
      <c r="J91">
        <v>29</v>
      </c>
      <c r="L91">
        <v>5.8</v>
      </c>
      <c r="M91">
        <v>2.5114E-3</v>
      </c>
      <c r="N91">
        <v>5.8</v>
      </c>
      <c r="O91">
        <v>2.5114E-3</v>
      </c>
    </row>
    <row r="92" spans="1:16" x14ac:dyDescent="0.35">
      <c r="A92" t="s">
        <v>145</v>
      </c>
      <c r="B92" t="s">
        <v>43</v>
      </c>
      <c r="C92" t="s">
        <v>73</v>
      </c>
      <c r="D92" t="s">
        <v>106</v>
      </c>
      <c r="E92" t="s">
        <v>20</v>
      </c>
      <c r="F92" t="s">
        <v>21</v>
      </c>
      <c r="G92" t="s">
        <v>27</v>
      </c>
      <c r="H92" t="b">
        <v>0</v>
      </c>
      <c r="I92">
        <v>10</v>
      </c>
      <c r="J92">
        <v>59.3333333333333</v>
      </c>
      <c r="L92">
        <v>17.8</v>
      </c>
      <c r="M92">
        <v>4.0049999999999998E-5</v>
      </c>
      <c r="N92">
        <v>0</v>
      </c>
      <c r="O92">
        <v>0</v>
      </c>
    </row>
    <row r="93" spans="1:16" ht="29" x14ac:dyDescent="0.35">
      <c r="A93" t="s">
        <v>146</v>
      </c>
      <c r="B93" t="s">
        <v>82</v>
      </c>
      <c r="C93" t="s">
        <v>83</v>
      </c>
      <c r="D93" t="s">
        <v>106</v>
      </c>
      <c r="E93" t="s">
        <v>20</v>
      </c>
      <c r="F93" t="s">
        <v>64</v>
      </c>
      <c r="G93" t="s">
        <v>25</v>
      </c>
      <c r="H93" t="b">
        <v>1</v>
      </c>
      <c r="I93">
        <v>10</v>
      </c>
      <c r="J93">
        <v>54.1</v>
      </c>
      <c r="K93">
        <v>23</v>
      </c>
      <c r="L93">
        <v>7308.2976180555597</v>
      </c>
      <c r="M93">
        <v>1.3909882856445099</v>
      </c>
      <c r="N93">
        <v>7308.2976180555597</v>
      </c>
      <c r="O93">
        <v>1.3909882856445099</v>
      </c>
      <c r="P93" s="1" t="s">
        <v>23</v>
      </c>
    </row>
    <row r="94" spans="1:16" ht="29" x14ac:dyDescent="0.35">
      <c r="A94" t="s">
        <v>147</v>
      </c>
      <c r="B94" t="s">
        <v>82</v>
      </c>
      <c r="C94" t="s">
        <v>83</v>
      </c>
      <c r="D94" t="s">
        <v>106</v>
      </c>
      <c r="E94" t="s">
        <v>20</v>
      </c>
      <c r="F94" t="s">
        <v>64</v>
      </c>
      <c r="G94" t="s">
        <v>22</v>
      </c>
      <c r="H94" t="b">
        <v>1</v>
      </c>
      <c r="I94">
        <v>10</v>
      </c>
      <c r="J94">
        <v>35.3333333333333</v>
      </c>
      <c r="L94">
        <v>333.00930555555499</v>
      </c>
      <c r="M94">
        <v>2.3909592408455201E-2</v>
      </c>
      <c r="N94">
        <v>333.00930555555601</v>
      </c>
      <c r="O94">
        <v>2.3909592408455201E-2</v>
      </c>
      <c r="P94" s="1" t="s">
        <v>23</v>
      </c>
    </row>
    <row r="95" spans="1:16" x14ac:dyDescent="0.35">
      <c r="A95" t="s">
        <v>148</v>
      </c>
      <c r="B95" t="s">
        <v>82</v>
      </c>
      <c r="C95" t="s">
        <v>83</v>
      </c>
      <c r="D95" t="s">
        <v>106</v>
      </c>
      <c r="E95" t="s">
        <v>20</v>
      </c>
      <c r="F95" t="s">
        <v>64</v>
      </c>
      <c r="G95" t="s">
        <v>29</v>
      </c>
      <c r="H95" t="b">
        <v>1</v>
      </c>
      <c r="I95">
        <v>10</v>
      </c>
      <c r="J95">
        <v>4</v>
      </c>
      <c r="L95">
        <v>50.265555555555601</v>
      </c>
      <c r="M95">
        <v>1.9603566666666701E-3</v>
      </c>
      <c r="N95">
        <v>50.265555555555601</v>
      </c>
      <c r="O95">
        <v>1.9603566666666701E-3</v>
      </c>
    </row>
    <row r="96" spans="1:16" ht="29" x14ac:dyDescent="0.35">
      <c r="A96" t="s">
        <v>149</v>
      </c>
      <c r="B96" t="s">
        <v>82</v>
      </c>
      <c r="C96" t="s">
        <v>86</v>
      </c>
      <c r="D96" t="s">
        <v>106</v>
      </c>
      <c r="E96" t="s">
        <v>20</v>
      </c>
      <c r="F96" t="s">
        <v>64</v>
      </c>
      <c r="G96" t="s">
        <v>25</v>
      </c>
      <c r="H96" t="b">
        <v>1</v>
      </c>
      <c r="I96">
        <v>10</v>
      </c>
      <c r="J96">
        <v>71.8</v>
      </c>
      <c r="K96">
        <v>17</v>
      </c>
      <c r="L96">
        <v>8345.9671805555608</v>
      </c>
      <c r="M96">
        <v>1.5884879334751401</v>
      </c>
      <c r="N96">
        <v>8345.9671805555608</v>
      </c>
      <c r="O96">
        <v>1.5884879334751401</v>
      </c>
      <c r="P96" s="1" t="s">
        <v>23</v>
      </c>
    </row>
    <row r="97" spans="1:16" x14ac:dyDescent="0.35">
      <c r="A97" t="s">
        <v>150</v>
      </c>
      <c r="B97" t="s">
        <v>82</v>
      </c>
      <c r="C97" t="s">
        <v>86</v>
      </c>
      <c r="D97" t="s">
        <v>106</v>
      </c>
      <c r="E97" t="s">
        <v>20</v>
      </c>
      <c r="F97" t="s">
        <v>64</v>
      </c>
      <c r="G97" t="s">
        <v>57</v>
      </c>
      <c r="H97" t="b">
        <v>0</v>
      </c>
      <c r="I97">
        <v>10</v>
      </c>
      <c r="J97">
        <v>12</v>
      </c>
      <c r="L97">
        <v>37.699166666666699</v>
      </c>
      <c r="M97">
        <v>8.2938166666666699E-4</v>
      </c>
      <c r="N97">
        <v>0</v>
      </c>
      <c r="O97">
        <v>0</v>
      </c>
    </row>
    <row r="98" spans="1:16" x14ac:dyDescent="0.35">
      <c r="A98" t="s">
        <v>151</v>
      </c>
      <c r="B98" t="s">
        <v>82</v>
      </c>
      <c r="C98" t="s">
        <v>86</v>
      </c>
      <c r="D98" t="s">
        <v>106</v>
      </c>
      <c r="E98" t="s">
        <v>20</v>
      </c>
      <c r="F98" t="s">
        <v>64</v>
      </c>
      <c r="G98" t="s">
        <v>29</v>
      </c>
      <c r="H98" t="b">
        <v>1</v>
      </c>
      <c r="I98">
        <v>10</v>
      </c>
      <c r="J98">
        <v>6.3888888888888902</v>
      </c>
      <c r="L98">
        <v>361.28368055555597</v>
      </c>
      <c r="M98">
        <v>1.4090063541666699E-2</v>
      </c>
      <c r="N98">
        <v>361.28368055555597</v>
      </c>
      <c r="O98">
        <v>1.4090063541666699E-2</v>
      </c>
    </row>
    <row r="99" spans="1:16" x14ac:dyDescent="0.35">
      <c r="A99" t="s">
        <v>152</v>
      </c>
      <c r="B99" t="s">
        <v>82</v>
      </c>
      <c r="C99" t="s">
        <v>86</v>
      </c>
      <c r="D99" t="s">
        <v>106</v>
      </c>
      <c r="E99" t="s">
        <v>20</v>
      </c>
      <c r="F99" t="s">
        <v>64</v>
      </c>
      <c r="G99" t="s">
        <v>114</v>
      </c>
      <c r="H99" t="b">
        <v>1</v>
      </c>
      <c r="I99">
        <v>10</v>
      </c>
      <c r="J99">
        <v>24</v>
      </c>
      <c r="L99">
        <v>75.398333333333298</v>
      </c>
      <c r="M99">
        <v>7.0376804333333303E-3</v>
      </c>
      <c r="N99">
        <v>75.398333333333298</v>
      </c>
      <c r="O99">
        <v>7.0376804333333303E-3</v>
      </c>
    </row>
    <row r="100" spans="1:16" ht="29" x14ac:dyDescent="0.35">
      <c r="A100" t="s">
        <v>153</v>
      </c>
      <c r="B100" t="s">
        <v>82</v>
      </c>
      <c r="C100" t="s">
        <v>86</v>
      </c>
      <c r="D100" t="s">
        <v>106</v>
      </c>
      <c r="E100" t="s">
        <v>20</v>
      </c>
      <c r="F100" t="s">
        <v>64</v>
      </c>
      <c r="G100" t="s">
        <v>22</v>
      </c>
      <c r="H100" t="b">
        <v>1</v>
      </c>
      <c r="I100">
        <v>10</v>
      </c>
      <c r="J100">
        <v>32</v>
      </c>
      <c r="L100">
        <v>100.531111111111</v>
      </c>
      <c r="M100">
        <v>7.2179901610430596E-3</v>
      </c>
      <c r="N100">
        <v>100.531111111111</v>
      </c>
      <c r="O100">
        <v>7.2179901610430596E-3</v>
      </c>
      <c r="P100" s="1" t="s">
        <v>23</v>
      </c>
    </row>
    <row r="101" spans="1:16" ht="29" x14ac:dyDescent="0.35">
      <c r="A101" t="s">
        <v>154</v>
      </c>
      <c r="B101" t="s">
        <v>82</v>
      </c>
      <c r="C101" t="s">
        <v>90</v>
      </c>
      <c r="D101" t="s">
        <v>106</v>
      </c>
      <c r="E101" t="s">
        <v>20</v>
      </c>
      <c r="F101" t="s">
        <v>64</v>
      </c>
      <c r="G101" t="s">
        <v>25</v>
      </c>
      <c r="H101" t="b">
        <v>1</v>
      </c>
      <c r="I101">
        <v>10</v>
      </c>
      <c r="J101">
        <v>67.599999999999994</v>
      </c>
      <c r="L101">
        <v>2123.7197222222198</v>
      </c>
      <c r="M101">
        <v>0.40420757473055502</v>
      </c>
      <c r="N101">
        <v>2123.7197222222198</v>
      </c>
      <c r="O101">
        <v>0.40420757473055502</v>
      </c>
      <c r="P101" s="1" t="s">
        <v>23</v>
      </c>
    </row>
    <row r="102" spans="1:16" x14ac:dyDescent="0.35">
      <c r="A102" t="s">
        <v>155</v>
      </c>
      <c r="B102" t="s">
        <v>82</v>
      </c>
      <c r="C102" t="s">
        <v>90</v>
      </c>
      <c r="D102" t="s">
        <v>106</v>
      </c>
      <c r="E102" t="s">
        <v>20</v>
      </c>
      <c r="F102" t="s">
        <v>64</v>
      </c>
      <c r="G102" t="s">
        <v>29</v>
      </c>
      <c r="H102" t="b">
        <v>1</v>
      </c>
      <c r="I102">
        <v>10</v>
      </c>
      <c r="J102">
        <v>5</v>
      </c>
      <c r="L102">
        <v>109.95590277777799</v>
      </c>
      <c r="M102">
        <v>4.2882802083333404E-3</v>
      </c>
      <c r="N102">
        <v>109.95590277777799</v>
      </c>
      <c r="O102">
        <v>4.2882802083333404E-3</v>
      </c>
    </row>
    <row r="103" spans="1:16" ht="29" x14ac:dyDescent="0.35">
      <c r="A103" t="s">
        <v>156</v>
      </c>
      <c r="B103" t="s">
        <v>82</v>
      </c>
      <c r="C103" t="s">
        <v>93</v>
      </c>
      <c r="D103" t="s">
        <v>106</v>
      </c>
      <c r="E103" t="s">
        <v>20</v>
      </c>
      <c r="F103" t="s">
        <v>64</v>
      </c>
      <c r="G103" t="s">
        <v>25</v>
      </c>
      <c r="H103" t="b">
        <v>1</v>
      </c>
      <c r="I103">
        <v>10</v>
      </c>
      <c r="J103">
        <v>68.75</v>
      </c>
      <c r="K103">
        <v>44</v>
      </c>
      <c r="L103">
        <v>13823.027777777799</v>
      </c>
      <c r="M103">
        <v>2.6309368769444501</v>
      </c>
      <c r="N103">
        <v>13823.027777777799</v>
      </c>
      <c r="O103">
        <v>2.6309368769444501</v>
      </c>
      <c r="P103" s="1" t="s">
        <v>23</v>
      </c>
    </row>
    <row r="104" spans="1:16" x14ac:dyDescent="0.35">
      <c r="A104" t="s">
        <v>157</v>
      </c>
      <c r="B104" t="s">
        <v>82</v>
      </c>
      <c r="C104" t="s">
        <v>93</v>
      </c>
      <c r="D104" t="s">
        <v>106</v>
      </c>
      <c r="E104" t="s">
        <v>20</v>
      </c>
      <c r="F104" t="s">
        <v>64</v>
      </c>
      <c r="G104" t="s">
        <v>29</v>
      </c>
      <c r="H104" t="b">
        <v>1</v>
      </c>
      <c r="I104">
        <v>10</v>
      </c>
      <c r="J104">
        <v>5.8571428571428603</v>
      </c>
      <c r="L104">
        <v>128.80548611111101</v>
      </c>
      <c r="M104">
        <v>5.0234139583333302E-3</v>
      </c>
      <c r="N104">
        <v>128.80548611111101</v>
      </c>
      <c r="O104">
        <v>5.0234139583333302E-3</v>
      </c>
    </row>
    <row r="105" spans="1:16" ht="29" x14ac:dyDescent="0.35">
      <c r="A105" t="s">
        <v>158</v>
      </c>
      <c r="B105" t="s">
        <v>82</v>
      </c>
      <c r="C105" t="s">
        <v>93</v>
      </c>
      <c r="D105" t="s">
        <v>106</v>
      </c>
      <c r="E105" t="s">
        <v>20</v>
      </c>
      <c r="F105" t="s">
        <v>64</v>
      </c>
      <c r="G105" t="s">
        <v>22</v>
      </c>
      <c r="H105" t="b">
        <v>1</v>
      </c>
      <c r="I105">
        <v>10</v>
      </c>
      <c r="J105">
        <v>19.5</v>
      </c>
      <c r="L105">
        <v>122.522291666667</v>
      </c>
      <c r="M105">
        <v>8.7969255087712601E-3</v>
      </c>
      <c r="N105">
        <v>122.522291666667</v>
      </c>
      <c r="O105">
        <v>8.7969255087712601E-3</v>
      </c>
      <c r="P105" s="1" t="s">
        <v>23</v>
      </c>
    </row>
    <row r="106" spans="1:16" x14ac:dyDescent="0.35">
      <c r="A106" t="s">
        <v>159</v>
      </c>
      <c r="B106" t="s">
        <v>96</v>
      </c>
      <c r="C106" t="s">
        <v>97</v>
      </c>
      <c r="D106" t="s">
        <v>106</v>
      </c>
      <c r="E106" t="s">
        <v>20</v>
      </c>
      <c r="F106" t="s">
        <v>21</v>
      </c>
      <c r="G106" t="s">
        <v>45</v>
      </c>
      <c r="H106" t="b">
        <v>1</v>
      </c>
      <c r="I106">
        <v>10</v>
      </c>
      <c r="J106">
        <v>15.65</v>
      </c>
      <c r="K106">
        <v>5</v>
      </c>
      <c r="L106">
        <v>39.125</v>
      </c>
      <c r="M106">
        <v>1.447625E-2</v>
      </c>
      <c r="N106">
        <v>39.125</v>
      </c>
      <c r="O106">
        <v>1.447625E-2</v>
      </c>
    </row>
    <row r="107" spans="1:16" x14ac:dyDescent="0.35">
      <c r="A107" t="s">
        <v>160</v>
      </c>
      <c r="B107" t="s">
        <v>96</v>
      </c>
      <c r="C107" t="s">
        <v>97</v>
      </c>
      <c r="D107" t="s">
        <v>106</v>
      </c>
      <c r="E107" t="s">
        <v>20</v>
      </c>
      <c r="F107" t="s">
        <v>21</v>
      </c>
      <c r="G107" t="s">
        <v>31</v>
      </c>
      <c r="H107" t="b">
        <v>1</v>
      </c>
      <c r="I107">
        <v>10</v>
      </c>
      <c r="J107">
        <v>16.600000000000001</v>
      </c>
      <c r="K107">
        <v>8</v>
      </c>
      <c r="L107">
        <v>46.48</v>
      </c>
      <c r="M107">
        <v>8.8312000000000009E-3</v>
      </c>
      <c r="N107">
        <v>46.48</v>
      </c>
      <c r="O107">
        <v>8.8312000000000009E-3</v>
      </c>
    </row>
    <row r="108" spans="1:16" x14ac:dyDescent="0.35">
      <c r="A108" t="s">
        <v>161</v>
      </c>
      <c r="B108" t="s">
        <v>96</v>
      </c>
      <c r="C108" t="s">
        <v>97</v>
      </c>
      <c r="D108" t="s">
        <v>106</v>
      </c>
      <c r="E108" t="s">
        <v>20</v>
      </c>
      <c r="F108" t="s">
        <v>21</v>
      </c>
      <c r="G108" t="s">
        <v>100</v>
      </c>
      <c r="H108" t="b">
        <v>1</v>
      </c>
      <c r="I108">
        <v>10</v>
      </c>
      <c r="J108">
        <v>446</v>
      </c>
      <c r="L108">
        <v>178.4</v>
      </c>
      <c r="M108">
        <v>0</v>
      </c>
      <c r="N108">
        <v>178.4</v>
      </c>
      <c r="O108">
        <v>0</v>
      </c>
    </row>
    <row r="109" spans="1:16" ht="29" x14ac:dyDescent="0.35">
      <c r="A109" t="s">
        <v>162</v>
      </c>
      <c r="B109" t="s">
        <v>96</v>
      </c>
      <c r="C109" t="s">
        <v>97</v>
      </c>
      <c r="D109" t="s">
        <v>106</v>
      </c>
      <c r="E109" t="s">
        <v>20</v>
      </c>
      <c r="F109" t="s">
        <v>21</v>
      </c>
      <c r="G109" t="s">
        <v>22</v>
      </c>
      <c r="H109" t="b">
        <v>1</v>
      </c>
      <c r="I109">
        <v>10</v>
      </c>
      <c r="J109">
        <v>131</v>
      </c>
      <c r="L109">
        <v>26.2</v>
      </c>
      <c r="M109">
        <v>1.8811225712039999E-3</v>
      </c>
      <c r="N109">
        <v>26.2</v>
      </c>
      <c r="O109">
        <v>1.8811225712039999E-3</v>
      </c>
      <c r="P109" s="1" t="s">
        <v>23</v>
      </c>
    </row>
    <row r="110" spans="1:16" x14ac:dyDescent="0.35">
      <c r="A110" t="s">
        <v>163</v>
      </c>
      <c r="B110" t="s">
        <v>96</v>
      </c>
      <c r="C110" t="s">
        <v>97</v>
      </c>
      <c r="D110" t="s">
        <v>106</v>
      </c>
      <c r="E110" t="s">
        <v>20</v>
      </c>
      <c r="F110" t="s">
        <v>21</v>
      </c>
      <c r="G110" t="s">
        <v>54</v>
      </c>
      <c r="H110" t="b">
        <v>1</v>
      </c>
      <c r="I110">
        <v>10</v>
      </c>
      <c r="J110">
        <v>28.6666666666667</v>
      </c>
      <c r="L110">
        <v>17.2</v>
      </c>
      <c r="M110">
        <v>1.892E-3</v>
      </c>
      <c r="N110">
        <v>17.2</v>
      </c>
      <c r="O110">
        <v>1.892E-3</v>
      </c>
    </row>
    <row r="111" spans="1:16" x14ac:dyDescent="0.35">
      <c r="A111" t="s">
        <v>164</v>
      </c>
      <c r="B111" t="s">
        <v>96</v>
      </c>
      <c r="C111" t="s">
        <v>97</v>
      </c>
      <c r="D111" t="s">
        <v>106</v>
      </c>
      <c r="E111" t="s">
        <v>20</v>
      </c>
      <c r="F111" t="s">
        <v>21</v>
      </c>
      <c r="G111" t="s">
        <v>41</v>
      </c>
      <c r="H111" t="b">
        <v>1</v>
      </c>
      <c r="I111">
        <v>10</v>
      </c>
      <c r="J111">
        <v>17</v>
      </c>
      <c r="L111">
        <v>1.7</v>
      </c>
      <c r="M111">
        <v>4.4200000000000001E-4</v>
      </c>
      <c r="N111">
        <v>1.7</v>
      </c>
      <c r="O111">
        <v>4.4200000000000001E-4</v>
      </c>
    </row>
    <row r="112" spans="1:16" x14ac:dyDescent="0.35">
      <c r="A112" t="s">
        <v>165</v>
      </c>
      <c r="B112" t="s">
        <v>96</v>
      </c>
      <c r="C112" t="s">
        <v>97</v>
      </c>
      <c r="D112" t="s">
        <v>106</v>
      </c>
      <c r="E112" t="s">
        <v>20</v>
      </c>
      <c r="F112" t="s">
        <v>21</v>
      </c>
      <c r="G112" t="s">
        <v>144</v>
      </c>
      <c r="H112" t="b">
        <v>1</v>
      </c>
      <c r="I112">
        <v>10</v>
      </c>
      <c r="J112">
        <v>37</v>
      </c>
      <c r="L112">
        <v>3.7</v>
      </c>
      <c r="M112">
        <v>1.6021E-3</v>
      </c>
      <c r="N112">
        <v>3.7</v>
      </c>
      <c r="O112">
        <v>1.6021E-3</v>
      </c>
    </row>
    <row r="113" spans="1:16" ht="29" x14ac:dyDescent="0.35">
      <c r="A113" t="s">
        <v>166</v>
      </c>
      <c r="B113" t="s">
        <v>17</v>
      </c>
      <c r="C113" t="s">
        <v>18</v>
      </c>
      <c r="D113" t="s">
        <v>167</v>
      </c>
      <c r="E113" t="s">
        <v>20</v>
      </c>
      <c r="F113" t="s">
        <v>21</v>
      </c>
      <c r="G113" t="s">
        <v>22</v>
      </c>
      <c r="H113" t="b">
        <v>1</v>
      </c>
      <c r="I113">
        <v>10</v>
      </c>
      <c r="J113">
        <v>17.5</v>
      </c>
      <c r="K113">
        <v>16</v>
      </c>
      <c r="L113">
        <v>63</v>
      </c>
      <c r="M113">
        <v>4.5233099994599997E-3</v>
      </c>
      <c r="N113">
        <v>63</v>
      </c>
      <c r="O113">
        <v>4.5233099994599997E-3</v>
      </c>
      <c r="P113" s="1" t="s">
        <v>23</v>
      </c>
    </row>
    <row r="114" spans="1:16" x14ac:dyDescent="0.35">
      <c r="A114" t="s">
        <v>168</v>
      </c>
      <c r="B114" t="s">
        <v>17</v>
      </c>
      <c r="C114" t="s">
        <v>18</v>
      </c>
      <c r="D114" t="s">
        <v>167</v>
      </c>
      <c r="E114" t="s">
        <v>20</v>
      </c>
      <c r="F114" t="s">
        <v>21</v>
      </c>
      <c r="G114" t="s">
        <v>29</v>
      </c>
      <c r="H114" t="b">
        <v>1</v>
      </c>
      <c r="I114">
        <v>10</v>
      </c>
      <c r="J114">
        <v>12</v>
      </c>
      <c r="L114">
        <v>10.8</v>
      </c>
      <c r="M114">
        <v>4.2119999999999999E-4</v>
      </c>
      <c r="N114">
        <v>10.8</v>
      </c>
      <c r="O114">
        <v>4.2119999999999999E-4</v>
      </c>
    </row>
    <row r="115" spans="1:16" x14ac:dyDescent="0.35">
      <c r="A115" t="s">
        <v>169</v>
      </c>
      <c r="B115" t="s">
        <v>17</v>
      </c>
      <c r="C115" t="s">
        <v>18</v>
      </c>
      <c r="D115" t="s">
        <v>167</v>
      </c>
      <c r="E115" t="s">
        <v>20</v>
      </c>
      <c r="F115" t="s">
        <v>21</v>
      </c>
      <c r="G115" t="s">
        <v>54</v>
      </c>
      <c r="H115" t="b">
        <v>1</v>
      </c>
      <c r="I115">
        <v>10</v>
      </c>
      <c r="J115">
        <v>10</v>
      </c>
      <c r="L115">
        <v>4</v>
      </c>
      <c r="M115">
        <v>4.4000000000000002E-4</v>
      </c>
      <c r="N115">
        <v>4</v>
      </c>
      <c r="O115">
        <v>4.4000000000000002E-4</v>
      </c>
    </row>
    <row r="116" spans="1:16" x14ac:dyDescent="0.35">
      <c r="A116" t="s">
        <v>170</v>
      </c>
      <c r="B116" t="s">
        <v>17</v>
      </c>
      <c r="C116" t="s">
        <v>18</v>
      </c>
      <c r="D116" t="s">
        <v>167</v>
      </c>
      <c r="E116" t="s">
        <v>20</v>
      </c>
      <c r="F116" t="s">
        <v>21</v>
      </c>
      <c r="G116" t="s">
        <v>80</v>
      </c>
      <c r="H116" t="b">
        <v>1</v>
      </c>
      <c r="I116">
        <v>10</v>
      </c>
      <c r="J116">
        <v>22</v>
      </c>
      <c r="L116">
        <v>2.2000000000000002</v>
      </c>
      <c r="M116">
        <v>4.862E-4</v>
      </c>
      <c r="N116">
        <v>2.2000000000000002</v>
      </c>
      <c r="O116">
        <v>4.862E-4</v>
      </c>
    </row>
    <row r="117" spans="1:16" x14ac:dyDescent="0.35">
      <c r="A117" t="s">
        <v>171</v>
      </c>
      <c r="B117" t="s">
        <v>17</v>
      </c>
      <c r="C117" t="s">
        <v>18</v>
      </c>
      <c r="D117" t="s">
        <v>167</v>
      </c>
      <c r="E117" t="s">
        <v>20</v>
      </c>
      <c r="F117" t="s">
        <v>21</v>
      </c>
      <c r="G117" t="s">
        <v>27</v>
      </c>
      <c r="H117" t="b">
        <v>0</v>
      </c>
      <c r="I117">
        <v>10</v>
      </c>
      <c r="J117">
        <v>126</v>
      </c>
      <c r="L117">
        <v>12.6</v>
      </c>
      <c r="M117">
        <v>2.8350000000000001E-5</v>
      </c>
      <c r="N117">
        <v>0</v>
      </c>
      <c r="O117">
        <v>0</v>
      </c>
    </row>
    <row r="118" spans="1:16" ht="29" x14ac:dyDescent="0.35">
      <c r="A118" t="s">
        <v>172</v>
      </c>
      <c r="B118" t="s">
        <v>17</v>
      </c>
      <c r="C118" t="s">
        <v>18</v>
      </c>
      <c r="D118" t="s">
        <v>167</v>
      </c>
      <c r="E118" t="s">
        <v>20</v>
      </c>
      <c r="F118" t="s">
        <v>21</v>
      </c>
      <c r="G118" t="s">
        <v>25</v>
      </c>
      <c r="H118" t="b">
        <v>1</v>
      </c>
      <c r="I118">
        <v>10</v>
      </c>
      <c r="J118">
        <v>87.3333333333333</v>
      </c>
      <c r="L118">
        <v>26.2</v>
      </c>
      <c r="M118">
        <v>4.986646E-3</v>
      </c>
      <c r="N118">
        <v>26.2</v>
      </c>
      <c r="O118">
        <v>4.986646E-3</v>
      </c>
      <c r="P118" s="1" t="s">
        <v>23</v>
      </c>
    </row>
    <row r="119" spans="1:16" x14ac:dyDescent="0.35">
      <c r="A119" t="s">
        <v>173</v>
      </c>
      <c r="B119" t="s">
        <v>17</v>
      </c>
      <c r="C119" t="s">
        <v>18</v>
      </c>
      <c r="D119" t="s">
        <v>167</v>
      </c>
      <c r="E119" t="s">
        <v>20</v>
      </c>
      <c r="F119" t="s">
        <v>21</v>
      </c>
      <c r="G119" t="s">
        <v>36</v>
      </c>
      <c r="H119" t="b">
        <v>1</v>
      </c>
      <c r="I119">
        <v>10</v>
      </c>
      <c r="J119">
        <v>96</v>
      </c>
      <c r="L119">
        <v>9.6</v>
      </c>
      <c r="M119">
        <v>2.5963199999999999E-2</v>
      </c>
      <c r="N119">
        <v>9.6</v>
      </c>
      <c r="O119">
        <v>2.5963199999999999E-2</v>
      </c>
    </row>
    <row r="120" spans="1:16" ht="29" x14ac:dyDescent="0.35">
      <c r="A120" t="s">
        <v>174</v>
      </c>
      <c r="B120" t="s">
        <v>17</v>
      </c>
      <c r="C120" t="s">
        <v>33</v>
      </c>
      <c r="D120" t="s">
        <v>167</v>
      </c>
      <c r="E120" t="s">
        <v>20</v>
      </c>
      <c r="F120" t="s">
        <v>21</v>
      </c>
      <c r="G120" t="s">
        <v>22</v>
      </c>
      <c r="H120" t="b">
        <v>1</v>
      </c>
      <c r="I120">
        <v>10</v>
      </c>
      <c r="J120">
        <v>122.6</v>
      </c>
      <c r="L120">
        <v>183.9</v>
      </c>
      <c r="M120">
        <v>1.3203757284138E-2</v>
      </c>
      <c r="N120">
        <v>183.9</v>
      </c>
      <c r="O120">
        <v>1.3203757284138E-2</v>
      </c>
      <c r="P120" s="1" t="s">
        <v>23</v>
      </c>
    </row>
    <row r="121" spans="1:16" x14ac:dyDescent="0.35">
      <c r="A121" t="s">
        <v>175</v>
      </c>
      <c r="B121" t="s">
        <v>17</v>
      </c>
      <c r="C121" t="s">
        <v>33</v>
      </c>
      <c r="D121" t="s">
        <v>167</v>
      </c>
      <c r="E121" t="s">
        <v>20</v>
      </c>
      <c r="F121" t="s">
        <v>21</v>
      </c>
      <c r="G121" t="s">
        <v>36</v>
      </c>
      <c r="H121" t="b">
        <v>1</v>
      </c>
      <c r="I121">
        <v>10</v>
      </c>
      <c r="J121">
        <v>42.6666666666667</v>
      </c>
      <c r="L121">
        <v>12.8</v>
      </c>
      <c r="M121">
        <v>3.4617599999999998E-2</v>
      </c>
      <c r="N121">
        <v>12.8</v>
      </c>
      <c r="O121">
        <v>3.4617599999999998E-2</v>
      </c>
    </row>
    <row r="122" spans="1:16" x14ac:dyDescent="0.35">
      <c r="A122" t="s">
        <v>176</v>
      </c>
      <c r="B122" t="s">
        <v>17</v>
      </c>
      <c r="C122" t="s">
        <v>33</v>
      </c>
      <c r="D122" t="s">
        <v>167</v>
      </c>
      <c r="E122" t="s">
        <v>20</v>
      </c>
      <c r="F122" t="s">
        <v>21</v>
      </c>
      <c r="G122" t="s">
        <v>114</v>
      </c>
      <c r="H122" t="b">
        <v>1</v>
      </c>
      <c r="I122">
        <v>10</v>
      </c>
      <c r="J122">
        <v>253.666666666667</v>
      </c>
      <c r="L122">
        <v>380.5</v>
      </c>
      <c r="M122">
        <v>3.5515869999999998E-2</v>
      </c>
      <c r="N122">
        <v>380.5</v>
      </c>
      <c r="O122">
        <v>3.5515869999999998E-2</v>
      </c>
    </row>
    <row r="123" spans="1:16" ht="29" x14ac:dyDescent="0.35">
      <c r="A123" t="s">
        <v>177</v>
      </c>
      <c r="B123" t="s">
        <v>17</v>
      </c>
      <c r="C123" t="s">
        <v>33</v>
      </c>
      <c r="D123" t="s">
        <v>167</v>
      </c>
      <c r="E123" t="s">
        <v>20</v>
      </c>
      <c r="F123" t="s">
        <v>21</v>
      </c>
      <c r="G123" t="s">
        <v>25</v>
      </c>
      <c r="H123" t="b">
        <v>1</v>
      </c>
      <c r="I123">
        <v>10</v>
      </c>
      <c r="J123">
        <v>37</v>
      </c>
      <c r="L123">
        <v>14.8</v>
      </c>
      <c r="M123">
        <v>2.816884E-3</v>
      </c>
      <c r="N123">
        <v>14.8</v>
      </c>
      <c r="O123">
        <v>2.816884E-3</v>
      </c>
      <c r="P123" s="1" t="s">
        <v>23</v>
      </c>
    </row>
    <row r="124" spans="1:16" x14ac:dyDescent="0.35">
      <c r="A124" t="s">
        <v>178</v>
      </c>
      <c r="B124" t="s">
        <v>17</v>
      </c>
      <c r="C124" t="s">
        <v>33</v>
      </c>
      <c r="D124" t="s">
        <v>167</v>
      </c>
      <c r="E124" t="s">
        <v>20</v>
      </c>
      <c r="F124" t="s">
        <v>21</v>
      </c>
      <c r="G124" t="s">
        <v>80</v>
      </c>
      <c r="H124" t="b">
        <v>1</v>
      </c>
      <c r="I124">
        <v>10</v>
      </c>
      <c r="J124">
        <v>15</v>
      </c>
      <c r="L124">
        <v>1.5</v>
      </c>
      <c r="M124">
        <v>3.3149999999999998E-4</v>
      </c>
      <c r="N124">
        <v>1.5</v>
      </c>
      <c r="O124">
        <v>3.3149999999999998E-4</v>
      </c>
    </row>
    <row r="125" spans="1:16" x14ac:dyDescent="0.35">
      <c r="A125" t="s">
        <v>179</v>
      </c>
      <c r="B125" t="s">
        <v>17</v>
      </c>
      <c r="C125" t="s">
        <v>33</v>
      </c>
      <c r="D125" t="s">
        <v>167</v>
      </c>
      <c r="E125" t="s">
        <v>20</v>
      </c>
      <c r="F125" t="s">
        <v>21</v>
      </c>
      <c r="G125" t="s">
        <v>29</v>
      </c>
      <c r="H125" t="b">
        <v>1</v>
      </c>
      <c r="I125">
        <v>10</v>
      </c>
      <c r="J125">
        <v>20.5</v>
      </c>
      <c r="K125">
        <v>3</v>
      </c>
      <c r="L125">
        <v>47.15</v>
      </c>
      <c r="M125">
        <v>1.8388499999999999E-3</v>
      </c>
      <c r="N125">
        <v>47.15</v>
      </c>
      <c r="O125">
        <v>1.8388499999999999E-3</v>
      </c>
    </row>
    <row r="126" spans="1:16" x14ac:dyDescent="0.35">
      <c r="A126" t="s">
        <v>180</v>
      </c>
      <c r="B126" t="s">
        <v>17</v>
      </c>
      <c r="C126" t="s">
        <v>33</v>
      </c>
      <c r="D126" t="s">
        <v>167</v>
      </c>
      <c r="E126" t="s">
        <v>20</v>
      </c>
      <c r="F126" t="s">
        <v>21</v>
      </c>
      <c r="G126" t="s">
        <v>127</v>
      </c>
      <c r="H126" t="b">
        <v>0</v>
      </c>
      <c r="I126">
        <v>10</v>
      </c>
      <c r="J126">
        <v>37.200000000000003</v>
      </c>
      <c r="L126">
        <v>18.600000000000001</v>
      </c>
      <c r="M126">
        <v>4.278E-5</v>
      </c>
      <c r="N126">
        <v>0</v>
      </c>
      <c r="O126">
        <v>0</v>
      </c>
    </row>
    <row r="127" spans="1:16" x14ac:dyDescent="0.35">
      <c r="A127" t="s">
        <v>181</v>
      </c>
      <c r="B127" t="s">
        <v>17</v>
      </c>
      <c r="C127" t="s">
        <v>33</v>
      </c>
      <c r="D127" t="s">
        <v>167</v>
      </c>
      <c r="E127" t="s">
        <v>20</v>
      </c>
      <c r="F127" t="s">
        <v>21</v>
      </c>
      <c r="G127" t="s">
        <v>144</v>
      </c>
      <c r="H127" t="b">
        <v>1</v>
      </c>
      <c r="I127">
        <v>10</v>
      </c>
      <c r="J127">
        <v>95.5</v>
      </c>
      <c r="L127">
        <v>38.200000000000003</v>
      </c>
      <c r="M127">
        <v>1.6540599999999999E-2</v>
      </c>
      <c r="N127">
        <v>38.200000000000003</v>
      </c>
      <c r="O127">
        <v>1.6540599999999999E-2</v>
      </c>
    </row>
    <row r="128" spans="1:16" x14ac:dyDescent="0.35">
      <c r="A128" t="s">
        <v>182</v>
      </c>
      <c r="B128" t="s">
        <v>17</v>
      </c>
      <c r="C128" t="s">
        <v>33</v>
      </c>
      <c r="D128" t="s">
        <v>167</v>
      </c>
      <c r="E128" t="s">
        <v>20</v>
      </c>
      <c r="F128" t="s">
        <v>21</v>
      </c>
      <c r="G128" t="s">
        <v>41</v>
      </c>
      <c r="H128" t="b">
        <v>1</v>
      </c>
      <c r="I128">
        <v>10</v>
      </c>
      <c r="J128">
        <v>36</v>
      </c>
      <c r="L128">
        <v>3.6</v>
      </c>
      <c r="M128">
        <v>9.3599999999999998E-4</v>
      </c>
      <c r="N128">
        <v>3.6</v>
      </c>
      <c r="O128">
        <v>9.3599999999999998E-4</v>
      </c>
    </row>
    <row r="129" spans="1:16" ht="29" x14ac:dyDescent="0.35">
      <c r="A129" t="s">
        <v>183</v>
      </c>
      <c r="B129" t="s">
        <v>43</v>
      </c>
      <c r="C129" t="s">
        <v>44</v>
      </c>
      <c r="D129" t="s">
        <v>167</v>
      </c>
      <c r="E129" t="s">
        <v>20</v>
      </c>
      <c r="F129" t="s">
        <v>21</v>
      </c>
      <c r="G129" t="s">
        <v>25</v>
      </c>
      <c r="H129" t="b">
        <v>1</v>
      </c>
      <c r="I129">
        <v>10</v>
      </c>
      <c r="J129">
        <v>35.875</v>
      </c>
      <c r="L129">
        <v>57.4</v>
      </c>
      <c r="M129">
        <v>1.0924942E-2</v>
      </c>
      <c r="N129">
        <v>57.4</v>
      </c>
      <c r="O129">
        <v>1.0924942E-2</v>
      </c>
      <c r="P129" s="1" t="s">
        <v>23</v>
      </c>
    </row>
    <row r="130" spans="1:16" x14ac:dyDescent="0.35">
      <c r="A130" t="s">
        <v>184</v>
      </c>
      <c r="B130" t="s">
        <v>43</v>
      </c>
      <c r="C130" t="s">
        <v>44</v>
      </c>
      <c r="D130" t="s">
        <v>167</v>
      </c>
      <c r="E130" t="s">
        <v>20</v>
      </c>
      <c r="F130" t="s">
        <v>21</v>
      </c>
      <c r="G130" t="s">
        <v>45</v>
      </c>
      <c r="H130" t="b">
        <v>1</v>
      </c>
      <c r="I130">
        <v>10</v>
      </c>
      <c r="J130">
        <v>16</v>
      </c>
      <c r="L130">
        <v>4.8</v>
      </c>
      <c r="M130">
        <v>1.776E-3</v>
      </c>
      <c r="N130">
        <v>4.8</v>
      </c>
      <c r="O130">
        <v>1.776E-3</v>
      </c>
    </row>
    <row r="131" spans="1:16" ht="29" x14ac:dyDescent="0.35">
      <c r="A131" t="s">
        <v>185</v>
      </c>
      <c r="B131" t="s">
        <v>43</v>
      </c>
      <c r="C131" t="s">
        <v>44</v>
      </c>
      <c r="D131" t="s">
        <v>167</v>
      </c>
      <c r="E131" t="s">
        <v>20</v>
      </c>
      <c r="F131" t="s">
        <v>21</v>
      </c>
      <c r="G131" s="1" t="s">
        <v>49</v>
      </c>
      <c r="H131" t="b">
        <v>0</v>
      </c>
      <c r="I131">
        <v>10</v>
      </c>
      <c r="J131">
        <v>24.75</v>
      </c>
      <c r="L131">
        <v>9.9</v>
      </c>
      <c r="M131">
        <v>4.4549999999999998E-3</v>
      </c>
      <c r="N131">
        <v>0</v>
      </c>
      <c r="O131">
        <v>0</v>
      </c>
    </row>
    <row r="132" spans="1:16" x14ac:dyDescent="0.35">
      <c r="A132" t="s">
        <v>186</v>
      </c>
      <c r="B132" t="s">
        <v>43</v>
      </c>
      <c r="C132" t="s">
        <v>44</v>
      </c>
      <c r="D132" t="s">
        <v>167</v>
      </c>
      <c r="E132" t="s">
        <v>20</v>
      </c>
      <c r="F132" t="s">
        <v>21</v>
      </c>
      <c r="G132" t="s">
        <v>127</v>
      </c>
      <c r="H132" t="b">
        <v>0</v>
      </c>
      <c r="I132">
        <v>10</v>
      </c>
      <c r="J132">
        <v>32</v>
      </c>
      <c r="L132">
        <v>3.2</v>
      </c>
      <c r="M132">
        <v>7.3599999999999998E-6</v>
      </c>
      <c r="N132">
        <v>0</v>
      </c>
      <c r="O132">
        <v>0</v>
      </c>
    </row>
    <row r="133" spans="1:16" x14ac:dyDescent="0.35">
      <c r="A133" t="s">
        <v>187</v>
      </c>
      <c r="B133" t="s">
        <v>43</v>
      </c>
      <c r="C133" t="s">
        <v>44</v>
      </c>
      <c r="D133" t="s">
        <v>167</v>
      </c>
      <c r="E133" t="s">
        <v>20</v>
      </c>
      <c r="F133" t="s">
        <v>21</v>
      </c>
      <c r="G133" t="s">
        <v>29</v>
      </c>
      <c r="H133" t="b">
        <v>1</v>
      </c>
      <c r="I133">
        <v>10</v>
      </c>
      <c r="J133">
        <v>18</v>
      </c>
      <c r="L133">
        <v>1.8</v>
      </c>
      <c r="M133">
        <v>7.0199999999999999E-5</v>
      </c>
      <c r="N133">
        <v>1.8</v>
      </c>
      <c r="O133">
        <v>7.0199999999999999E-5</v>
      </c>
    </row>
    <row r="134" spans="1:16" ht="29" x14ac:dyDescent="0.35">
      <c r="A134" t="s">
        <v>188</v>
      </c>
      <c r="B134" t="s">
        <v>43</v>
      </c>
      <c r="C134" t="s">
        <v>51</v>
      </c>
      <c r="D134" t="s">
        <v>167</v>
      </c>
      <c r="E134" t="s">
        <v>20</v>
      </c>
      <c r="F134" t="s">
        <v>21</v>
      </c>
      <c r="G134" t="s">
        <v>25</v>
      </c>
      <c r="H134" t="b">
        <v>1</v>
      </c>
      <c r="I134">
        <v>10</v>
      </c>
      <c r="J134">
        <v>46.909090909090899</v>
      </c>
      <c r="L134">
        <v>51.6</v>
      </c>
      <c r="M134">
        <v>9.8210280000000007E-3</v>
      </c>
      <c r="N134">
        <v>51.6</v>
      </c>
      <c r="O134">
        <v>9.8210280000000007E-3</v>
      </c>
      <c r="P134" s="1" t="s">
        <v>23</v>
      </c>
    </row>
    <row r="135" spans="1:16" x14ac:dyDescent="0.35">
      <c r="A135" t="s">
        <v>189</v>
      </c>
      <c r="B135" t="s">
        <v>43</v>
      </c>
      <c r="C135" t="s">
        <v>51</v>
      </c>
      <c r="D135" t="s">
        <v>167</v>
      </c>
      <c r="E135" t="s">
        <v>20</v>
      </c>
      <c r="F135" t="s">
        <v>21</v>
      </c>
      <c r="G135" t="s">
        <v>36</v>
      </c>
      <c r="H135" t="b">
        <v>1</v>
      </c>
      <c r="I135">
        <v>10</v>
      </c>
      <c r="J135">
        <v>16</v>
      </c>
      <c r="L135">
        <v>1.6</v>
      </c>
      <c r="M135">
        <v>4.3271999999999998E-3</v>
      </c>
      <c r="N135">
        <v>1.6</v>
      </c>
      <c r="O135">
        <v>4.3271999999999998E-3</v>
      </c>
    </row>
    <row r="136" spans="1:16" x14ac:dyDescent="0.35">
      <c r="A136" t="s">
        <v>190</v>
      </c>
      <c r="B136" t="s">
        <v>43</v>
      </c>
      <c r="C136" t="s">
        <v>51</v>
      </c>
      <c r="D136" t="s">
        <v>167</v>
      </c>
      <c r="E136" t="s">
        <v>20</v>
      </c>
      <c r="F136" t="s">
        <v>21</v>
      </c>
      <c r="G136" t="s">
        <v>54</v>
      </c>
      <c r="H136" t="b">
        <v>1</v>
      </c>
      <c r="I136">
        <v>10</v>
      </c>
      <c r="J136">
        <v>21.266666666666701</v>
      </c>
      <c r="L136">
        <v>31.9</v>
      </c>
      <c r="M136">
        <v>3.509E-3</v>
      </c>
      <c r="N136">
        <v>31.9</v>
      </c>
      <c r="O136">
        <v>3.509E-3</v>
      </c>
    </row>
    <row r="137" spans="1:16" x14ac:dyDescent="0.35">
      <c r="A137" t="s">
        <v>191</v>
      </c>
      <c r="B137" t="s">
        <v>43</v>
      </c>
      <c r="C137" t="s">
        <v>51</v>
      </c>
      <c r="D137" t="s">
        <v>167</v>
      </c>
      <c r="E137" t="s">
        <v>20</v>
      </c>
      <c r="F137" t="s">
        <v>21</v>
      </c>
      <c r="G137" t="s">
        <v>27</v>
      </c>
      <c r="H137" t="b">
        <v>0</v>
      </c>
      <c r="I137">
        <v>10</v>
      </c>
      <c r="J137">
        <v>264</v>
      </c>
      <c r="L137">
        <v>26.4</v>
      </c>
      <c r="M137">
        <v>5.94E-5</v>
      </c>
      <c r="N137">
        <v>0</v>
      </c>
      <c r="O137">
        <v>0</v>
      </c>
    </row>
    <row r="138" spans="1:16" x14ac:dyDescent="0.35">
      <c r="A138" t="s">
        <v>192</v>
      </c>
      <c r="B138" t="s">
        <v>43</v>
      </c>
      <c r="C138" t="s">
        <v>51</v>
      </c>
      <c r="D138" t="s">
        <v>167</v>
      </c>
      <c r="E138" t="s">
        <v>20</v>
      </c>
      <c r="F138" t="s">
        <v>21</v>
      </c>
      <c r="G138" t="s">
        <v>114</v>
      </c>
      <c r="H138" t="b">
        <v>1</v>
      </c>
      <c r="I138">
        <v>10</v>
      </c>
      <c r="J138">
        <v>307.0625</v>
      </c>
      <c r="L138">
        <v>491.3</v>
      </c>
      <c r="M138">
        <v>4.5857941999999999E-2</v>
      </c>
      <c r="N138">
        <v>491.3</v>
      </c>
      <c r="O138">
        <v>4.5857941999999999E-2</v>
      </c>
    </row>
    <row r="139" spans="1:16" x14ac:dyDescent="0.35">
      <c r="A139" t="s">
        <v>193</v>
      </c>
      <c r="B139" t="s">
        <v>43</v>
      </c>
      <c r="C139" t="s">
        <v>51</v>
      </c>
      <c r="D139" t="s">
        <v>167</v>
      </c>
      <c r="E139" t="s">
        <v>20</v>
      </c>
      <c r="F139" t="s">
        <v>21</v>
      </c>
      <c r="G139" t="s">
        <v>127</v>
      </c>
      <c r="H139" t="b">
        <v>0</v>
      </c>
      <c r="I139">
        <v>10</v>
      </c>
      <c r="J139">
        <v>28</v>
      </c>
      <c r="L139">
        <v>5.6</v>
      </c>
      <c r="M139">
        <v>1.288E-5</v>
      </c>
      <c r="N139">
        <v>0</v>
      </c>
      <c r="O139">
        <v>0</v>
      </c>
    </row>
    <row r="140" spans="1:16" x14ac:dyDescent="0.35">
      <c r="A140" t="s">
        <v>194</v>
      </c>
      <c r="B140" t="s">
        <v>43</v>
      </c>
      <c r="C140" t="s">
        <v>51</v>
      </c>
      <c r="D140" t="s">
        <v>167</v>
      </c>
      <c r="E140" t="s">
        <v>20</v>
      </c>
      <c r="F140" t="s">
        <v>21</v>
      </c>
      <c r="G140" t="s">
        <v>29</v>
      </c>
      <c r="H140" t="b">
        <v>1</v>
      </c>
      <c r="I140">
        <v>10</v>
      </c>
      <c r="J140">
        <v>14</v>
      </c>
      <c r="L140">
        <v>1.4</v>
      </c>
      <c r="M140">
        <v>5.4599999999999999E-5</v>
      </c>
      <c r="N140">
        <v>1.4</v>
      </c>
      <c r="O140">
        <v>5.4599999999999999E-5</v>
      </c>
    </row>
    <row r="141" spans="1:16" x14ac:dyDescent="0.35">
      <c r="A141" t="s">
        <v>195</v>
      </c>
      <c r="B141" t="s">
        <v>43</v>
      </c>
      <c r="C141" t="s">
        <v>51</v>
      </c>
      <c r="D141" t="s">
        <v>167</v>
      </c>
      <c r="E141" t="s">
        <v>20</v>
      </c>
      <c r="F141" t="s">
        <v>21</v>
      </c>
      <c r="G141" t="s">
        <v>80</v>
      </c>
      <c r="H141" t="b">
        <v>1</v>
      </c>
      <c r="I141">
        <v>10</v>
      </c>
      <c r="J141">
        <v>19.5</v>
      </c>
      <c r="L141">
        <v>3.9</v>
      </c>
      <c r="M141">
        <v>8.6189999999999997E-4</v>
      </c>
      <c r="N141">
        <v>3.9</v>
      </c>
      <c r="O141">
        <v>8.6189999999999997E-4</v>
      </c>
    </row>
    <row r="142" spans="1:16" x14ac:dyDescent="0.35">
      <c r="A142" t="s">
        <v>196</v>
      </c>
      <c r="B142" t="s">
        <v>43</v>
      </c>
      <c r="C142" t="s">
        <v>51</v>
      </c>
      <c r="D142" t="s">
        <v>167</v>
      </c>
      <c r="E142" t="s">
        <v>20</v>
      </c>
      <c r="F142" t="s">
        <v>21</v>
      </c>
      <c r="G142" t="s">
        <v>60</v>
      </c>
      <c r="H142" t="b">
        <v>1</v>
      </c>
      <c r="I142">
        <v>10</v>
      </c>
      <c r="J142">
        <v>21</v>
      </c>
      <c r="L142">
        <v>2.1</v>
      </c>
      <c r="M142">
        <v>1.2088439999999999E-3</v>
      </c>
      <c r="N142">
        <v>2.1</v>
      </c>
      <c r="O142">
        <v>1.2088439999999999E-3</v>
      </c>
    </row>
    <row r="143" spans="1:16" ht="29" x14ac:dyDescent="0.35">
      <c r="A143" t="s">
        <v>197</v>
      </c>
      <c r="B143" t="s">
        <v>43</v>
      </c>
      <c r="C143" t="s">
        <v>63</v>
      </c>
      <c r="D143" t="s">
        <v>167</v>
      </c>
      <c r="E143" t="s">
        <v>20</v>
      </c>
      <c r="F143" t="s">
        <v>21</v>
      </c>
      <c r="G143" t="s">
        <v>22</v>
      </c>
      <c r="H143" t="b">
        <v>1</v>
      </c>
      <c r="I143">
        <v>10</v>
      </c>
      <c r="J143">
        <v>26.5</v>
      </c>
      <c r="L143">
        <v>21.2</v>
      </c>
      <c r="M143">
        <v>1.522129714104E-3</v>
      </c>
      <c r="N143">
        <v>21.2</v>
      </c>
      <c r="O143">
        <v>1.522129714104E-3</v>
      </c>
      <c r="P143" s="1" t="s">
        <v>23</v>
      </c>
    </row>
    <row r="144" spans="1:16" ht="29" x14ac:dyDescent="0.35">
      <c r="A144" t="s">
        <v>198</v>
      </c>
      <c r="B144" t="s">
        <v>43</v>
      </c>
      <c r="C144" t="s">
        <v>63</v>
      </c>
      <c r="D144" t="s">
        <v>167</v>
      </c>
      <c r="E144" t="s">
        <v>20</v>
      </c>
      <c r="F144" t="s">
        <v>21</v>
      </c>
      <c r="G144" t="s">
        <v>25</v>
      </c>
      <c r="H144" t="b">
        <v>1</v>
      </c>
      <c r="I144">
        <v>10</v>
      </c>
      <c r="J144">
        <v>48.4</v>
      </c>
      <c r="K144">
        <v>206</v>
      </c>
      <c r="L144">
        <v>1093.8399999999999</v>
      </c>
      <c r="M144">
        <v>0.20819056720000001</v>
      </c>
      <c r="N144">
        <v>1093.8399999999999</v>
      </c>
      <c r="O144">
        <v>0.20819056720000001</v>
      </c>
      <c r="P144" s="1" t="s">
        <v>23</v>
      </c>
    </row>
    <row r="145" spans="1:16" x14ac:dyDescent="0.35">
      <c r="A145" t="s">
        <v>199</v>
      </c>
      <c r="B145" t="s">
        <v>43</v>
      </c>
      <c r="C145" t="s">
        <v>63</v>
      </c>
      <c r="D145" t="s">
        <v>167</v>
      </c>
      <c r="E145" t="s">
        <v>20</v>
      </c>
      <c r="F145" t="s">
        <v>21</v>
      </c>
      <c r="G145" t="s">
        <v>29</v>
      </c>
      <c r="H145" t="b">
        <v>1</v>
      </c>
      <c r="I145">
        <v>10</v>
      </c>
      <c r="J145">
        <v>3.3333333333333299</v>
      </c>
      <c r="L145">
        <v>3</v>
      </c>
      <c r="M145">
        <v>1.17E-4</v>
      </c>
      <c r="N145">
        <v>3</v>
      </c>
      <c r="O145">
        <v>1.17E-4</v>
      </c>
    </row>
    <row r="146" spans="1:16" x14ac:dyDescent="0.35">
      <c r="A146" t="s">
        <v>200</v>
      </c>
      <c r="B146" t="s">
        <v>43</v>
      </c>
      <c r="C146" t="s">
        <v>63</v>
      </c>
      <c r="D146" t="s">
        <v>167</v>
      </c>
      <c r="E146" t="s">
        <v>20</v>
      </c>
      <c r="F146" t="s">
        <v>21</v>
      </c>
      <c r="G146" t="s">
        <v>27</v>
      </c>
      <c r="H146" t="b">
        <v>0</v>
      </c>
      <c r="I146">
        <v>10</v>
      </c>
      <c r="J146">
        <v>23</v>
      </c>
      <c r="L146">
        <v>4.5999999999999996</v>
      </c>
      <c r="M146">
        <v>1.0349999999999999E-5</v>
      </c>
      <c r="N146">
        <v>0</v>
      </c>
      <c r="O146">
        <v>0</v>
      </c>
    </row>
    <row r="147" spans="1:16" ht="29" x14ac:dyDescent="0.35">
      <c r="A147" t="s">
        <v>201</v>
      </c>
      <c r="B147" t="s">
        <v>43</v>
      </c>
      <c r="C147" t="s">
        <v>69</v>
      </c>
      <c r="D147" t="s">
        <v>167</v>
      </c>
      <c r="E147" t="s">
        <v>20</v>
      </c>
      <c r="F147" t="s">
        <v>21</v>
      </c>
      <c r="G147" t="s">
        <v>22</v>
      </c>
      <c r="H147" t="b">
        <v>1</v>
      </c>
      <c r="I147">
        <v>10</v>
      </c>
      <c r="J147">
        <v>37.200000000000003</v>
      </c>
      <c r="L147">
        <v>18.600000000000001</v>
      </c>
      <c r="M147">
        <v>1.335453428412E-3</v>
      </c>
      <c r="N147">
        <v>18.600000000000001</v>
      </c>
      <c r="O147">
        <v>1.335453428412E-3</v>
      </c>
      <c r="P147" s="1" t="s">
        <v>23</v>
      </c>
    </row>
    <row r="148" spans="1:16" ht="29" x14ac:dyDescent="0.35">
      <c r="A148" t="s">
        <v>202</v>
      </c>
      <c r="B148" t="s">
        <v>43</v>
      </c>
      <c r="C148" t="s">
        <v>69</v>
      </c>
      <c r="D148" t="s">
        <v>167</v>
      </c>
      <c r="E148" t="s">
        <v>20</v>
      </c>
      <c r="F148" t="s">
        <v>21</v>
      </c>
      <c r="G148" t="s">
        <v>25</v>
      </c>
      <c r="H148" t="b">
        <v>1</v>
      </c>
      <c r="I148">
        <v>10</v>
      </c>
      <c r="J148">
        <v>44.9444444444444</v>
      </c>
      <c r="L148">
        <v>80.900000000000006</v>
      </c>
      <c r="M148">
        <v>1.5397697E-2</v>
      </c>
      <c r="N148">
        <v>80.900000000000006</v>
      </c>
      <c r="O148">
        <v>1.5397697E-2</v>
      </c>
      <c r="P148" s="1" t="s">
        <v>23</v>
      </c>
    </row>
    <row r="149" spans="1:16" ht="29" x14ac:dyDescent="0.35">
      <c r="A149" t="s">
        <v>203</v>
      </c>
      <c r="B149" t="s">
        <v>43</v>
      </c>
      <c r="C149" t="s">
        <v>69</v>
      </c>
      <c r="D149" t="s">
        <v>167</v>
      </c>
      <c r="E149" t="s">
        <v>20</v>
      </c>
      <c r="F149" t="s">
        <v>21</v>
      </c>
      <c r="G149" s="1" t="s">
        <v>49</v>
      </c>
      <c r="H149" t="b">
        <v>0</v>
      </c>
      <c r="I149">
        <v>10</v>
      </c>
      <c r="J149">
        <v>13</v>
      </c>
      <c r="L149">
        <v>2.6</v>
      </c>
      <c r="M149">
        <v>1.17E-3</v>
      </c>
      <c r="N149">
        <v>0</v>
      </c>
      <c r="O149">
        <v>0</v>
      </c>
    </row>
    <row r="150" spans="1:16" x14ac:dyDescent="0.35">
      <c r="A150" t="s">
        <v>204</v>
      </c>
      <c r="B150" t="s">
        <v>43</v>
      </c>
      <c r="C150" t="s">
        <v>69</v>
      </c>
      <c r="D150" t="s">
        <v>167</v>
      </c>
      <c r="E150" t="s">
        <v>20</v>
      </c>
      <c r="F150" t="s">
        <v>21</v>
      </c>
      <c r="G150" t="s">
        <v>45</v>
      </c>
      <c r="H150" t="b">
        <v>1</v>
      </c>
      <c r="I150">
        <v>10</v>
      </c>
      <c r="J150">
        <v>13.5833333333333</v>
      </c>
      <c r="L150">
        <v>16.3</v>
      </c>
      <c r="M150">
        <v>6.0309999999999999E-3</v>
      </c>
      <c r="N150">
        <v>16.3</v>
      </c>
      <c r="O150">
        <v>6.0309999999999999E-3</v>
      </c>
    </row>
    <row r="151" spans="1:16" x14ac:dyDescent="0.35">
      <c r="A151" t="s">
        <v>205</v>
      </c>
      <c r="B151" t="s">
        <v>43</v>
      </c>
      <c r="C151" t="s">
        <v>69</v>
      </c>
      <c r="D151" t="s">
        <v>167</v>
      </c>
      <c r="E151" t="s">
        <v>20</v>
      </c>
      <c r="F151" t="s">
        <v>21</v>
      </c>
      <c r="G151" t="s">
        <v>60</v>
      </c>
      <c r="H151" t="b">
        <v>1</v>
      </c>
      <c r="I151">
        <v>10</v>
      </c>
      <c r="J151">
        <v>19</v>
      </c>
      <c r="L151">
        <v>3.8</v>
      </c>
      <c r="M151">
        <v>2.187432E-3</v>
      </c>
      <c r="N151">
        <v>3.8</v>
      </c>
      <c r="O151">
        <v>2.187432E-3</v>
      </c>
    </row>
    <row r="152" spans="1:16" x14ac:dyDescent="0.35">
      <c r="A152" t="s">
        <v>206</v>
      </c>
      <c r="B152" t="s">
        <v>43</v>
      </c>
      <c r="C152" t="s">
        <v>69</v>
      </c>
      <c r="D152" t="s">
        <v>167</v>
      </c>
      <c r="E152" t="s">
        <v>20</v>
      </c>
      <c r="F152" t="s">
        <v>21</v>
      </c>
      <c r="G152" t="s">
        <v>27</v>
      </c>
      <c r="H152" t="b">
        <v>0</v>
      </c>
      <c r="I152">
        <v>10</v>
      </c>
      <c r="J152">
        <v>160</v>
      </c>
      <c r="L152">
        <v>16</v>
      </c>
      <c r="M152">
        <v>3.6000000000000001E-5</v>
      </c>
      <c r="N152">
        <v>0</v>
      </c>
      <c r="O152">
        <v>0</v>
      </c>
    </row>
    <row r="153" spans="1:16" ht="29" x14ac:dyDescent="0.35">
      <c r="A153" t="s">
        <v>207</v>
      </c>
      <c r="B153" t="s">
        <v>43</v>
      </c>
      <c r="C153" t="s">
        <v>73</v>
      </c>
      <c r="D153" t="s">
        <v>167</v>
      </c>
      <c r="E153" t="s">
        <v>20</v>
      </c>
      <c r="F153" t="s">
        <v>21</v>
      </c>
      <c r="G153" t="s">
        <v>25</v>
      </c>
      <c r="H153" t="b">
        <v>1</v>
      </c>
      <c r="I153">
        <v>10</v>
      </c>
      <c r="J153">
        <v>46.15</v>
      </c>
      <c r="K153">
        <v>58</v>
      </c>
      <c r="L153">
        <v>359.97</v>
      </c>
      <c r="M153">
        <v>6.8513090099999993E-2</v>
      </c>
      <c r="N153">
        <v>359.97</v>
      </c>
      <c r="O153">
        <v>6.8513090099999993E-2</v>
      </c>
      <c r="P153" s="1" t="s">
        <v>23</v>
      </c>
    </row>
    <row r="154" spans="1:16" x14ac:dyDescent="0.35">
      <c r="A154" t="s">
        <v>208</v>
      </c>
      <c r="B154" t="s">
        <v>43</v>
      </c>
      <c r="C154" t="s">
        <v>73</v>
      </c>
      <c r="D154" t="s">
        <v>167</v>
      </c>
      <c r="E154" t="s">
        <v>20</v>
      </c>
      <c r="F154" t="s">
        <v>21</v>
      </c>
      <c r="G154" t="s">
        <v>45</v>
      </c>
      <c r="H154" t="b">
        <v>1</v>
      </c>
      <c r="I154">
        <v>10</v>
      </c>
      <c r="J154">
        <v>17.100000000000001</v>
      </c>
      <c r="L154">
        <v>34.200000000000003</v>
      </c>
      <c r="M154">
        <v>1.2654E-2</v>
      </c>
      <c r="N154">
        <v>34.200000000000003</v>
      </c>
      <c r="O154">
        <v>1.2654E-2</v>
      </c>
    </row>
    <row r="155" spans="1:16" ht="29" x14ac:dyDescent="0.35">
      <c r="A155" t="s">
        <v>209</v>
      </c>
      <c r="B155" t="s">
        <v>43</v>
      </c>
      <c r="C155" t="s">
        <v>73</v>
      </c>
      <c r="D155" t="s">
        <v>167</v>
      </c>
      <c r="E155" t="s">
        <v>20</v>
      </c>
      <c r="F155" t="s">
        <v>21</v>
      </c>
      <c r="G155" t="s">
        <v>22</v>
      </c>
      <c r="H155" t="b">
        <v>1</v>
      </c>
      <c r="I155">
        <v>10</v>
      </c>
      <c r="J155">
        <v>29.8571428571429</v>
      </c>
      <c r="L155">
        <v>20.9</v>
      </c>
      <c r="M155">
        <v>1.5005901426780001E-3</v>
      </c>
      <c r="N155">
        <v>20.9</v>
      </c>
      <c r="O155">
        <v>1.5005901426780001E-3</v>
      </c>
      <c r="P155" s="1" t="s">
        <v>23</v>
      </c>
    </row>
    <row r="156" spans="1:16" x14ac:dyDescent="0.35">
      <c r="A156" t="s">
        <v>210</v>
      </c>
      <c r="B156" t="s">
        <v>43</v>
      </c>
      <c r="C156" t="s">
        <v>73</v>
      </c>
      <c r="D156" t="s">
        <v>167</v>
      </c>
      <c r="E156" t="s">
        <v>20</v>
      </c>
      <c r="F156" t="s">
        <v>21</v>
      </c>
      <c r="G156" t="s">
        <v>60</v>
      </c>
      <c r="H156" t="b">
        <v>1</v>
      </c>
      <c r="I156">
        <v>10</v>
      </c>
      <c r="J156">
        <v>18.5</v>
      </c>
      <c r="L156">
        <v>7.4</v>
      </c>
      <c r="M156">
        <v>4.2597360000000001E-3</v>
      </c>
      <c r="N156">
        <v>7.4</v>
      </c>
      <c r="O156">
        <v>4.2597360000000001E-3</v>
      </c>
    </row>
    <row r="157" spans="1:16" ht="29" x14ac:dyDescent="0.35">
      <c r="A157" t="s">
        <v>211</v>
      </c>
      <c r="B157" t="s">
        <v>82</v>
      </c>
      <c r="C157" t="s">
        <v>83</v>
      </c>
      <c r="D157" t="s">
        <v>167</v>
      </c>
      <c r="E157" t="s">
        <v>20</v>
      </c>
      <c r="F157" t="s">
        <v>21</v>
      </c>
      <c r="G157" t="s">
        <v>25</v>
      </c>
      <c r="H157" t="b">
        <v>1</v>
      </c>
      <c r="I157">
        <v>10</v>
      </c>
      <c r="J157">
        <v>69.099999999999994</v>
      </c>
      <c r="K157">
        <v>37</v>
      </c>
      <c r="L157">
        <v>393.87</v>
      </c>
      <c r="M157">
        <v>7.4965277100000005E-2</v>
      </c>
      <c r="N157">
        <v>393.87</v>
      </c>
      <c r="O157">
        <v>7.4965277100000005E-2</v>
      </c>
      <c r="P157" s="1" t="s">
        <v>23</v>
      </c>
    </row>
    <row r="158" spans="1:16" ht="29" x14ac:dyDescent="0.35">
      <c r="A158" t="s">
        <v>212</v>
      </c>
      <c r="B158" t="s">
        <v>82</v>
      </c>
      <c r="C158" t="s">
        <v>83</v>
      </c>
      <c r="D158" t="s">
        <v>167</v>
      </c>
      <c r="E158" t="s">
        <v>20</v>
      </c>
      <c r="F158" t="s">
        <v>21</v>
      </c>
      <c r="G158" t="s">
        <v>22</v>
      </c>
      <c r="H158" t="b">
        <v>1</v>
      </c>
      <c r="I158">
        <v>10</v>
      </c>
      <c r="J158">
        <v>18.8333333333333</v>
      </c>
      <c r="L158">
        <v>11.3</v>
      </c>
      <c r="M158">
        <v>8.11323857046E-4</v>
      </c>
      <c r="N158">
        <v>11.3</v>
      </c>
      <c r="O158">
        <v>8.11323857046E-4</v>
      </c>
      <c r="P158" s="1" t="s">
        <v>23</v>
      </c>
    </row>
    <row r="159" spans="1:16" x14ac:dyDescent="0.35">
      <c r="A159" t="s">
        <v>213</v>
      </c>
      <c r="B159" t="s">
        <v>82</v>
      </c>
      <c r="C159" t="s">
        <v>83</v>
      </c>
      <c r="D159" t="s">
        <v>167</v>
      </c>
      <c r="E159" t="s">
        <v>20</v>
      </c>
      <c r="F159" t="s">
        <v>21</v>
      </c>
      <c r="G159" t="s">
        <v>29</v>
      </c>
      <c r="H159" t="b">
        <v>1</v>
      </c>
      <c r="I159">
        <v>10</v>
      </c>
      <c r="J159">
        <v>5.1428571428571397</v>
      </c>
      <c r="L159">
        <v>3.6</v>
      </c>
      <c r="M159">
        <v>1.404E-4</v>
      </c>
      <c r="N159">
        <v>3.6</v>
      </c>
      <c r="O159">
        <v>1.404E-4</v>
      </c>
    </row>
    <row r="160" spans="1:16" ht="29" x14ac:dyDescent="0.35">
      <c r="A160" t="s">
        <v>214</v>
      </c>
      <c r="B160" t="s">
        <v>82</v>
      </c>
      <c r="C160" t="s">
        <v>86</v>
      </c>
      <c r="D160" t="s">
        <v>167</v>
      </c>
      <c r="E160" t="s">
        <v>20</v>
      </c>
      <c r="F160" t="s">
        <v>64</v>
      </c>
      <c r="G160" t="s">
        <v>25</v>
      </c>
      <c r="H160" t="b">
        <v>1</v>
      </c>
      <c r="I160">
        <v>10</v>
      </c>
      <c r="J160">
        <v>54.3</v>
      </c>
      <c r="K160">
        <v>27</v>
      </c>
      <c r="L160">
        <v>8017.6702708333296</v>
      </c>
      <c r="M160">
        <v>1.5260031826477101</v>
      </c>
      <c r="N160">
        <v>8017.6702708333296</v>
      </c>
      <c r="O160">
        <v>1.5260031826477101</v>
      </c>
      <c r="P160" s="1" t="s">
        <v>23</v>
      </c>
    </row>
    <row r="161" spans="1:16" x14ac:dyDescent="0.35">
      <c r="A161" t="s">
        <v>215</v>
      </c>
      <c r="B161" t="s">
        <v>82</v>
      </c>
      <c r="C161" t="s">
        <v>86</v>
      </c>
      <c r="D161" t="s">
        <v>167</v>
      </c>
      <c r="E161" t="s">
        <v>20</v>
      </c>
      <c r="F161" t="s">
        <v>64</v>
      </c>
      <c r="G161" t="s">
        <v>29</v>
      </c>
      <c r="H161" t="b">
        <v>1</v>
      </c>
      <c r="I161">
        <v>10</v>
      </c>
      <c r="J161">
        <v>4.28571428571429</v>
      </c>
      <c r="L161">
        <v>188.495833333333</v>
      </c>
      <c r="M161">
        <v>7.3513374999999897E-3</v>
      </c>
      <c r="N161">
        <v>188.495833333333</v>
      </c>
      <c r="O161">
        <v>7.3513374999999897E-3</v>
      </c>
    </row>
    <row r="162" spans="1:16" ht="29" x14ac:dyDescent="0.35">
      <c r="A162" t="s">
        <v>216</v>
      </c>
      <c r="B162" t="s">
        <v>82</v>
      </c>
      <c r="C162" t="s">
        <v>90</v>
      </c>
      <c r="D162" t="s">
        <v>167</v>
      </c>
      <c r="E162" t="s">
        <v>20</v>
      </c>
      <c r="F162" t="s">
        <v>64</v>
      </c>
      <c r="G162" t="s">
        <v>25</v>
      </c>
      <c r="H162" t="b">
        <v>1</v>
      </c>
      <c r="I162">
        <v>10</v>
      </c>
      <c r="J162">
        <v>45.25</v>
      </c>
      <c r="K162">
        <v>48</v>
      </c>
      <c r="L162">
        <v>9666.69465277778</v>
      </c>
      <c r="M162">
        <v>1.8398619932631901</v>
      </c>
      <c r="N162">
        <v>9666.69465277778</v>
      </c>
      <c r="O162">
        <v>1.8398619932631901</v>
      </c>
      <c r="P162" s="1" t="s">
        <v>23</v>
      </c>
    </row>
    <row r="163" spans="1:16" ht="29" x14ac:dyDescent="0.35">
      <c r="A163" t="s">
        <v>217</v>
      </c>
      <c r="B163" t="s">
        <v>82</v>
      </c>
      <c r="C163" t="s">
        <v>90</v>
      </c>
      <c r="D163" t="s">
        <v>167</v>
      </c>
      <c r="E163" t="s">
        <v>20</v>
      </c>
      <c r="F163" t="s">
        <v>64</v>
      </c>
      <c r="G163" t="s">
        <v>22</v>
      </c>
      <c r="H163" t="b">
        <v>1</v>
      </c>
      <c r="I163">
        <v>10</v>
      </c>
      <c r="J163">
        <v>15</v>
      </c>
      <c r="L163">
        <v>94.247916666666697</v>
      </c>
      <c r="M163">
        <v>6.76686577597787E-3</v>
      </c>
      <c r="N163">
        <v>94.247916666666598</v>
      </c>
      <c r="O163">
        <v>6.76686577597787E-3</v>
      </c>
      <c r="P163" s="1" t="s">
        <v>23</v>
      </c>
    </row>
    <row r="164" spans="1:16" x14ac:dyDescent="0.35">
      <c r="A164" t="s">
        <v>218</v>
      </c>
      <c r="B164" t="s">
        <v>82</v>
      </c>
      <c r="C164" t="s">
        <v>90</v>
      </c>
      <c r="D164" t="s">
        <v>167</v>
      </c>
      <c r="E164" t="s">
        <v>20</v>
      </c>
      <c r="F164" t="s">
        <v>64</v>
      </c>
      <c r="G164" t="s">
        <v>29</v>
      </c>
      <c r="H164" t="b">
        <v>1</v>
      </c>
      <c r="I164">
        <v>10</v>
      </c>
      <c r="J164">
        <v>4.6363636363636402</v>
      </c>
      <c r="L164">
        <v>160.221458333333</v>
      </c>
      <c r="M164">
        <v>6.2486368749999901E-3</v>
      </c>
      <c r="N164">
        <v>160.221458333333</v>
      </c>
      <c r="O164">
        <v>6.2486368749999901E-3</v>
      </c>
    </row>
    <row r="165" spans="1:16" x14ac:dyDescent="0.35">
      <c r="A165" t="s">
        <v>219</v>
      </c>
      <c r="B165" t="s">
        <v>82</v>
      </c>
      <c r="C165" t="s">
        <v>90</v>
      </c>
      <c r="D165" t="s">
        <v>167</v>
      </c>
      <c r="E165" t="s">
        <v>20</v>
      </c>
      <c r="F165" t="s">
        <v>64</v>
      </c>
      <c r="G165" t="s">
        <v>36</v>
      </c>
      <c r="H165" t="b">
        <v>1</v>
      </c>
      <c r="I165">
        <v>10</v>
      </c>
      <c r="J165">
        <v>32</v>
      </c>
      <c r="L165">
        <v>100.531111111111</v>
      </c>
      <c r="M165">
        <v>0.27188638999999998</v>
      </c>
      <c r="N165">
        <v>100.531111111111</v>
      </c>
      <c r="O165">
        <v>0.27188638999999998</v>
      </c>
    </row>
    <row r="166" spans="1:16" x14ac:dyDescent="0.35">
      <c r="A166" t="s">
        <v>220</v>
      </c>
      <c r="B166" t="s">
        <v>82</v>
      </c>
      <c r="C166" t="s">
        <v>90</v>
      </c>
      <c r="D166" t="s">
        <v>167</v>
      </c>
      <c r="E166" t="s">
        <v>20</v>
      </c>
      <c r="F166" t="s">
        <v>64</v>
      </c>
      <c r="G166" t="s">
        <v>45</v>
      </c>
      <c r="H166" t="b">
        <v>1</v>
      </c>
      <c r="I166">
        <v>10</v>
      </c>
      <c r="J166">
        <v>180</v>
      </c>
      <c r="L166">
        <v>565.48749999999995</v>
      </c>
      <c r="M166">
        <v>0.209230375</v>
      </c>
      <c r="N166">
        <v>565.48749999999995</v>
      </c>
      <c r="O166">
        <v>0.209230375</v>
      </c>
    </row>
    <row r="167" spans="1:16" ht="29" x14ac:dyDescent="0.35">
      <c r="A167" t="s">
        <v>221</v>
      </c>
      <c r="B167" t="s">
        <v>82</v>
      </c>
      <c r="C167" t="s">
        <v>93</v>
      </c>
      <c r="D167" t="s">
        <v>167</v>
      </c>
      <c r="E167" t="s">
        <v>20</v>
      </c>
      <c r="F167" t="s">
        <v>21</v>
      </c>
      <c r="G167" t="s">
        <v>25</v>
      </c>
      <c r="H167" t="b">
        <v>1</v>
      </c>
      <c r="I167">
        <v>10</v>
      </c>
      <c r="J167">
        <v>50.8</v>
      </c>
      <c r="K167">
        <v>110</v>
      </c>
      <c r="L167">
        <v>660.4</v>
      </c>
      <c r="M167">
        <v>0.12569393200000001</v>
      </c>
      <c r="N167">
        <v>660.4</v>
      </c>
      <c r="O167">
        <v>0.12569393200000001</v>
      </c>
      <c r="P167" s="1" t="s">
        <v>23</v>
      </c>
    </row>
    <row r="168" spans="1:16" x14ac:dyDescent="0.35">
      <c r="A168" t="s">
        <v>222</v>
      </c>
      <c r="B168" t="s">
        <v>82</v>
      </c>
      <c r="C168" t="s">
        <v>93</v>
      </c>
      <c r="D168" t="s">
        <v>167</v>
      </c>
      <c r="E168" t="s">
        <v>20</v>
      </c>
      <c r="F168" t="s">
        <v>21</v>
      </c>
      <c r="G168" t="s">
        <v>29</v>
      </c>
      <c r="H168" t="b">
        <v>1</v>
      </c>
      <c r="I168">
        <v>10</v>
      </c>
      <c r="J168">
        <v>7.8571428571428603</v>
      </c>
      <c r="L168">
        <v>5.5</v>
      </c>
      <c r="M168">
        <v>2.1450000000000001E-4</v>
      </c>
      <c r="N168">
        <v>5.5</v>
      </c>
      <c r="O168">
        <v>2.1450000000000001E-4</v>
      </c>
    </row>
    <row r="169" spans="1:16" ht="29" x14ac:dyDescent="0.35">
      <c r="A169" t="s">
        <v>223</v>
      </c>
      <c r="B169" t="s">
        <v>82</v>
      </c>
      <c r="C169" t="s">
        <v>93</v>
      </c>
      <c r="D169" t="s">
        <v>167</v>
      </c>
      <c r="E169" t="s">
        <v>20</v>
      </c>
      <c r="F169" t="s">
        <v>21</v>
      </c>
      <c r="G169" t="s">
        <v>22</v>
      </c>
      <c r="H169" t="b">
        <v>1</v>
      </c>
      <c r="I169">
        <v>10</v>
      </c>
      <c r="J169">
        <v>29.5</v>
      </c>
      <c r="L169">
        <v>11.8</v>
      </c>
      <c r="M169">
        <v>8.4722314275599998E-4</v>
      </c>
      <c r="N169">
        <v>11.8</v>
      </c>
      <c r="O169">
        <v>8.4722314275599998E-4</v>
      </c>
      <c r="P169" s="1" t="s">
        <v>23</v>
      </c>
    </row>
    <row r="170" spans="1:16" x14ac:dyDescent="0.35">
      <c r="A170" t="s">
        <v>224</v>
      </c>
      <c r="B170" t="s">
        <v>82</v>
      </c>
      <c r="C170" t="s">
        <v>93</v>
      </c>
      <c r="D170" t="s">
        <v>167</v>
      </c>
      <c r="E170" t="s">
        <v>20</v>
      </c>
      <c r="F170" t="s">
        <v>21</v>
      </c>
      <c r="G170" t="s">
        <v>80</v>
      </c>
      <c r="H170" t="b">
        <v>1</v>
      </c>
      <c r="I170">
        <v>10</v>
      </c>
      <c r="J170">
        <v>18</v>
      </c>
      <c r="L170">
        <v>1.8</v>
      </c>
      <c r="M170">
        <v>3.9780000000000002E-4</v>
      </c>
      <c r="N170">
        <v>1.8</v>
      </c>
      <c r="O170">
        <v>3.9780000000000002E-4</v>
      </c>
    </row>
    <row r="171" spans="1:16" x14ac:dyDescent="0.35">
      <c r="A171" t="s">
        <v>225</v>
      </c>
      <c r="B171" t="s">
        <v>96</v>
      </c>
      <c r="C171" t="s">
        <v>97</v>
      </c>
      <c r="D171" t="s">
        <v>167</v>
      </c>
      <c r="E171" t="s">
        <v>20</v>
      </c>
      <c r="F171" t="s">
        <v>21</v>
      </c>
      <c r="G171" t="s">
        <v>45</v>
      </c>
      <c r="H171" t="b">
        <v>1</v>
      </c>
      <c r="I171">
        <v>10</v>
      </c>
      <c r="J171">
        <v>15.5714285714286</v>
      </c>
      <c r="L171">
        <v>21.8</v>
      </c>
      <c r="M171">
        <v>8.0660000000000003E-3</v>
      </c>
      <c r="N171">
        <v>21.8</v>
      </c>
      <c r="O171">
        <v>8.0660000000000003E-3</v>
      </c>
    </row>
    <row r="172" spans="1:16" x14ac:dyDescent="0.35">
      <c r="A172" t="s">
        <v>226</v>
      </c>
      <c r="B172" t="s">
        <v>96</v>
      </c>
      <c r="C172" t="s">
        <v>97</v>
      </c>
      <c r="D172" t="s">
        <v>167</v>
      </c>
      <c r="E172" t="s">
        <v>20</v>
      </c>
      <c r="F172" t="s">
        <v>21</v>
      </c>
      <c r="G172" t="s">
        <v>100</v>
      </c>
      <c r="H172" t="b">
        <v>1</v>
      </c>
      <c r="I172">
        <v>10</v>
      </c>
      <c r="J172">
        <v>420</v>
      </c>
      <c r="L172">
        <v>84</v>
      </c>
      <c r="M172">
        <v>0</v>
      </c>
      <c r="N172">
        <v>84</v>
      </c>
      <c r="O172">
        <v>0</v>
      </c>
    </row>
    <row r="173" spans="1:16" x14ac:dyDescent="0.35">
      <c r="A173" t="s">
        <v>227</v>
      </c>
      <c r="B173" t="s">
        <v>96</v>
      </c>
      <c r="C173" t="s">
        <v>97</v>
      </c>
      <c r="D173" t="s">
        <v>167</v>
      </c>
      <c r="E173" t="s">
        <v>20</v>
      </c>
      <c r="F173" t="s">
        <v>21</v>
      </c>
      <c r="G173" t="s">
        <v>60</v>
      </c>
      <c r="H173" t="b">
        <v>1</v>
      </c>
      <c r="I173">
        <v>10</v>
      </c>
      <c r="J173">
        <v>20.882352941176499</v>
      </c>
      <c r="L173">
        <v>35.5</v>
      </c>
      <c r="M173">
        <v>2.043522E-2</v>
      </c>
      <c r="N173">
        <v>35.5</v>
      </c>
      <c r="O173">
        <v>2.043522E-2</v>
      </c>
    </row>
    <row r="174" spans="1:16" x14ac:dyDescent="0.35">
      <c r="A174" t="s">
        <v>228</v>
      </c>
      <c r="B174" t="s">
        <v>96</v>
      </c>
      <c r="C174" t="s">
        <v>97</v>
      </c>
      <c r="D174" t="s">
        <v>167</v>
      </c>
      <c r="E174" t="s">
        <v>20</v>
      </c>
      <c r="F174" t="s">
        <v>21</v>
      </c>
      <c r="G174" t="s">
        <v>114</v>
      </c>
      <c r="H174" t="b">
        <v>1</v>
      </c>
      <c r="I174">
        <v>10</v>
      </c>
      <c r="J174">
        <v>104</v>
      </c>
      <c r="L174">
        <v>20.8</v>
      </c>
      <c r="M174">
        <v>1.9414720000000001E-3</v>
      </c>
      <c r="N174">
        <v>20.8</v>
      </c>
      <c r="O174">
        <v>1.9414720000000001E-3</v>
      </c>
    </row>
    <row r="175" spans="1:16" x14ac:dyDescent="0.35">
      <c r="A175" t="s">
        <v>229</v>
      </c>
      <c r="B175" t="s">
        <v>96</v>
      </c>
      <c r="C175" t="s">
        <v>97</v>
      </c>
      <c r="D175" t="s">
        <v>167</v>
      </c>
      <c r="E175" t="s">
        <v>20</v>
      </c>
      <c r="F175" t="s">
        <v>21</v>
      </c>
      <c r="G175" t="s">
        <v>80</v>
      </c>
      <c r="H175" t="b">
        <v>1</v>
      </c>
      <c r="I175">
        <v>10</v>
      </c>
      <c r="J175">
        <v>32.5</v>
      </c>
      <c r="L175">
        <v>13</v>
      </c>
      <c r="M175">
        <v>2.8730000000000001E-3</v>
      </c>
      <c r="N175">
        <v>13</v>
      </c>
      <c r="O175">
        <v>2.8730000000000001E-3</v>
      </c>
    </row>
    <row r="176" spans="1:16" x14ac:dyDescent="0.35">
      <c r="A176" t="s">
        <v>230</v>
      </c>
      <c r="B176" t="s">
        <v>96</v>
      </c>
      <c r="C176" t="s">
        <v>97</v>
      </c>
      <c r="D176" t="s">
        <v>167</v>
      </c>
      <c r="E176" t="s">
        <v>20</v>
      </c>
      <c r="F176" t="s">
        <v>21</v>
      </c>
      <c r="G176" t="s">
        <v>36</v>
      </c>
      <c r="H176" t="b">
        <v>1</v>
      </c>
      <c r="I176">
        <v>10</v>
      </c>
      <c r="J176">
        <v>48</v>
      </c>
      <c r="L176">
        <v>4.8</v>
      </c>
      <c r="M176">
        <v>1.2981599999999999E-2</v>
      </c>
      <c r="N176">
        <v>4.8</v>
      </c>
      <c r="O176">
        <v>1.2981599999999999E-2</v>
      </c>
    </row>
    <row r="177" spans="1:16" x14ac:dyDescent="0.35">
      <c r="A177" t="s">
        <v>231</v>
      </c>
      <c r="B177" t="s">
        <v>96</v>
      </c>
      <c r="C177" t="s">
        <v>97</v>
      </c>
      <c r="D177" t="s">
        <v>167</v>
      </c>
      <c r="E177" t="s">
        <v>20</v>
      </c>
      <c r="F177" t="s">
        <v>21</v>
      </c>
      <c r="G177" t="s">
        <v>29</v>
      </c>
      <c r="H177" t="b">
        <v>1</v>
      </c>
      <c r="I177">
        <v>10</v>
      </c>
      <c r="J177">
        <v>24.3333333333333</v>
      </c>
      <c r="L177">
        <v>7.3</v>
      </c>
      <c r="M177">
        <v>2.8469999999999998E-4</v>
      </c>
      <c r="N177">
        <v>7.3</v>
      </c>
      <c r="O177">
        <v>2.8469999999999998E-4</v>
      </c>
    </row>
    <row r="178" spans="1:16" x14ac:dyDescent="0.35">
      <c r="A178" t="s">
        <v>232</v>
      </c>
      <c r="B178" t="s">
        <v>17</v>
      </c>
      <c r="C178" t="s">
        <v>18</v>
      </c>
      <c r="D178" t="s">
        <v>233</v>
      </c>
      <c r="E178" t="s">
        <v>20</v>
      </c>
      <c r="F178" t="s">
        <v>21</v>
      </c>
      <c r="G178" t="s">
        <v>54</v>
      </c>
      <c r="H178" t="b">
        <v>1</v>
      </c>
      <c r="I178">
        <v>10</v>
      </c>
      <c r="J178">
        <v>13.6666666666667</v>
      </c>
      <c r="L178">
        <v>4.0999999999999996</v>
      </c>
      <c r="M178">
        <v>4.5100000000000001E-4</v>
      </c>
      <c r="N178">
        <v>4.0999999999999996</v>
      </c>
      <c r="O178">
        <v>4.5100000000000001E-4</v>
      </c>
    </row>
    <row r="179" spans="1:16" x14ac:dyDescent="0.35">
      <c r="A179" t="s">
        <v>234</v>
      </c>
      <c r="B179" t="s">
        <v>17</v>
      </c>
      <c r="C179" t="s">
        <v>18</v>
      </c>
      <c r="D179" t="s">
        <v>233</v>
      </c>
      <c r="E179" t="s">
        <v>20</v>
      </c>
      <c r="F179" t="s">
        <v>21</v>
      </c>
      <c r="G179" t="s">
        <v>80</v>
      </c>
      <c r="H179" t="b">
        <v>1</v>
      </c>
      <c r="I179">
        <v>10</v>
      </c>
      <c r="J179">
        <v>15.214285714285699</v>
      </c>
      <c r="L179">
        <v>21.3</v>
      </c>
      <c r="M179">
        <v>4.7073000000000002E-3</v>
      </c>
      <c r="N179">
        <v>21.3</v>
      </c>
      <c r="O179">
        <v>4.7073000000000002E-3</v>
      </c>
    </row>
    <row r="180" spans="1:16" ht="29" x14ac:dyDescent="0.35">
      <c r="A180" t="s">
        <v>235</v>
      </c>
      <c r="B180" t="s">
        <v>17</v>
      </c>
      <c r="C180" t="s">
        <v>18</v>
      </c>
      <c r="D180" t="s">
        <v>233</v>
      </c>
      <c r="E180" t="s">
        <v>20</v>
      </c>
      <c r="F180" t="s">
        <v>21</v>
      </c>
      <c r="G180" t="s">
        <v>22</v>
      </c>
      <c r="H180" t="b">
        <v>1</v>
      </c>
      <c r="I180">
        <v>10</v>
      </c>
      <c r="J180">
        <v>36</v>
      </c>
      <c r="L180">
        <v>39.6</v>
      </c>
      <c r="M180">
        <v>2.843223428232E-3</v>
      </c>
      <c r="N180">
        <v>39.6</v>
      </c>
      <c r="O180">
        <v>2.843223428232E-3</v>
      </c>
      <c r="P180" s="1" t="s">
        <v>23</v>
      </c>
    </row>
    <row r="181" spans="1:16" x14ac:dyDescent="0.35">
      <c r="A181" t="s">
        <v>236</v>
      </c>
      <c r="B181" t="s">
        <v>17</v>
      </c>
      <c r="C181" t="s">
        <v>18</v>
      </c>
      <c r="D181" t="s">
        <v>233</v>
      </c>
      <c r="E181" t="s">
        <v>20</v>
      </c>
      <c r="F181" t="s">
        <v>21</v>
      </c>
      <c r="G181" t="s">
        <v>45</v>
      </c>
      <c r="H181" t="b">
        <v>1</v>
      </c>
      <c r="I181">
        <v>10</v>
      </c>
      <c r="J181">
        <v>16.6666666666667</v>
      </c>
      <c r="L181">
        <v>5</v>
      </c>
      <c r="M181">
        <v>1.8500000000000001E-3</v>
      </c>
      <c r="N181">
        <v>5</v>
      </c>
      <c r="O181">
        <v>1.8500000000000001E-3</v>
      </c>
    </row>
    <row r="182" spans="1:16" ht="29" x14ac:dyDescent="0.35">
      <c r="A182" t="s">
        <v>237</v>
      </c>
      <c r="B182" t="s">
        <v>17</v>
      </c>
      <c r="C182" t="s">
        <v>18</v>
      </c>
      <c r="D182" t="s">
        <v>233</v>
      </c>
      <c r="E182" t="s">
        <v>20</v>
      </c>
      <c r="F182" t="s">
        <v>21</v>
      </c>
      <c r="G182" t="s">
        <v>25</v>
      </c>
      <c r="H182" t="b">
        <v>1</v>
      </c>
      <c r="I182">
        <v>10</v>
      </c>
      <c r="J182">
        <v>58.3333333333333</v>
      </c>
      <c r="L182">
        <v>17.5</v>
      </c>
      <c r="M182">
        <v>3.3307749999999998E-3</v>
      </c>
      <c r="N182">
        <v>17.5</v>
      </c>
      <c r="O182">
        <v>3.3307749999999998E-3</v>
      </c>
      <c r="P182" s="1" t="s">
        <v>23</v>
      </c>
    </row>
    <row r="183" spans="1:16" x14ac:dyDescent="0.35">
      <c r="A183" t="s">
        <v>238</v>
      </c>
      <c r="B183" t="s">
        <v>17</v>
      </c>
      <c r="C183" t="s">
        <v>18</v>
      </c>
      <c r="D183" t="s">
        <v>233</v>
      </c>
      <c r="E183" t="s">
        <v>20</v>
      </c>
      <c r="F183" t="s">
        <v>21</v>
      </c>
      <c r="G183" t="s">
        <v>29</v>
      </c>
      <c r="H183" t="b">
        <v>1</v>
      </c>
      <c r="I183">
        <v>10</v>
      </c>
      <c r="J183">
        <v>14.3333333333333</v>
      </c>
      <c r="L183">
        <v>17.2</v>
      </c>
      <c r="M183">
        <v>6.7080000000000004E-4</v>
      </c>
      <c r="N183">
        <v>17.2</v>
      </c>
      <c r="O183">
        <v>6.7080000000000004E-4</v>
      </c>
    </row>
    <row r="184" spans="1:16" x14ac:dyDescent="0.35">
      <c r="A184" t="s">
        <v>239</v>
      </c>
      <c r="B184" t="s">
        <v>17</v>
      </c>
      <c r="C184" t="s">
        <v>18</v>
      </c>
      <c r="D184" t="s">
        <v>233</v>
      </c>
      <c r="E184" t="s">
        <v>20</v>
      </c>
      <c r="F184" t="s">
        <v>21</v>
      </c>
      <c r="G184" t="s">
        <v>36</v>
      </c>
      <c r="H184" t="b">
        <v>1</v>
      </c>
      <c r="I184">
        <v>10</v>
      </c>
      <c r="J184">
        <v>161</v>
      </c>
      <c r="L184">
        <v>32.200000000000003</v>
      </c>
      <c r="M184">
        <v>8.7084900000000007E-2</v>
      </c>
      <c r="N184">
        <v>32.200000000000003</v>
      </c>
      <c r="O184">
        <v>8.7084900000000007E-2</v>
      </c>
    </row>
    <row r="185" spans="1:16" x14ac:dyDescent="0.35">
      <c r="A185" t="s">
        <v>240</v>
      </c>
      <c r="B185" t="s">
        <v>17</v>
      </c>
      <c r="C185" t="s">
        <v>18</v>
      </c>
      <c r="D185" t="s">
        <v>233</v>
      </c>
      <c r="E185" t="s">
        <v>20</v>
      </c>
      <c r="F185" t="s">
        <v>21</v>
      </c>
      <c r="G185" t="s">
        <v>114</v>
      </c>
      <c r="H185" t="b">
        <v>1</v>
      </c>
      <c r="I185">
        <v>10</v>
      </c>
      <c r="J185">
        <v>78</v>
      </c>
      <c r="L185">
        <v>7.8</v>
      </c>
      <c r="M185">
        <v>7.2805199999999997E-4</v>
      </c>
      <c r="N185">
        <v>7.8</v>
      </c>
      <c r="O185">
        <v>7.2805199999999997E-4</v>
      </c>
    </row>
    <row r="186" spans="1:16" ht="29" x14ac:dyDescent="0.35">
      <c r="A186" t="s">
        <v>241</v>
      </c>
      <c r="B186" t="s">
        <v>17</v>
      </c>
      <c r="C186" t="s">
        <v>33</v>
      </c>
      <c r="D186" t="s">
        <v>233</v>
      </c>
      <c r="E186" t="s">
        <v>20</v>
      </c>
      <c r="F186" t="s">
        <v>21</v>
      </c>
      <c r="G186" t="s">
        <v>22</v>
      </c>
      <c r="H186" t="b">
        <v>1</v>
      </c>
      <c r="I186">
        <v>10</v>
      </c>
      <c r="J186">
        <v>69.95</v>
      </c>
      <c r="K186">
        <v>80</v>
      </c>
      <c r="L186">
        <v>699.5</v>
      </c>
      <c r="M186">
        <v>5.0223100708290003E-2</v>
      </c>
      <c r="N186">
        <v>699.5</v>
      </c>
      <c r="O186">
        <v>5.0223100708290003E-2</v>
      </c>
      <c r="P186" s="1" t="s">
        <v>23</v>
      </c>
    </row>
    <row r="187" spans="1:16" x14ac:dyDescent="0.35">
      <c r="A187" t="s">
        <v>242</v>
      </c>
      <c r="B187" t="s">
        <v>17</v>
      </c>
      <c r="C187" t="s">
        <v>33</v>
      </c>
      <c r="D187" t="s">
        <v>233</v>
      </c>
      <c r="E187" t="s">
        <v>20</v>
      </c>
      <c r="F187" t="s">
        <v>21</v>
      </c>
      <c r="G187" t="s">
        <v>29</v>
      </c>
      <c r="H187" t="b">
        <v>1</v>
      </c>
      <c r="I187">
        <v>10</v>
      </c>
      <c r="J187">
        <v>7.5</v>
      </c>
      <c r="L187">
        <v>4.5</v>
      </c>
      <c r="M187">
        <v>1.7550000000000001E-4</v>
      </c>
      <c r="N187">
        <v>4.5</v>
      </c>
      <c r="O187">
        <v>1.7550000000000001E-4</v>
      </c>
    </row>
    <row r="188" spans="1:16" x14ac:dyDescent="0.35">
      <c r="A188" t="s">
        <v>243</v>
      </c>
      <c r="B188" t="s">
        <v>17</v>
      </c>
      <c r="C188" t="s">
        <v>33</v>
      </c>
      <c r="D188" t="s">
        <v>233</v>
      </c>
      <c r="E188" t="s">
        <v>20</v>
      </c>
      <c r="F188" t="s">
        <v>21</v>
      </c>
      <c r="G188" t="s">
        <v>54</v>
      </c>
      <c r="H188" t="b">
        <v>1</v>
      </c>
      <c r="I188">
        <v>10</v>
      </c>
      <c r="J188">
        <v>19.5</v>
      </c>
      <c r="L188">
        <v>11.7</v>
      </c>
      <c r="M188">
        <v>1.2869999999999999E-3</v>
      </c>
      <c r="N188">
        <v>11.7</v>
      </c>
      <c r="O188">
        <v>1.2869999999999999E-3</v>
      </c>
    </row>
    <row r="189" spans="1:16" x14ac:dyDescent="0.35">
      <c r="A189" t="s">
        <v>244</v>
      </c>
      <c r="B189" t="s">
        <v>17</v>
      </c>
      <c r="C189" t="s">
        <v>33</v>
      </c>
      <c r="D189" t="s">
        <v>233</v>
      </c>
      <c r="E189" t="s">
        <v>20</v>
      </c>
      <c r="F189" t="s">
        <v>21</v>
      </c>
      <c r="G189" t="s">
        <v>80</v>
      </c>
      <c r="H189" t="b">
        <v>1</v>
      </c>
      <c r="I189">
        <v>10</v>
      </c>
      <c r="J189">
        <v>25.8</v>
      </c>
      <c r="L189">
        <v>12.9</v>
      </c>
      <c r="M189">
        <v>2.8509E-3</v>
      </c>
      <c r="N189">
        <v>12.9</v>
      </c>
      <c r="O189">
        <v>2.8509E-3</v>
      </c>
    </row>
    <row r="190" spans="1:16" ht="29" x14ac:dyDescent="0.35">
      <c r="A190" t="s">
        <v>245</v>
      </c>
      <c r="B190" t="s">
        <v>17</v>
      </c>
      <c r="C190" t="s">
        <v>33</v>
      </c>
      <c r="D190" t="s">
        <v>233</v>
      </c>
      <c r="E190" t="s">
        <v>20</v>
      </c>
      <c r="F190" t="s">
        <v>21</v>
      </c>
      <c r="G190" t="s">
        <v>25</v>
      </c>
      <c r="H190" t="b">
        <v>1</v>
      </c>
      <c r="I190">
        <v>10</v>
      </c>
      <c r="J190">
        <v>38.25</v>
      </c>
      <c r="L190">
        <v>30.6</v>
      </c>
      <c r="M190">
        <v>5.8240979999999998E-3</v>
      </c>
      <c r="N190">
        <v>30.6</v>
      </c>
      <c r="O190">
        <v>5.8240979999999998E-3</v>
      </c>
      <c r="P190" s="1" t="s">
        <v>23</v>
      </c>
    </row>
    <row r="191" spans="1:16" ht="29" x14ac:dyDescent="0.35">
      <c r="A191" t="s">
        <v>246</v>
      </c>
      <c r="B191" t="s">
        <v>17</v>
      </c>
      <c r="C191" t="s">
        <v>33</v>
      </c>
      <c r="D191" t="s">
        <v>233</v>
      </c>
      <c r="E191" t="s">
        <v>20</v>
      </c>
      <c r="F191" t="s">
        <v>21</v>
      </c>
      <c r="G191" s="1" t="s">
        <v>49</v>
      </c>
      <c r="H191" t="b">
        <v>0</v>
      </c>
      <c r="I191">
        <v>10</v>
      </c>
      <c r="J191">
        <v>22</v>
      </c>
      <c r="L191">
        <v>2.2000000000000002</v>
      </c>
      <c r="M191">
        <v>9.8999999999999999E-4</v>
      </c>
      <c r="N191">
        <v>0</v>
      </c>
      <c r="O191">
        <v>0</v>
      </c>
    </row>
    <row r="192" spans="1:16" x14ac:dyDescent="0.35">
      <c r="A192" t="s">
        <v>247</v>
      </c>
      <c r="B192" t="s">
        <v>17</v>
      </c>
      <c r="C192" t="s">
        <v>33</v>
      </c>
      <c r="D192" t="s">
        <v>233</v>
      </c>
      <c r="E192" t="s">
        <v>20</v>
      </c>
      <c r="F192" t="s">
        <v>21</v>
      </c>
      <c r="G192" t="s">
        <v>41</v>
      </c>
      <c r="H192" t="b">
        <v>1</v>
      </c>
      <c r="I192">
        <v>10</v>
      </c>
      <c r="J192">
        <v>14</v>
      </c>
      <c r="L192">
        <v>1.4</v>
      </c>
      <c r="M192">
        <v>3.6400000000000001E-4</v>
      </c>
      <c r="N192">
        <v>1.4</v>
      </c>
      <c r="O192">
        <v>3.6400000000000001E-4</v>
      </c>
    </row>
    <row r="193" spans="1:16" x14ac:dyDescent="0.35">
      <c r="A193" t="s">
        <v>248</v>
      </c>
      <c r="B193" t="s">
        <v>17</v>
      </c>
      <c r="C193" t="s">
        <v>33</v>
      </c>
      <c r="D193" t="s">
        <v>233</v>
      </c>
      <c r="E193" t="s">
        <v>20</v>
      </c>
      <c r="F193" t="s">
        <v>21</v>
      </c>
      <c r="G193" t="s">
        <v>127</v>
      </c>
      <c r="H193" t="b">
        <v>0</v>
      </c>
      <c r="I193">
        <v>10</v>
      </c>
      <c r="J193">
        <v>22</v>
      </c>
      <c r="L193">
        <v>2.2000000000000002</v>
      </c>
      <c r="M193">
        <v>5.0599999999999998E-6</v>
      </c>
      <c r="N193">
        <v>0</v>
      </c>
      <c r="O193">
        <v>0</v>
      </c>
    </row>
    <row r="194" spans="1:16" x14ac:dyDescent="0.35">
      <c r="A194" t="s">
        <v>249</v>
      </c>
      <c r="B194" t="s">
        <v>17</v>
      </c>
      <c r="C194" t="s">
        <v>33</v>
      </c>
      <c r="D194" t="s">
        <v>233</v>
      </c>
      <c r="E194" t="s">
        <v>20</v>
      </c>
      <c r="F194" t="s">
        <v>21</v>
      </c>
      <c r="G194" t="s">
        <v>114</v>
      </c>
      <c r="H194" t="b">
        <v>1</v>
      </c>
      <c r="I194">
        <v>10</v>
      </c>
      <c r="J194">
        <v>96</v>
      </c>
      <c r="L194">
        <v>9.6</v>
      </c>
      <c r="M194">
        <v>8.9606400000000002E-4</v>
      </c>
      <c r="N194">
        <v>9.6</v>
      </c>
      <c r="O194">
        <v>8.9606400000000002E-4</v>
      </c>
    </row>
    <row r="195" spans="1:16" ht="29" x14ac:dyDescent="0.35">
      <c r="A195" t="s">
        <v>250</v>
      </c>
      <c r="B195" t="s">
        <v>43</v>
      </c>
      <c r="C195" t="s">
        <v>44</v>
      </c>
      <c r="D195" t="s">
        <v>233</v>
      </c>
      <c r="E195" t="s">
        <v>20</v>
      </c>
      <c r="F195" t="s">
        <v>21</v>
      </c>
      <c r="G195" t="s">
        <v>25</v>
      </c>
      <c r="H195" t="b">
        <v>1</v>
      </c>
      <c r="I195">
        <v>10</v>
      </c>
      <c r="J195">
        <v>43.153846153846203</v>
      </c>
      <c r="L195">
        <v>56.1</v>
      </c>
      <c r="M195">
        <v>1.0677513E-2</v>
      </c>
      <c r="N195">
        <v>56.1</v>
      </c>
      <c r="O195">
        <v>1.0677513E-2</v>
      </c>
      <c r="P195" s="1" t="s">
        <v>23</v>
      </c>
    </row>
    <row r="196" spans="1:16" x14ac:dyDescent="0.35">
      <c r="A196" t="s">
        <v>251</v>
      </c>
      <c r="B196" t="s">
        <v>43</v>
      </c>
      <c r="C196" t="s">
        <v>44</v>
      </c>
      <c r="D196" t="s">
        <v>233</v>
      </c>
      <c r="E196" t="s">
        <v>20</v>
      </c>
      <c r="F196" t="s">
        <v>21</v>
      </c>
      <c r="G196" t="s">
        <v>45</v>
      </c>
      <c r="H196" t="b">
        <v>1</v>
      </c>
      <c r="I196">
        <v>10</v>
      </c>
      <c r="J196">
        <v>11.8</v>
      </c>
      <c r="L196">
        <v>5.9</v>
      </c>
      <c r="M196">
        <v>2.183E-3</v>
      </c>
      <c r="N196">
        <v>5.9</v>
      </c>
      <c r="O196">
        <v>2.183E-3</v>
      </c>
    </row>
    <row r="197" spans="1:16" ht="29" x14ac:dyDescent="0.35">
      <c r="A197" t="s">
        <v>252</v>
      </c>
      <c r="B197" t="s">
        <v>43</v>
      </c>
      <c r="C197" t="s">
        <v>44</v>
      </c>
      <c r="D197" t="s">
        <v>233</v>
      </c>
      <c r="E197" t="s">
        <v>20</v>
      </c>
      <c r="F197" t="s">
        <v>21</v>
      </c>
      <c r="G197" s="1" t="s">
        <v>49</v>
      </c>
      <c r="H197" t="b">
        <v>0</v>
      </c>
      <c r="I197">
        <v>10</v>
      </c>
      <c r="J197">
        <v>14</v>
      </c>
      <c r="L197">
        <v>5.6</v>
      </c>
      <c r="M197">
        <v>2.5200000000000001E-3</v>
      </c>
      <c r="N197">
        <v>0</v>
      </c>
      <c r="O197">
        <v>0</v>
      </c>
    </row>
    <row r="198" spans="1:16" x14ac:dyDescent="0.35">
      <c r="A198" t="s">
        <v>253</v>
      </c>
      <c r="B198" t="s">
        <v>43</v>
      </c>
      <c r="C198" t="s">
        <v>44</v>
      </c>
      <c r="D198" t="s">
        <v>233</v>
      </c>
      <c r="E198" t="s">
        <v>20</v>
      </c>
      <c r="F198" t="s">
        <v>21</v>
      </c>
      <c r="G198" t="s">
        <v>29</v>
      </c>
      <c r="H198" t="b">
        <v>1</v>
      </c>
      <c r="I198">
        <v>10</v>
      </c>
      <c r="J198">
        <v>19</v>
      </c>
      <c r="L198">
        <v>3.8</v>
      </c>
      <c r="M198">
        <v>1.482E-4</v>
      </c>
      <c r="N198">
        <v>3.8</v>
      </c>
      <c r="O198">
        <v>1.482E-4</v>
      </c>
    </row>
    <row r="199" spans="1:16" x14ac:dyDescent="0.35">
      <c r="A199" t="s">
        <v>254</v>
      </c>
      <c r="B199" t="s">
        <v>43</v>
      </c>
      <c r="C199" t="s">
        <v>44</v>
      </c>
      <c r="D199" t="s">
        <v>233</v>
      </c>
      <c r="E199" t="s">
        <v>20</v>
      </c>
      <c r="F199" t="s">
        <v>21</v>
      </c>
      <c r="G199" t="s">
        <v>36</v>
      </c>
      <c r="H199" t="b">
        <v>1</v>
      </c>
      <c r="I199">
        <v>10</v>
      </c>
      <c r="J199">
        <v>390</v>
      </c>
      <c r="L199">
        <v>39</v>
      </c>
      <c r="M199">
        <v>0.1054755</v>
      </c>
      <c r="N199">
        <v>39</v>
      </c>
      <c r="O199">
        <v>0.1054755</v>
      </c>
    </row>
    <row r="200" spans="1:16" x14ac:dyDescent="0.35">
      <c r="A200" t="s">
        <v>255</v>
      </c>
      <c r="B200" t="s">
        <v>43</v>
      </c>
      <c r="C200" t="s">
        <v>51</v>
      </c>
      <c r="D200" t="s">
        <v>233</v>
      </c>
      <c r="E200" t="s">
        <v>20</v>
      </c>
      <c r="F200" t="s">
        <v>21</v>
      </c>
      <c r="G200" t="s">
        <v>114</v>
      </c>
      <c r="H200" t="b">
        <v>1</v>
      </c>
      <c r="I200">
        <v>10</v>
      </c>
      <c r="J200">
        <v>573.33333333333303</v>
      </c>
      <c r="L200">
        <v>172</v>
      </c>
      <c r="M200">
        <v>1.6054479999999999E-2</v>
      </c>
      <c r="N200">
        <v>172</v>
      </c>
      <c r="O200">
        <v>1.6054479999999999E-2</v>
      </c>
    </row>
    <row r="201" spans="1:16" ht="29" x14ac:dyDescent="0.35">
      <c r="A201" t="s">
        <v>256</v>
      </c>
      <c r="B201" t="s">
        <v>43</v>
      </c>
      <c r="C201" t="s">
        <v>51</v>
      </c>
      <c r="D201" t="s">
        <v>233</v>
      </c>
      <c r="E201" t="s">
        <v>20</v>
      </c>
      <c r="F201" t="s">
        <v>21</v>
      </c>
      <c r="G201" t="s">
        <v>25</v>
      </c>
      <c r="H201" t="b">
        <v>1</v>
      </c>
      <c r="I201">
        <v>10</v>
      </c>
      <c r="J201">
        <v>26.5</v>
      </c>
      <c r="L201">
        <v>10.6</v>
      </c>
      <c r="M201">
        <v>2.0174979999999999E-3</v>
      </c>
      <c r="N201">
        <v>10.6</v>
      </c>
      <c r="O201">
        <v>2.0174979999999999E-3</v>
      </c>
      <c r="P201" s="1" t="s">
        <v>23</v>
      </c>
    </row>
    <row r="202" spans="1:16" x14ac:dyDescent="0.35">
      <c r="A202" t="s">
        <v>257</v>
      </c>
      <c r="B202" t="s">
        <v>43</v>
      </c>
      <c r="C202" t="s">
        <v>51</v>
      </c>
      <c r="D202" t="s">
        <v>233</v>
      </c>
      <c r="E202" t="s">
        <v>20</v>
      </c>
      <c r="F202" t="s">
        <v>21</v>
      </c>
      <c r="G202" t="s">
        <v>31</v>
      </c>
      <c r="H202" t="b">
        <v>1</v>
      </c>
      <c r="I202">
        <v>10</v>
      </c>
      <c r="J202">
        <v>11.4</v>
      </c>
      <c r="L202">
        <v>5.7</v>
      </c>
      <c r="M202">
        <v>1.083E-3</v>
      </c>
      <c r="N202">
        <v>5.7</v>
      </c>
      <c r="O202">
        <v>1.083E-3</v>
      </c>
    </row>
    <row r="203" spans="1:16" x14ac:dyDescent="0.35">
      <c r="A203" t="s">
        <v>258</v>
      </c>
      <c r="B203" t="s">
        <v>43</v>
      </c>
      <c r="C203" t="s">
        <v>51</v>
      </c>
      <c r="D203" t="s">
        <v>233</v>
      </c>
      <c r="E203" t="s">
        <v>20</v>
      </c>
      <c r="F203" t="s">
        <v>21</v>
      </c>
      <c r="G203" t="s">
        <v>54</v>
      </c>
      <c r="H203" t="b">
        <v>1</v>
      </c>
      <c r="I203">
        <v>10</v>
      </c>
      <c r="J203">
        <v>29</v>
      </c>
      <c r="K203">
        <v>7</v>
      </c>
      <c r="L203">
        <v>78.3</v>
      </c>
      <c r="M203">
        <v>8.6130000000000009E-3</v>
      </c>
      <c r="N203">
        <v>78.3</v>
      </c>
      <c r="O203">
        <v>8.6130000000000009E-3</v>
      </c>
    </row>
    <row r="204" spans="1:16" x14ac:dyDescent="0.35">
      <c r="A204" t="s">
        <v>259</v>
      </c>
      <c r="B204" t="s">
        <v>43</v>
      </c>
      <c r="C204" t="s">
        <v>51</v>
      </c>
      <c r="D204" t="s">
        <v>233</v>
      </c>
      <c r="E204" t="s">
        <v>20</v>
      </c>
      <c r="F204" t="s">
        <v>21</v>
      </c>
      <c r="G204" t="s">
        <v>36</v>
      </c>
      <c r="H204" t="b">
        <v>1</v>
      </c>
      <c r="I204">
        <v>10</v>
      </c>
      <c r="J204">
        <v>105</v>
      </c>
      <c r="L204">
        <v>10.5</v>
      </c>
      <c r="M204">
        <v>2.8397249999999999E-2</v>
      </c>
      <c r="N204">
        <v>10.5</v>
      </c>
      <c r="O204">
        <v>2.8397249999999999E-2</v>
      </c>
    </row>
    <row r="205" spans="1:16" x14ac:dyDescent="0.35">
      <c r="A205" t="s">
        <v>260</v>
      </c>
      <c r="B205" t="s">
        <v>43</v>
      </c>
      <c r="C205" t="s">
        <v>51</v>
      </c>
      <c r="D205" t="s">
        <v>233</v>
      </c>
      <c r="E205" t="s">
        <v>20</v>
      </c>
      <c r="F205" t="s">
        <v>21</v>
      </c>
      <c r="G205" t="s">
        <v>127</v>
      </c>
      <c r="H205" t="b">
        <v>0</v>
      </c>
      <c r="I205">
        <v>10</v>
      </c>
      <c r="J205">
        <v>24</v>
      </c>
      <c r="L205">
        <v>2.4</v>
      </c>
      <c r="M205">
        <v>5.5199999999999997E-6</v>
      </c>
      <c r="N205">
        <v>0</v>
      </c>
      <c r="O205">
        <v>0</v>
      </c>
    </row>
    <row r="206" spans="1:16" ht="29" x14ac:dyDescent="0.35">
      <c r="A206" t="s">
        <v>261</v>
      </c>
      <c r="B206" t="s">
        <v>43</v>
      </c>
      <c r="C206" t="s">
        <v>51</v>
      </c>
      <c r="D206" t="s">
        <v>233</v>
      </c>
      <c r="E206" t="s">
        <v>20</v>
      </c>
      <c r="F206" t="s">
        <v>21</v>
      </c>
      <c r="G206" t="s">
        <v>22</v>
      </c>
      <c r="H206" t="b">
        <v>1</v>
      </c>
      <c r="I206">
        <v>10</v>
      </c>
      <c r="J206">
        <v>15.5</v>
      </c>
      <c r="L206">
        <v>3.1</v>
      </c>
      <c r="M206">
        <v>2.2257557140199999E-4</v>
      </c>
      <c r="N206">
        <v>3.1</v>
      </c>
      <c r="O206">
        <v>2.2257557140199999E-4</v>
      </c>
      <c r="P206" s="1" t="s">
        <v>23</v>
      </c>
    </row>
    <row r="207" spans="1:16" x14ac:dyDescent="0.35">
      <c r="A207" t="s">
        <v>262</v>
      </c>
      <c r="B207" t="s">
        <v>43</v>
      </c>
      <c r="C207" t="s">
        <v>51</v>
      </c>
      <c r="D207" t="s">
        <v>233</v>
      </c>
      <c r="E207" t="s">
        <v>20</v>
      </c>
      <c r="F207" t="s">
        <v>21</v>
      </c>
      <c r="G207" t="s">
        <v>60</v>
      </c>
      <c r="H207" t="b">
        <v>1</v>
      </c>
      <c r="I207">
        <v>10</v>
      </c>
      <c r="J207">
        <v>20</v>
      </c>
      <c r="L207">
        <v>2</v>
      </c>
      <c r="M207">
        <v>1.15128E-3</v>
      </c>
      <c r="N207">
        <v>2</v>
      </c>
      <c r="O207">
        <v>1.15128E-3</v>
      </c>
    </row>
    <row r="208" spans="1:16" ht="29" x14ac:dyDescent="0.35">
      <c r="A208" t="s">
        <v>263</v>
      </c>
      <c r="B208" t="s">
        <v>43</v>
      </c>
      <c r="C208" t="s">
        <v>63</v>
      </c>
      <c r="D208" t="s">
        <v>233</v>
      </c>
      <c r="E208" t="s">
        <v>20</v>
      </c>
      <c r="F208" t="s">
        <v>64</v>
      </c>
      <c r="G208" t="s">
        <v>25</v>
      </c>
      <c r="H208" t="b">
        <v>1</v>
      </c>
      <c r="I208">
        <v>10</v>
      </c>
      <c r="J208">
        <v>40.5555555555556</v>
      </c>
      <c r="L208">
        <v>1146.68298611111</v>
      </c>
      <c r="M208">
        <v>0.218248172746528</v>
      </c>
      <c r="N208">
        <v>1146.68298611111</v>
      </c>
      <c r="O208">
        <v>0.218248172746528</v>
      </c>
      <c r="P208" s="1" t="s">
        <v>23</v>
      </c>
    </row>
    <row r="209" spans="1:16" x14ac:dyDescent="0.35">
      <c r="A209" t="s">
        <v>264</v>
      </c>
      <c r="B209" t="s">
        <v>43</v>
      </c>
      <c r="C209" t="s">
        <v>63</v>
      </c>
      <c r="D209" t="s">
        <v>233</v>
      </c>
      <c r="E209" t="s">
        <v>20</v>
      </c>
      <c r="F209" t="s">
        <v>64</v>
      </c>
      <c r="G209" t="s">
        <v>100</v>
      </c>
      <c r="H209" t="b">
        <v>1</v>
      </c>
      <c r="I209">
        <v>10</v>
      </c>
      <c r="J209">
        <v>608</v>
      </c>
      <c r="L209">
        <v>1910.09111111111</v>
      </c>
      <c r="M209">
        <v>0</v>
      </c>
      <c r="N209">
        <v>1910.09111111111</v>
      </c>
      <c r="O209">
        <v>0</v>
      </c>
    </row>
    <row r="210" spans="1:16" ht="29" x14ac:dyDescent="0.35">
      <c r="A210" t="s">
        <v>265</v>
      </c>
      <c r="B210" t="s">
        <v>43</v>
      </c>
      <c r="C210" t="s">
        <v>63</v>
      </c>
      <c r="D210" t="s">
        <v>233</v>
      </c>
      <c r="E210" t="s">
        <v>20</v>
      </c>
      <c r="F210" t="s">
        <v>64</v>
      </c>
      <c r="G210" t="s">
        <v>22</v>
      </c>
      <c r="H210" t="b">
        <v>1</v>
      </c>
      <c r="I210">
        <v>10</v>
      </c>
      <c r="J210">
        <v>27</v>
      </c>
      <c r="L210">
        <v>169.64625000000001</v>
      </c>
      <c r="M210">
        <v>1.21803583967602E-2</v>
      </c>
      <c r="N210">
        <v>169.64625000000001</v>
      </c>
      <c r="O210">
        <v>1.21803583967602E-2</v>
      </c>
      <c r="P210" s="1" t="s">
        <v>23</v>
      </c>
    </row>
    <row r="211" spans="1:16" x14ac:dyDescent="0.35">
      <c r="A211" t="s">
        <v>266</v>
      </c>
      <c r="B211" t="s">
        <v>43</v>
      </c>
      <c r="C211" t="s">
        <v>63</v>
      </c>
      <c r="D211" t="s">
        <v>233</v>
      </c>
      <c r="E211" t="s">
        <v>20</v>
      </c>
      <c r="F211" t="s">
        <v>64</v>
      </c>
      <c r="G211" t="s">
        <v>36</v>
      </c>
      <c r="H211" t="b">
        <v>1</v>
      </c>
      <c r="I211">
        <v>10</v>
      </c>
      <c r="J211">
        <v>24</v>
      </c>
      <c r="L211">
        <v>75.398333333333298</v>
      </c>
      <c r="M211">
        <v>0.2039147925</v>
      </c>
      <c r="N211">
        <v>75.398333333333298</v>
      </c>
      <c r="O211">
        <v>0.2039147925</v>
      </c>
    </row>
    <row r="212" spans="1:16" x14ac:dyDescent="0.35">
      <c r="A212" t="s">
        <v>267</v>
      </c>
      <c r="B212" t="s">
        <v>43</v>
      </c>
      <c r="C212" t="s">
        <v>63</v>
      </c>
      <c r="D212" t="s">
        <v>233</v>
      </c>
      <c r="E212" t="s">
        <v>20</v>
      </c>
      <c r="F212" t="s">
        <v>64</v>
      </c>
      <c r="G212" t="s">
        <v>29</v>
      </c>
      <c r="H212" t="b">
        <v>1</v>
      </c>
      <c r="I212">
        <v>10</v>
      </c>
      <c r="J212">
        <v>3</v>
      </c>
      <c r="L212">
        <v>28.274374999999999</v>
      </c>
      <c r="M212">
        <v>1.102700625E-3</v>
      </c>
      <c r="N212">
        <v>28.274374999999999</v>
      </c>
      <c r="O212">
        <v>1.102700625E-3</v>
      </c>
    </row>
    <row r="213" spans="1:16" ht="29" x14ac:dyDescent="0.35">
      <c r="A213" t="s">
        <v>268</v>
      </c>
      <c r="B213" t="s">
        <v>43</v>
      </c>
      <c r="C213" t="s">
        <v>69</v>
      </c>
      <c r="D213" t="s">
        <v>233</v>
      </c>
      <c r="E213" t="s">
        <v>20</v>
      </c>
      <c r="F213" t="s">
        <v>21</v>
      </c>
      <c r="G213" t="s">
        <v>25</v>
      </c>
      <c r="H213" t="b">
        <v>1</v>
      </c>
      <c r="I213">
        <v>10</v>
      </c>
      <c r="J213">
        <v>33.700000000000003</v>
      </c>
      <c r="K213">
        <v>17</v>
      </c>
      <c r="L213">
        <v>124.69</v>
      </c>
      <c r="M213">
        <v>2.37322477E-2</v>
      </c>
      <c r="N213">
        <v>124.69</v>
      </c>
      <c r="O213">
        <v>2.37322477E-2</v>
      </c>
      <c r="P213" s="1" t="s">
        <v>23</v>
      </c>
    </row>
    <row r="214" spans="1:16" x14ac:dyDescent="0.35">
      <c r="A214" t="s">
        <v>269</v>
      </c>
      <c r="B214" t="s">
        <v>43</v>
      </c>
      <c r="C214" t="s">
        <v>69</v>
      </c>
      <c r="D214" t="s">
        <v>233</v>
      </c>
      <c r="E214" t="s">
        <v>20</v>
      </c>
      <c r="F214" t="s">
        <v>21</v>
      </c>
      <c r="G214" t="s">
        <v>45</v>
      </c>
      <c r="H214" t="b">
        <v>1</v>
      </c>
      <c r="I214">
        <v>10</v>
      </c>
      <c r="J214">
        <v>11.75</v>
      </c>
      <c r="L214">
        <v>4.7</v>
      </c>
      <c r="M214">
        <v>1.7390000000000001E-3</v>
      </c>
      <c r="N214">
        <v>4.7</v>
      </c>
      <c r="O214">
        <v>1.7390000000000001E-3</v>
      </c>
    </row>
    <row r="215" spans="1:16" x14ac:dyDescent="0.35">
      <c r="A215" t="s">
        <v>270</v>
      </c>
      <c r="B215" t="s">
        <v>43</v>
      </c>
      <c r="C215" t="s">
        <v>69</v>
      </c>
      <c r="D215" t="s">
        <v>233</v>
      </c>
      <c r="E215" t="s">
        <v>20</v>
      </c>
      <c r="F215" t="s">
        <v>21</v>
      </c>
      <c r="G215" t="s">
        <v>29</v>
      </c>
      <c r="H215" t="b">
        <v>1</v>
      </c>
      <c r="I215">
        <v>10</v>
      </c>
      <c r="J215">
        <v>5.8</v>
      </c>
      <c r="L215">
        <v>2.9</v>
      </c>
      <c r="M215">
        <v>1.131E-4</v>
      </c>
      <c r="N215">
        <v>2.9</v>
      </c>
      <c r="O215">
        <v>1.131E-4</v>
      </c>
    </row>
    <row r="216" spans="1:16" ht="29" x14ac:dyDescent="0.35">
      <c r="A216" t="s">
        <v>271</v>
      </c>
      <c r="B216" t="s">
        <v>43</v>
      </c>
      <c r="C216" t="s">
        <v>69</v>
      </c>
      <c r="D216" t="s">
        <v>233</v>
      </c>
      <c r="E216" t="s">
        <v>20</v>
      </c>
      <c r="F216" t="s">
        <v>21</v>
      </c>
      <c r="G216" s="1" t="s">
        <v>49</v>
      </c>
      <c r="H216" t="b">
        <v>0</v>
      </c>
      <c r="I216">
        <v>10</v>
      </c>
      <c r="J216">
        <v>23.3333333333333</v>
      </c>
      <c r="L216">
        <v>7</v>
      </c>
      <c r="M216">
        <v>3.15E-3</v>
      </c>
      <c r="N216">
        <v>0</v>
      </c>
      <c r="O216">
        <v>0</v>
      </c>
    </row>
    <row r="217" spans="1:16" ht="29" x14ac:dyDescent="0.35">
      <c r="A217" t="s">
        <v>272</v>
      </c>
      <c r="B217" t="s">
        <v>43</v>
      </c>
      <c r="C217" t="s">
        <v>73</v>
      </c>
      <c r="D217" t="s">
        <v>233</v>
      </c>
      <c r="E217" t="s">
        <v>20</v>
      </c>
      <c r="F217" t="s">
        <v>21</v>
      </c>
      <c r="G217" t="s">
        <v>25</v>
      </c>
      <c r="H217" t="b">
        <v>1</v>
      </c>
      <c r="I217">
        <v>10</v>
      </c>
      <c r="J217">
        <v>36.049999999999997</v>
      </c>
      <c r="K217">
        <v>53</v>
      </c>
      <c r="L217">
        <v>263.16500000000002</v>
      </c>
      <c r="M217">
        <v>5.0088194449999998E-2</v>
      </c>
      <c r="N217">
        <v>263.16500000000002</v>
      </c>
      <c r="O217">
        <v>5.0088194449999998E-2</v>
      </c>
      <c r="P217" s="1" t="s">
        <v>23</v>
      </c>
    </row>
    <row r="218" spans="1:16" x14ac:dyDescent="0.35">
      <c r="A218" t="s">
        <v>273</v>
      </c>
      <c r="B218" t="s">
        <v>43</v>
      </c>
      <c r="C218" t="s">
        <v>73</v>
      </c>
      <c r="D218" t="s">
        <v>233</v>
      </c>
      <c r="E218" t="s">
        <v>20</v>
      </c>
      <c r="F218" t="s">
        <v>21</v>
      </c>
      <c r="G218" t="s">
        <v>29</v>
      </c>
      <c r="H218" t="b">
        <v>1</v>
      </c>
      <c r="I218">
        <v>10</v>
      </c>
      <c r="J218">
        <v>2.6666666666666701</v>
      </c>
      <c r="L218">
        <v>0.8</v>
      </c>
      <c r="M218">
        <v>3.1199999999999999E-5</v>
      </c>
      <c r="N218">
        <v>0.8</v>
      </c>
      <c r="O218">
        <v>3.1199999999999999E-5</v>
      </c>
    </row>
    <row r="219" spans="1:16" x14ac:dyDescent="0.35">
      <c r="A219" t="s">
        <v>274</v>
      </c>
      <c r="B219" t="s">
        <v>43</v>
      </c>
      <c r="C219" t="s">
        <v>73</v>
      </c>
      <c r="D219" t="s">
        <v>233</v>
      </c>
      <c r="E219" t="s">
        <v>20</v>
      </c>
      <c r="F219" t="s">
        <v>21</v>
      </c>
      <c r="G219" t="s">
        <v>80</v>
      </c>
      <c r="H219" t="b">
        <v>1</v>
      </c>
      <c r="I219">
        <v>10</v>
      </c>
      <c r="J219">
        <v>24</v>
      </c>
      <c r="L219">
        <v>2.4</v>
      </c>
      <c r="M219">
        <v>5.3039999999999999E-4</v>
      </c>
      <c r="N219">
        <v>2.4</v>
      </c>
      <c r="O219">
        <v>5.3039999999999999E-4</v>
      </c>
    </row>
    <row r="220" spans="1:16" x14ac:dyDescent="0.35">
      <c r="A220" t="s">
        <v>275</v>
      </c>
      <c r="B220" t="s">
        <v>43</v>
      </c>
      <c r="C220" t="s">
        <v>73</v>
      </c>
      <c r="D220" t="s">
        <v>233</v>
      </c>
      <c r="E220" t="s">
        <v>20</v>
      </c>
      <c r="F220" t="s">
        <v>21</v>
      </c>
      <c r="G220" t="s">
        <v>144</v>
      </c>
      <c r="H220" t="b">
        <v>1</v>
      </c>
      <c r="I220">
        <v>10</v>
      </c>
      <c r="J220">
        <v>23</v>
      </c>
      <c r="L220">
        <v>4.5999999999999996</v>
      </c>
      <c r="M220">
        <v>1.9918000000000002E-3</v>
      </c>
      <c r="N220">
        <v>4.5999999999999996</v>
      </c>
      <c r="O220">
        <v>1.9918000000000002E-3</v>
      </c>
    </row>
    <row r="221" spans="1:16" x14ac:dyDescent="0.35">
      <c r="A221" t="s">
        <v>276</v>
      </c>
      <c r="B221" t="s">
        <v>43</v>
      </c>
      <c r="C221" t="s">
        <v>73</v>
      </c>
      <c r="D221" t="s">
        <v>233</v>
      </c>
      <c r="E221" t="s">
        <v>20</v>
      </c>
      <c r="F221" t="s">
        <v>21</v>
      </c>
      <c r="G221" t="s">
        <v>45</v>
      </c>
      <c r="H221" t="b">
        <v>1</v>
      </c>
      <c r="I221">
        <v>10</v>
      </c>
      <c r="J221">
        <v>33</v>
      </c>
      <c r="L221">
        <v>13.2</v>
      </c>
      <c r="M221">
        <v>4.8840000000000003E-3</v>
      </c>
      <c r="N221">
        <v>13.2</v>
      </c>
      <c r="O221">
        <v>4.8840000000000003E-3</v>
      </c>
    </row>
    <row r="222" spans="1:16" x14ac:dyDescent="0.35">
      <c r="A222" t="s">
        <v>277</v>
      </c>
      <c r="B222" t="s">
        <v>43</v>
      </c>
      <c r="C222" t="s">
        <v>73</v>
      </c>
      <c r="D222" t="s">
        <v>233</v>
      </c>
      <c r="E222" t="s">
        <v>20</v>
      </c>
      <c r="F222" t="s">
        <v>21</v>
      </c>
      <c r="G222" t="s">
        <v>31</v>
      </c>
      <c r="H222" t="b">
        <v>1</v>
      </c>
      <c r="I222">
        <v>10</v>
      </c>
      <c r="J222">
        <v>10.75</v>
      </c>
      <c r="L222">
        <v>4.3</v>
      </c>
      <c r="M222">
        <v>8.1700000000000002E-4</v>
      </c>
      <c r="N222">
        <v>4.3</v>
      </c>
      <c r="O222">
        <v>8.1700000000000002E-4</v>
      </c>
    </row>
    <row r="223" spans="1:16" x14ac:dyDescent="0.35">
      <c r="A223" t="s">
        <v>278</v>
      </c>
      <c r="B223" t="s">
        <v>43</v>
      </c>
      <c r="C223" t="s">
        <v>73</v>
      </c>
      <c r="D223" t="s">
        <v>233</v>
      </c>
      <c r="E223" t="s">
        <v>20</v>
      </c>
      <c r="F223" t="s">
        <v>21</v>
      </c>
      <c r="G223" t="s">
        <v>36</v>
      </c>
      <c r="H223" t="b">
        <v>1</v>
      </c>
      <c r="I223">
        <v>10</v>
      </c>
      <c r="J223">
        <v>80</v>
      </c>
      <c r="L223">
        <v>8</v>
      </c>
      <c r="M223">
        <v>2.1635999999999999E-2</v>
      </c>
      <c r="N223">
        <v>8</v>
      </c>
      <c r="O223">
        <v>2.1635999999999999E-2</v>
      </c>
    </row>
    <row r="224" spans="1:16" x14ac:dyDescent="0.35">
      <c r="A224" t="s">
        <v>279</v>
      </c>
      <c r="B224" t="s">
        <v>43</v>
      </c>
      <c r="C224" t="s">
        <v>73</v>
      </c>
      <c r="D224" t="s">
        <v>233</v>
      </c>
      <c r="E224" t="s">
        <v>20</v>
      </c>
      <c r="F224" t="s">
        <v>21</v>
      </c>
      <c r="G224" t="s">
        <v>27</v>
      </c>
      <c r="H224" t="b">
        <v>0</v>
      </c>
      <c r="I224">
        <v>10</v>
      </c>
      <c r="J224">
        <v>240</v>
      </c>
      <c r="L224">
        <v>24</v>
      </c>
      <c r="M224">
        <v>5.3999999999999998E-5</v>
      </c>
      <c r="N224">
        <v>0</v>
      </c>
      <c r="O224">
        <v>0</v>
      </c>
    </row>
    <row r="225" spans="1:16" ht="29" x14ac:dyDescent="0.35">
      <c r="A225" t="s">
        <v>280</v>
      </c>
      <c r="B225" t="s">
        <v>82</v>
      </c>
      <c r="C225" t="s">
        <v>83</v>
      </c>
      <c r="D225" t="s">
        <v>233</v>
      </c>
      <c r="E225" t="s">
        <v>20</v>
      </c>
      <c r="F225" t="s">
        <v>64</v>
      </c>
      <c r="G225" t="s">
        <v>25</v>
      </c>
      <c r="H225" t="b">
        <v>1</v>
      </c>
      <c r="I225">
        <v>10</v>
      </c>
      <c r="J225">
        <v>45.153846153846203</v>
      </c>
      <c r="L225">
        <v>1844.1175694444401</v>
      </c>
      <c r="M225">
        <v>0.35099089699236002</v>
      </c>
      <c r="N225">
        <v>1844.1175694444401</v>
      </c>
      <c r="O225">
        <v>0.35099089699236002</v>
      </c>
      <c r="P225" s="1" t="s">
        <v>23</v>
      </c>
    </row>
    <row r="226" spans="1:16" ht="29" x14ac:dyDescent="0.35">
      <c r="A226" t="s">
        <v>281</v>
      </c>
      <c r="B226" t="s">
        <v>82</v>
      </c>
      <c r="C226" t="s">
        <v>83</v>
      </c>
      <c r="D226" t="s">
        <v>233</v>
      </c>
      <c r="E226" t="s">
        <v>20</v>
      </c>
      <c r="F226" t="s">
        <v>64</v>
      </c>
      <c r="G226" t="s">
        <v>22</v>
      </c>
      <c r="H226" t="b">
        <v>1</v>
      </c>
      <c r="I226">
        <v>10</v>
      </c>
      <c r="J226">
        <v>700</v>
      </c>
      <c r="L226">
        <v>2199.1180555555602</v>
      </c>
      <c r="M226">
        <v>0.15789353477281701</v>
      </c>
      <c r="N226">
        <v>2199.1180555555602</v>
      </c>
      <c r="O226">
        <v>0.15789353477281701</v>
      </c>
      <c r="P226" s="1" t="s">
        <v>23</v>
      </c>
    </row>
    <row r="227" spans="1:16" x14ac:dyDescent="0.35">
      <c r="A227" t="s">
        <v>282</v>
      </c>
      <c r="B227" t="s">
        <v>82</v>
      </c>
      <c r="C227" t="s">
        <v>83</v>
      </c>
      <c r="D227" t="s">
        <v>233</v>
      </c>
      <c r="E227" t="s">
        <v>20</v>
      </c>
      <c r="F227" t="s">
        <v>64</v>
      </c>
      <c r="G227" t="s">
        <v>29</v>
      </c>
      <c r="H227" t="b">
        <v>1</v>
      </c>
      <c r="I227">
        <v>10</v>
      </c>
      <c r="J227">
        <v>4</v>
      </c>
      <c r="L227">
        <v>62.831944444444403</v>
      </c>
      <c r="M227">
        <v>2.4504458333333302E-3</v>
      </c>
      <c r="N227">
        <v>62.831944444444403</v>
      </c>
      <c r="O227">
        <v>2.4504458333333302E-3</v>
      </c>
    </row>
    <row r="228" spans="1:16" x14ac:dyDescent="0.35">
      <c r="A228" t="s">
        <v>283</v>
      </c>
      <c r="B228" t="s">
        <v>82</v>
      </c>
      <c r="C228" t="s">
        <v>83</v>
      </c>
      <c r="D228" t="s">
        <v>233</v>
      </c>
      <c r="E228" t="s">
        <v>20</v>
      </c>
      <c r="F228" t="s">
        <v>64</v>
      </c>
      <c r="G228" t="s">
        <v>45</v>
      </c>
      <c r="H228" t="b">
        <v>1</v>
      </c>
      <c r="I228">
        <v>10</v>
      </c>
      <c r="J228">
        <v>17</v>
      </c>
      <c r="L228">
        <v>106.814305555556</v>
      </c>
      <c r="M228">
        <v>3.9521293055555698E-2</v>
      </c>
      <c r="N228">
        <v>106.814305555556</v>
      </c>
      <c r="O228">
        <v>3.9521293055555698E-2</v>
      </c>
    </row>
    <row r="229" spans="1:16" ht="29" x14ac:dyDescent="0.35">
      <c r="A229" t="s">
        <v>284</v>
      </c>
      <c r="B229" t="s">
        <v>82</v>
      </c>
      <c r="C229" t="s">
        <v>86</v>
      </c>
      <c r="D229" t="s">
        <v>233</v>
      </c>
      <c r="E229" t="s">
        <v>20</v>
      </c>
      <c r="F229" t="s">
        <v>64</v>
      </c>
      <c r="G229" t="s">
        <v>25</v>
      </c>
      <c r="H229" t="b">
        <v>1</v>
      </c>
      <c r="I229">
        <v>10</v>
      </c>
      <c r="J229">
        <v>38.8125</v>
      </c>
      <c r="L229">
        <v>1950.931875</v>
      </c>
      <c r="M229">
        <v>0.37132086376875001</v>
      </c>
      <c r="N229">
        <v>1950.931875</v>
      </c>
      <c r="O229">
        <v>0.37132086376875001</v>
      </c>
      <c r="P229" s="1" t="s">
        <v>23</v>
      </c>
    </row>
    <row r="230" spans="1:16" x14ac:dyDescent="0.35">
      <c r="A230" t="s">
        <v>285</v>
      </c>
      <c r="B230" t="s">
        <v>82</v>
      </c>
      <c r="C230" t="s">
        <v>86</v>
      </c>
      <c r="D230" t="s">
        <v>233</v>
      </c>
      <c r="E230" t="s">
        <v>20</v>
      </c>
      <c r="F230" t="s">
        <v>64</v>
      </c>
      <c r="G230" t="s">
        <v>29</v>
      </c>
      <c r="H230" t="b">
        <v>1</v>
      </c>
      <c r="I230">
        <v>10</v>
      </c>
      <c r="J230">
        <v>6.5</v>
      </c>
      <c r="L230">
        <v>163.363055555556</v>
      </c>
      <c r="M230">
        <v>6.37115916666668E-3</v>
      </c>
      <c r="N230">
        <v>163.363055555556</v>
      </c>
      <c r="O230">
        <v>6.37115916666668E-3</v>
      </c>
    </row>
    <row r="231" spans="1:16" x14ac:dyDescent="0.35">
      <c r="A231" t="s">
        <v>286</v>
      </c>
      <c r="B231" t="s">
        <v>82</v>
      </c>
      <c r="C231" t="s">
        <v>86</v>
      </c>
      <c r="D231" t="s">
        <v>233</v>
      </c>
      <c r="E231" t="s">
        <v>20</v>
      </c>
      <c r="F231" t="s">
        <v>64</v>
      </c>
      <c r="G231" t="s">
        <v>114</v>
      </c>
      <c r="H231" t="b">
        <v>1</v>
      </c>
      <c r="I231">
        <v>10</v>
      </c>
      <c r="J231">
        <v>12</v>
      </c>
      <c r="L231">
        <v>37.699166666666699</v>
      </c>
      <c r="M231">
        <v>3.5188402166666699E-3</v>
      </c>
      <c r="N231">
        <v>37.699166666666699</v>
      </c>
      <c r="O231">
        <v>3.5188402166666699E-3</v>
      </c>
    </row>
    <row r="232" spans="1:16" x14ac:dyDescent="0.35">
      <c r="A232" t="s">
        <v>287</v>
      </c>
      <c r="B232" t="s">
        <v>82</v>
      </c>
      <c r="C232" t="s">
        <v>86</v>
      </c>
      <c r="D232" t="s">
        <v>233</v>
      </c>
      <c r="E232" t="s">
        <v>20</v>
      </c>
      <c r="F232" t="s">
        <v>64</v>
      </c>
      <c r="G232" t="s">
        <v>45</v>
      </c>
      <c r="H232" t="b">
        <v>1</v>
      </c>
      <c r="I232">
        <v>10</v>
      </c>
      <c r="J232">
        <v>13</v>
      </c>
      <c r="L232">
        <v>122.522291666667</v>
      </c>
      <c r="M232">
        <v>4.5333247916666798E-2</v>
      </c>
      <c r="N232">
        <v>122.522291666667</v>
      </c>
      <c r="O232">
        <v>4.5333247916666798E-2</v>
      </c>
    </row>
    <row r="233" spans="1:16" x14ac:dyDescent="0.35">
      <c r="A233" t="s">
        <v>288</v>
      </c>
      <c r="B233" t="s">
        <v>82</v>
      </c>
      <c r="C233" t="s">
        <v>86</v>
      </c>
      <c r="D233" t="s">
        <v>233</v>
      </c>
      <c r="E233" t="s">
        <v>20</v>
      </c>
      <c r="F233" t="s">
        <v>64</v>
      </c>
      <c r="G233" t="s">
        <v>57</v>
      </c>
      <c r="H233" t="b">
        <v>0</v>
      </c>
      <c r="I233">
        <v>10</v>
      </c>
      <c r="J233">
        <v>13</v>
      </c>
      <c r="L233">
        <v>81.681527777777802</v>
      </c>
      <c r="M233">
        <v>1.7969936111111101E-3</v>
      </c>
      <c r="N233">
        <v>0</v>
      </c>
      <c r="O233">
        <v>0</v>
      </c>
    </row>
    <row r="234" spans="1:16" ht="29" x14ac:dyDescent="0.35">
      <c r="A234" t="s">
        <v>289</v>
      </c>
      <c r="B234" t="s">
        <v>82</v>
      </c>
      <c r="C234" t="s">
        <v>90</v>
      </c>
      <c r="D234" t="s">
        <v>233</v>
      </c>
      <c r="E234" t="s">
        <v>20</v>
      </c>
      <c r="F234" t="s">
        <v>64</v>
      </c>
      <c r="G234" t="s">
        <v>25</v>
      </c>
      <c r="H234" t="b">
        <v>1</v>
      </c>
      <c r="I234">
        <v>10</v>
      </c>
      <c r="J234">
        <v>37.764705882352899</v>
      </c>
      <c r="L234">
        <v>2016.9054166666699</v>
      </c>
      <c r="M234">
        <v>0.38387760795416698</v>
      </c>
      <c r="N234">
        <v>2016.9054166666699</v>
      </c>
      <c r="O234">
        <v>0.38387760795416698</v>
      </c>
      <c r="P234" s="1" t="s">
        <v>23</v>
      </c>
    </row>
    <row r="235" spans="1:16" ht="29" x14ac:dyDescent="0.35">
      <c r="A235" t="s">
        <v>290</v>
      </c>
      <c r="B235" t="s">
        <v>82</v>
      </c>
      <c r="C235" t="s">
        <v>90</v>
      </c>
      <c r="D235" t="s">
        <v>233</v>
      </c>
      <c r="E235" t="s">
        <v>20</v>
      </c>
      <c r="F235" t="s">
        <v>64</v>
      </c>
      <c r="G235" t="s">
        <v>22</v>
      </c>
      <c r="H235" t="b">
        <v>1</v>
      </c>
      <c r="I235">
        <v>10</v>
      </c>
      <c r="J235">
        <v>78</v>
      </c>
      <c r="L235">
        <v>245.04458333333301</v>
      </c>
      <c r="M235">
        <v>1.7593851017542499E-2</v>
      </c>
      <c r="N235">
        <v>245.04458333333301</v>
      </c>
      <c r="O235">
        <v>1.7593851017542499E-2</v>
      </c>
      <c r="P235" s="1" t="s">
        <v>23</v>
      </c>
    </row>
    <row r="236" spans="1:16" x14ac:dyDescent="0.35">
      <c r="A236" t="s">
        <v>291</v>
      </c>
      <c r="B236" t="s">
        <v>82</v>
      </c>
      <c r="C236" t="s">
        <v>90</v>
      </c>
      <c r="D236" t="s">
        <v>233</v>
      </c>
      <c r="E236" t="s">
        <v>20</v>
      </c>
      <c r="F236" t="s">
        <v>64</v>
      </c>
      <c r="G236" t="s">
        <v>29</v>
      </c>
      <c r="H236" t="b">
        <v>1</v>
      </c>
      <c r="I236">
        <v>10</v>
      </c>
      <c r="J236">
        <v>7.2</v>
      </c>
      <c r="L236">
        <v>113.0975</v>
      </c>
      <c r="M236">
        <v>4.4108024999999999E-3</v>
      </c>
      <c r="N236">
        <v>113.0975</v>
      </c>
      <c r="O236">
        <v>4.4108024999999999E-3</v>
      </c>
    </row>
    <row r="237" spans="1:16" x14ac:dyDescent="0.35">
      <c r="A237" t="s">
        <v>292</v>
      </c>
      <c r="B237" t="s">
        <v>82</v>
      </c>
      <c r="C237" t="s">
        <v>90</v>
      </c>
      <c r="D237" t="s">
        <v>233</v>
      </c>
      <c r="E237" t="s">
        <v>20</v>
      </c>
      <c r="F237" t="s">
        <v>64</v>
      </c>
      <c r="G237" t="s">
        <v>45</v>
      </c>
      <c r="H237" t="b">
        <v>1</v>
      </c>
      <c r="I237">
        <v>10</v>
      </c>
      <c r="J237">
        <v>25</v>
      </c>
      <c r="L237">
        <v>78.5399305555555</v>
      </c>
      <c r="M237">
        <v>2.9059774305555602E-2</v>
      </c>
      <c r="N237">
        <v>78.5399305555556</v>
      </c>
      <c r="O237">
        <v>2.9059774305555602E-2</v>
      </c>
    </row>
    <row r="238" spans="1:16" ht="29" x14ac:dyDescent="0.35">
      <c r="A238" t="s">
        <v>293</v>
      </c>
      <c r="B238" t="s">
        <v>82</v>
      </c>
      <c r="C238" t="s">
        <v>93</v>
      </c>
      <c r="D238" t="s">
        <v>233</v>
      </c>
      <c r="E238" t="s">
        <v>20</v>
      </c>
      <c r="F238" t="s">
        <v>64</v>
      </c>
      <c r="G238" t="s">
        <v>25</v>
      </c>
      <c r="H238" t="b">
        <v>1</v>
      </c>
      <c r="I238">
        <v>10</v>
      </c>
      <c r="J238">
        <v>51.3888888888889</v>
      </c>
      <c r="L238">
        <v>2905.9774305555602</v>
      </c>
      <c r="M238">
        <v>0.55309468435763998</v>
      </c>
      <c r="N238">
        <v>2905.9774305555602</v>
      </c>
      <c r="O238">
        <v>0.55309468435763998</v>
      </c>
      <c r="P238" s="1" t="s">
        <v>23</v>
      </c>
    </row>
    <row r="239" spans="1:16" ht="29" x14ac:dyDescent="0.35">
      <c r="A239" t="s">
        <v>294</v>
      </c>
      <c r="B239" t="s">
        <v>82</v>
      </c>
      <c r="C239" t="s">
        <v>93</v>
      </c>
      <c r="D239" t="s">
        <v>233</v>
      </c>
      <c r="E239" t="s">
        <v>20</v>
      </c>
      <c r="F239" t="s">
        <v>64</v>
      </c>
      <c r="G239" t="s">
        <v>22</v>
      </c>
      <c r="H239" t="b">
        <v>1</v>
      </c>
      <c r="I239">
        <v>10</v>
      </c>
      <c r="J239">
        <v>26.5</v>
      </c>
      <c r="L239">
        <v>333.00930555555499</v>
      </c>
      <c r="M239">
        <v>2.3909592408455201E-2</v>
      </c>
      <c r="N239">
        <v>333.00930555555601</v>
      </c>
      <c r="O239">
        <v>2.3909592408455201E-2</v>
      </c>
      <c r="P239" s="1" t="s">
        <v>23</v>
      </c>
    </row>
    <row r="240" spans="1:16" x14ac:dyDescent="0.35">
      <c r="A240" t="s">
        <v>295</v>
      </c>
      <c r="B240" t="s">
        <v>82</v>
      </c>
      <c r="C240" t="s">
        <v>93</v>
      </c>
      <c r="D240" t="s">
        <v>233</v>
      </c>
      <c r="E240" t="s">
        <v>20</v>
      </c>
      <c r="F240" t="s">
        <v>64</v>
      </c>
      <c r="G240" t="s">
        <v>45</v>
      </c>
      <c r="H240" t="b">
        <v>1</v>
      </c>
      <c r="I240">
        <v>10</v>
      </c>
      <c r="J240">
        <v>14</v>
      </c>
      <c r="L240">
        <v>43.982361111111103</v>
      </c>
      <c r="M240">
        <v>1.6273473611111099E-2</v>
      </c>
      <c r="N240">
        <v>43.982361111111103</v>
      </c>
      <c r="O240">
        <v>1.6273473611111099E-2</v>
      </c>
    </row>
    <row r="241" spans="1:15" x14ac:dyDescent="0.35">
      <c r="A241" t="s">
        <v>296</v>
      </c>
      <c r="B241" t="s">
        <v>82</v>
      </c>
      <c r="C241" t="s">
        <v>93</v>
      </c>
      <c r="D241" t="s">
        <v>233</v>
      </c>
      <c r="E241" t="s">
        <v>20</v>
      </c>
      <c r="F241" t="s">
        <v>64</v>
      </c>
      <c r="G241" t="s">
        <v>29</v>
      </c>
      <c r="H241" t="b">
        <v>1</v>
      </c>
      <c r="I241">
        <v>10</v>
      </c>
      <c r="J241">
        <v>3.5384615384615401</v>
      </c>
      <c r="L241">
        <v>144.51347222222199</v>
      </c>
      <c r="M241">
        <v>5.6360254166666597E-3</v>
      </c>
      <c r="N241">
        <v>144.51347222222199</v>
      </c>
      <c r="O241">
        <v>5.6360254166666597E-3</v>
      </c>
    </row>
    <row r="242" spans="1:15" x14ac:dyDescent="0.35">
      <c r="A242" t="s">
        <v>297</v>
      </c>
      <c r="B242" t="s">
        <v>96</v>
      </c>
      <c r="C242" t="s">
        <v>97</v>
      </c>
      <c r="D242" t="s">
        <v>233</v>
      </c>
      <c r="E242" t="s">
        <v>20</v>
      </c>
      <c r="F242" t="s">
        <v>21</v>
      </c>
      <c r="G242" t="s">
        <v>60</v>
      </c>
      <c r="H242" t="b">
        <v>1</v>
      </c>
      <c r="I242">
        <v>10</v>
      </c>
      <c r="J242">
        <v>17.2</v>
      </c>
      <c r="L242">
        <v>17.2</v>
      </c>
      <c r="M242">
        <v>9.9010079999999993E-3</v>
      </c>
      <c r="N242">
        <v>17.2</v>
      </c>
      <c r="O242">
        <v>9.9010079999999993E-3</v>
      </c>
    </row>
    <row r="243" spans="1:15" x14ac:dyDescent="0.35">
      <c r="A243" t="s">
        <v>298</v>
      </c>
      <c r="B243" t="s">
        <v>96</v>
      </c>
      <c r="C243" t="s">
        <v>97</v>
      </c>
      <c r="D243" t="s">
        <v>233</v>
      </c>
      <c r="E243" t="s">
        <v>20</v>
      </c>
      <c r="F243" t="s">
        <v>21</v>
      </c>
      <c r="G243" t="s">
        <v>45</v>
      </c>
      <c r="H243" t="b">
        <v>1</v>
      </c>
      <c r="I243">
        <v>10</v>
      </c>
      <c r="J243">
        <v>24.1666666666667</v>
      </c>
      <c r="L243">
        <v>14.5</v>
      </c>
      <c r="M243">
        <v>5.365E-3</v>
      </c>
      <c r="N243">
        <v>14.5</v>
      </c>
      <c r="O243">
        <v>5.365E-3</v>
      </c>
    </row>
    <row r="244" spans="1:15" x14ac:dyDescent="0.35">
      <c r="A244" t="s">
        <v>299</v>
      </c>
      <c r="B244" t="s">
        <v>96</v>
      </c>
      <c r="C244" t="s">
        <v>97</v>
      </c>
      <c r="D244" t="s">
        <v>233</v>
      </c>
      <c r="E244" t="s">
        <v>20</v>
      </c>
      <c r="F244" t="s">
        <v>21</v>
      </c>
      <c r="G244" t="s">
        <v>100</v>
      </c>
      <c r="H244" t="b">
        <v>1</v>
      </c>
      <c r="I244">
        <v>10</v>
      </c>
      <c r="J244">
        <v>84</v>
      </c>
      <c r="L244">
        <v>8.4</v>
      </c>
      <c r="M244">
        <v>0</v>
      </c>
      <c r="N244">
        <v>8.4</v>
      </c>
      <c r="O244">
        <v>0</v>
      </c>
    </row>
    <row r="245" spans="1:15" x14ac:dyDescent="0.35">
      <c r="A245" t="s">
        <v>300</v>
      </c>
      <c r="B245" t="s">
        <v>96</v>
      </c>
      <c r="C245" t="s">
        <v>97</v>
      </c>
      <c r="D245" t="s">
        <v>233</v>
      </c>
      <c r="E245" t="s">
        <v>20</v>
      </c>
      <c r="F245" t="s">
        <v>21</v>
      </c>
      <c r="G245" t="s">
        <v>114</v>
      </c>
      <c r="H245" t="b">
        <v>1</v>
      </c>
      <c r="I245">
        <v>10</v>
      </c>
      <c r="J245">
        <v>48</v>
      </c>
      <c r="L245">
        <v>4.8</v>
      </c>
      <c r="M245">
        <v>4.4803200000000001E-4</v>
      </c>
      <c r="N245">
        <v>4.8</v>
      </c>
      <c r="O245">
        <v>4.4803200000000001E-4</v>
      </c>
    </row>
    <row r="246" spans="1:15" x14ac:dyDescent="0.35">
      <c r="A246" t="s">
        <v>301</v>
      </c>
      <c r="B246" t="s">
        <v>96</v>
      </c>
      <c r="C246" t="s">
        <v>97</v>
      </c>
      <c r="D246" t="s">
        <v>233</v>
      </c>
      <c r="E246" t="s">
        <v>20</v>
      </c>
      <c r="F246" t="s">
        <v>21</v>
      </c>
      <c r="G246" t="s">
        <v>29</v>
      </c>
      <c r="H246" t="b">
        <v>1</v>
      </c>
      <c r="I246">
        <v>10</v>
      </c>
      <c r="J246">
        <v>7</v>
      </c>
      <c r="L246">
        <v>0.7</v>
      </c>
      <c r="M246">
        <v>2.73E-5</v>
      </c>
      <c r="N246">
        <v>0.7</v>
      </c>
      <c r="O246">
        <v>2.73E-5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"/>
  <sheetViews>
    <sheetView workbookViewId="0"/>
  </sheetViews>
  <sheetFormatPr defaultRowHeight="14.5" x14ac:dyDescent="0.35"/>
  <cols>
    <col min="1" max="1" width="12.453125" customWidth="1"/>
    <col min="2" max="2" width="11.81640625" customWidth="1"/>
    <col min="3" max="3" width="13.81640625" customWidth="1"/>
    <col min="4" max="4" width="14.81640625" customWidth="1"/>
    <col min="5" max="5" width="18.6328125" customWidth="1"/>
    <col min="6" max="6" width="14.453125" customWidth="1"/>
    <col min="7" max="7" width="22.26953125" customWidth="1"/>
    <col min="8" max="8" width="16.6328125" customWidth="1"/>
    <col min="9" max="9" width="20.7265625" customWidth="1"/>
    <col min="10" max="10" width="18.26953125" customWidth="1"/>
    <col min="11" max="11" width="20.81640625" customWidth="1"/>
    <col min="12" max="12" width="18.26953125" customWidth="1"/>
    <col min="13" max="13" width="21.453125" customWidth="1"/>
    <col min="14" max="14" width="23.453125" customWidth="1"/>
    <col min="15" max="15" width="27.36328125" customWidth="1"/>
    <col min="16" max="16" width="15.179687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9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b">
        <v>1</v>
      </c>
      <c r="I2">
        <v>10</v>
      </c>
      <c r="J2">
        <v>25</v>
      </c>
      <c r="K2">
        <v>83</v>
      </c>
      <c r="L2">
        <v>257.5</v>
      </c>
      <c r="M2">
        <v>1.8488132140649999E-2</v>
      </c>
      <c r="N2">
        <v>257.5</v>
      </c>
      <c r="O2">
        <v>1.8488132140649999E-2</v>
      </c>
      <c r="P2" s="1" t="s">
        <v>23</v>
      </c>
    </row>
    <row r="3" spans="1:16" ht="29" x14ac:dyDescent="0.35">
      <c r="A3" t="s">
        <v>24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25</v>
      </c>
      <c r="H3" t="b">
        <v>1</v>
      </c>
      <c r="I3">
        <v>10</v>
      </c>
      <c r="J3">
        <v>74.5</v>
      </c>
      <c r="L3">
        <v>14.9</v>
      </c>
      <c r="M3">
        <v>2.8359169999999999E-3</v>
      </c>
      <c r="N3">
        <v>14.9</v>
      </c>
      <c r="O3">
        <v>2.8359169999999999E-3</v>
      </c>
      <c r="P3" s="1" t="s">
        <v>23</v>
      </c>
    </row>
    <row r="4" spans="1:16" ht="29" x14ac:dyDescent="0.35">
      <c r="A4" t="s">
        <v>32</v>
      </c>
      <c r="B4" t="s">
        <v>17</v>
      </c>
      <c r="C4" t="s">
        <v>33</v>
      </c>
      <c r="D4" t="s">
        <v>19</v>
      </c>
      <c r="E4" t="s">
        <v>20</v>
      </c>
      <c r="F4" t="s">
        <v>21</v>
      </c>
      <c r="G4" t="s">
        <v>22</v>
      </c>
      <c r="H4" t="b">
        <v>1</v>
      </c>
      <c r="I4">
        <v>10</v>
      </c>
      <c r="J4">
        <v>17.25</v>
      </c>
      <c r="K4">
        <v>94</v>
      </c>
      <c r="L4">
        <v>196.65</v>
      </c>
      <c r="M4">
        <v>1.4119189069743E-2</v>
      </c>
      <c r="N4">
        <v>196.65</v>
      </c>
      <c r="O4">
        <v>1.4119189069743E-2</v>
      </c>
      <c r="P4" s="1" t="s">
        <v>23</v>
      </c>
    </row>
    <row r="5" spans="1:16" ht="29" x14ac:dyDescent="0.35">
      <c r="A5" t="s">
        <v>38</v>
      </c>
      <c r="B5" t="s">
        <v>17</v>
      </c>
      <c r="C5" t="s">
        <v>33</v>
      </c>
      <c r="D5" t="s">
        <v>19</v>
      </c>
      <c r="E5" t="s">
        <v>20</v>
      </c>
      <c r="F5" t="s">
        <v>21</v>
      </c>
      <c r="G5" t="s">
        <v>25</v>
      </c>
      <c r="H5" t="b">
        <v>1</v>
      </c>
      <c r="I5">
        <v>10</v>
      </c>
      <c r="J5">
        <v>38.5</v>
      </c>
      <c r="L5">
        <v>7.7</v>
      </c>
      <c r="M5">
        <v>1.4655409999999999E-3</v>
      </c>
      <c r="N5">
        <v>7.7</v>
      </c>
      <c r="O5">
        <v>1.4655409999999999E-3</v>
      </c>
      <c r="P5" s="1" t="s">
        <v>23</v>
      </c>
    </row>
    <row r="6" spans="1:16" ht="29" x14ac:dyDescent="0.35">
      <c r="A6" t="s">
        <v>46</v>
      </c>
      <c r="B6" t="s">
        <v>43</v>
      </c>
      <c r="C6" t="s">
        <v>44</v>
      </c>
      <c r="D6" t="s">
        <v>19</v>
      </c>
      <c r="E6" t="s">
        <v>20</v>
      </c>
      <c r="F6" t="s">
        <v>21</v>
      </c>
      <c r="G6" t="s">
        <v>25</v>
      </c>
      <c r="H6" t="b">
        <v>1</v>
      </c>
      <c r="I6">
        <v>10</v>
      </c>
      <c r="J6">
        <v>40.4444444444444</v>
      </c>
      <c r="L6">
        <v>72.8</v>
      </c>
      <c r="M6">
        <v>1.3856024E-2</v>
      </c>
      <c r="N6">
        <v>72.8</v>
      </c>
      <c r="O6">
        <v>1.3856024E-2</v>
      </c>
      <c r="P6" s="1" t="s">
        <v>23</v>
      </c>
    </row>
    <row r="7" spans="1:16" ht="29" x14ac:dyDescent="0.35">
      <c r="A7" t="s">
        <v>50</v>
      </c>
      <c r="B7" t="s">
        <v>43</v>
      </c>
      <c r="C7" t="s">
        <v>51</v>
      </c>
      <c r="D7" t="s">
        <v>19</v>
      </c>
      <c r="E7" t="s">
        <v>20</v>
      </c>
      <c r="F7" t="s">
        <v>21</v>
      </c>
      <c r="G7" t="s">
        <v>25</v>
      </c>
      <c r="H7" t="b">
        <v>1</v>
      </c>
      <c r="I7">
        <v>10</v>
      </c>
      <c r="J7">
        <v>34.549999999999997</v>
      </c>
      <c r="K7">
        <v>3</v>
      </c>
      <c r="L7">
        <v>79.465000000000003</v>
      </c>
      <c r="M7">
        <v>1.512457345E-2</v>
      </c>
      <c r="N7">
        <v>79.465000000000003</v>
      </c>
      <c r="O7">
        <v>1.512457345E-2</v>
      </c>
      <c r="P7" s="1" t="s">
        <v>23</v>
      </c>
    </row>
    <row r="8" spans="1:16" ht="29" x14ac:dyDescent="0.35">
      <c r="A8" t="s">
        <v>55</v>
      </c>
      <c r="B8" t="s">
        <v>43</v>
      </c>
      <c r="C8" t="s">
        <v>51</v>
      </c>
      <c r="D8" t="s">
        <v>19</v>
      </c>
      <c r="E8" t="s">
        <v>20</v>
      </c>
      <c r="F8" t="s">
        <v>21</v>
      </c>
      <c r="G8" t="s">
        <v>22</v>
      </c>
      <c r="H8" t="b">
        <v>1</v>
      </c>
      <c r="I8">
        <v>10</v>
      </c>
      <c r="J8">
        <v>22.3333333333333</v>
      </c>
      <c r="L8">
        <v>6.7</v>
      </c>
      <c r="M8">
        <v>4.8105042851400001E-4</v>
      </c>
      <c r="N8">
        <v>6.7</v>
      </c>
      <c r="O8">
        <v>4.8105042851400001E-4</v>
      </c>
      <c r="P8" s="1" t="s">
        <v>23</v>
      </c>
    </row>
    <row r="9" spans="1:16" ht="29" x14ac:dyDescent="0.35">
      <c r="A9" t="s">
        <v>62</v>
      </c>
      <c r="B9" t="s">
        <v>43</v>
      </c>
      <c r="C9" t="s">
        <v>63</v>
      </c>
      <c r="D9" t="s">
        <v>19</v>
      </c>
      <c r="E9" t="s">
        <v>20</v>
      </c>
      <c r="F9" t="s">
        <v>64</v>
      </c>
      <c r="G9" t="s">
        <v>25</v>
      </c>
      <c r="H9" t="b">
        <v>1</v>
      </c>
      <c r="I9">
        <v>10</v>
      </c>
      <c r="J9">
        <v>44.9</v>
      </c>
      <c r="K9">
        <v>5</v>
      </c>
      <c r="L9">
        <v>3526.4428819444402</v>
      </c>
      <c r="M9">
        <v>0.67118787372048505</v>
      </c>
      <c r="N9">
        <v>3526.4428819444402</v>
      </c>
      <c r="O9">
        <v>0.67118787372048505</v>
      </c>
      <c r="P9" s="1" t="s">
        <v>23</v>
      </c>
    </row>
    <row r="10" spans="1:16" ht="29" x14ac:dyDescent="0.35">
      <c r="A10" t="s">
        <v>65</v>
      </c>
      <c r="B10" t="s">
        <v>43</v>
      </c>
      <c r="C10" t="s">
        <v>63</v>
      </c>
      <c r="D10" t="s">
        <v>19</v>
      </c>
      <c r="E10" t="s">
        <v>20</v>
      </c>
      <c r="F10" t="s">
        <v>64</v>
      </c>
      <c r="G10" t="s">
        <v>22</v>
      </c>
      <c r="H10" t="b">
        <v>1</v>
      </c>
      <c r="I10">
        <v>10</v>
      </c>
      <c r="J10">
        <v>32</v>
      </c>
      <c r="L10">
        <v>301.59333333333302</v>
      </c>
      <c r="M10">
        <v>2.1653970483129201E-2</v>
      </c>
      <c r="N10">
        <v>301.59333333333302</v>
      </c>
      <c r="O10">
        <v>2.1653970483129201E-2</v>
      </c>
      <c r="P10" s="1" t="s">
        <v>23</v>
      </c>
    </row>
    <row r="11" spans="1:16" ht="29" x14ac:dyDescent="0.35">
      <c r="A11" t="s">
        <v>68</v>
      </c>
      <c r="B11" t="s">
        <v>43</v>
      </c>
      <c r="C11" t="s">
        <v>69</v>
      </c>
      <c r="D11" t="s">
        <v>19</v>
      </c>
      <c r="E11" t="s">
        <v>20</v>
      </c>
      <c r="F11" t="s">
        <v>21</v>
      </c>
      <c r="G11" t="s">
        <v>25</v>
      </c>
      <c r="H11" t="b">
        <v>1</v>
      </c>
      <c r="I11">
        <v>10</v>
      </c>
      <c r="J11">
        <v>49.4</v>
      </c>
      <c r="L11">
        <v>98.8</v>
      </c>
      <c r="M11">
        <v>1.8804603999999999E-2</v>
      </c>
      <c r="N11">
        <v>98.8</v>
      </c>
      <c r="O11">
        <v>1.8804603999999999E-2</v>
      </c>
      <c r="P11" s="1" t="s">
        <v>23</v>
      </c>
    </row>
    <row r="12" spans="1:16" ht="29" x14ac:dyDescent="0.35">
      <c r="A12" t="s">
        <v>74</v>
      </c>
      <c r="B12" t="s">
        <v>43</v>
      </c>
      <c r="C12" t="s">
        <v>73</v>
      </c>
      <c r="D12" t="s">
        <v>19</v>
      </c>
      <c r="E12" t="s">
        <v>20</v>
      </c>
      <c r="F12" t="s">
        <v>21</v>
      </c>
      <c r="G12" t="s">
        <v>25</v>
      </c>
      <c r="H12" t="b">
        <v>1</v>
      </c>
      <c r="I12">
        <v>10</v>
      </c>
      <c r="J12">
        <v>43.75</v>
      </c>
      <c r="K12">
        <v>30</v>
      </c>
      <c r="L12">
        <v>218.75</v>
      </c>
      <c r="M12">
        <v>4.1634687500000003E-2</v>
      </c>
      <c r="N12">
        <v>218.75</v>
      </c>
      <c r="O12">
        <v>4.1634687500000003E-2</v>
      </c>
      <c r="P12" s="1" t="s">
        <v>23</v>
      </c>
    </row>
    <row r="13" spans="1:16" ht="29" x14ac:dyDescent="0.35">
      <c r="A13" t="s">
        <v>81</v>
      </c>
      <c r="B13" t="s">
        <v>82</v>
      </c>
      <c r="C13" t="s">
        <v>83</v>
      </c>
      <c r="D13" t="s">
        <v>19</v>
      </c>
      <c r="E13" t="s">
        <v>20</v>
      </c>
      <c r="F13" t="s">
        <v>64</v>
      </c>
      <c r="G13" t="s">
        <v>25</v>
      </c>
      <c r="H13" t="b">
        <v>1</v>
      </c>
      <c r="I13">
        <v>10</v>
      </c>
      <c r="J13">
        <v>41.142857142857103</v>
      </c>
      <c r="L13">
        <v>1809.56</v>
      </c>
      <c r="M13">
        <v>0.34441355480000002</v>
      </c>
      <c r="N13">
        <v>1809.56</v>
      </c>
      <c r="O13">
        <v>0.34441355480000002</v>
      </c>
      <c r="P13" s="1" t="s">
        <v>23</v>
      </c>
    </row>
    <row r="14" spans="1:16" ht="29" x14ac:dyDescent="0.35">
      <c r="A14" t="s">
        <v>85</v>
      </c>
      <c r="B14" t="s">
        <v>82</v>
      </c>
      <c r="C14" t="s">
        <v>86</v>
      </c>
      <c r="D14" t="s">
        <v>19</v>
      </c>
      <c r="E14" t="s">
        <v>20</v>
      </c>
      <c r="F14" t="s">
        <v>64</v>
      </c>
      <c r="G14" t="s">
        <v>25</v>
      </c>
      <c r="H14" t="b">
        <v>1</v>
      </c>
      <c r="I14">
        <v>10</v>
      </c>
      <c r="J14">
        <v>49.65</v>
      </c>
      <c r="K14">
        <v>92</v>
      </c>
      <c r="L14">
        <v>17469.7938333333</v>
      </c>
      <c r="M14">
        <v>3.32502586029833</v>
      </c>
      <c r="N14">
        <v>17469.7938333333</v>
      </c>
      <c r="O14">
        <v>3.32502586029833</v>
      </c>
      <c r="P14" s="1" t="s">
        <v>23</v>
      </c>
    </row>
    <row r="15" spans="1:16" ht="29" x14ac:dyDescent="0.35">
      <c r="A15" t="s">
        <v>87</v>
      </c>
      <c r="B15" t="s">
        <v>82</v>
      </c>
      <c r="C15" t="s">
        <v>86</v>
      </c>
      <c r="D15" t="s">
        <v>19</v>
      </c>
      <c r="E15" t="s">
        <v>20</v>
      </c>
      <c r="F15" t="s">
        <v>64</v>
      </c>
      <c r="G15" t="s">
        <v>22</v>
      </c>
      <c r="H15" t="b">
        <v>1</v>
      </c>
      <c r="I15">
        <v>10</v>
      </c>
      <c r="J15">
        <v>22.75</v>
      </c>
      <c r="L15">
        <v>285.88534722222198</v>
      </c>
      <c r="M15">
        <v>2.05261595204662E-2</v>
      </c>
      <c r="N15">
        <v>285.88534722222198</v>
      </c>
      <c r="O15">
        <v>2.05261595204662E-2</v>
      </c>
      <c r="P15" s="1" t="s">
        <v>23</v>
      </c>
    </row>
    <row r="16" spans="1:16" ht="29" x14ac:dyDescent="0.35">
      <c r="A16" t="s">
        <v>89</v>
      </c>
      <c r="B16" t="s">
        <v>82</v>
      </c>
      <c r="C16" t="s">
        <v>90</v>
      </c>
      <c r="D16" t="s">
        <v>19</v>
      </c>
      <c r="E16" t="s">
        <v>20</v>
      </c>
      <c r="F16" t="s">
        <v>64</v>
      </c>
      <c r="G16" t="s">
        <v>25</v>
      </c>
      <c r="H16" t="b">
        <v>1</v>
      </c>
      <c r="I16">
        <v>10</v>
      </c>
      <c r="J16">
        <v>41.421052631578902</v>
      </c>
      <c r="L16">
        <v>2472.4370138888899</v>
      </c>
      <c r="M16">
        <v>0.47057893685347202</v>
      </c>
      <c r="N16">
        <v>2472.4370138888899</v>
      </c>
      <c r="O16">
        <v>0.47057893685347202</v>
      </c>
      <c r="P16" s="1" t="s">
        <v>23</v>
      </c>
    </row>
    <row r="17" spans="1:16" ht="29" x14ac:dyDescent="0.35">
      <c r="A17" t="s">
        <v>92</v>
      </c>
      <c r="B17" t="s">
        <v>82</v>
      </c>
      <c r="C17" t="s">
        <v>93</v>
      </c>
      <c r="D17" t="s">
        <v>19</v>
      </c>
      <c r="E17" t="s">
        <v>20</v>
      </c>
      <c r="F17" t="s">
        <v>64</v>
      </c>
      <c r="G17" t="s">
        <v>25</v>
      </c>
      <c r="H17" t="b">
        <v>1</v>
      </c>
      <c r="I17">
        <v>10</v>
      </c>
      <c r="J17">
        <v>46.2</v>
      </c>
      <c r="K17">
        <v>67</v>
      </c>
      <c r="L17">
        <v>12627.335875000001</v>
      </c>
      <c r="M17">
        <v>2.40336083708875</v>
      </c>
      <c r="N17">
        <v>12627.335875000001</v>
      </c>
      <c r="O17">
        <v>2.40336083708875</v>
      </c>
      <c r="P17" s="1" t="s">
        <v>23</v>
      </c>
    </row>
    <row r="18" spans="1:16" ht="29" x14ac:dyDescent="0.35">
      <c r="A18" t="s">
        <v>94</v>
      </c>
      <c r="B18" t="s">
        <v>82</v>
      </c>
      <c r="C18" t="s">
        <v>93</v>
      </c>
      <c r="D18" t="s">
        <v>19</v>
      </c>
      <c r="E18" t="s">
        <v>20</v>
      </c>
      <c r="F18" t="s">
        <v>64</v>
      </c>
      <c r="G18" t="s">
        <v>22</v>
      </c>
      <c r="H18" t="b">
        <v>1</v>
      </c>
      <c r="I18">
        <v>10</v>
      </c>
      <c r="J18">
        <v>21.5</v>
      </c>
      <c r="L18">
        <v>270.177361111111</v>
      </c>
      <c r="M18">
        <v>1.9398348557803199E-2</v>
      </c>
      <c r="N18">
        <v>270.177361111111</v>
      </c>
      <c r="O18">
        <v>1.9398348557803199E-2</v>
      </c>
      <c r="P18" s="1" t="s">
        <v>23</v>
      </c>
    </row>
    <row r="19" spans="1:16" ht="29" x14ac:dyDescent="0.35">
      <c r="A19" t="s">
        <v>103</v>
      </c>
      <c r="B19" t="s">
        <v>96</v>
      </c>
      <c r="C19" t="s">
        <v>97</v>
      </c>
      <c r="D19" t="s">
        <v>19</v>
      </c>
      <c r="E19" t="s">
        <v>20</v>
      </c>
      <c r="F19" t="s">
        <v>21</v>
      </c>
      <c r="G19" t="s">
        <v>22</v>
      </c>
      <c r="H19" t="b">
        <v>1</v>
      </c>
      <c r="I19">
        <v>10</v>
      </c>
      <c r="J19">
        <v>28</v>
      </c>
      <c r="L19">
        <v>2.8</v>
      </c>
      <c r="M19">
        <v>2.01035999976E-4</v>
      </c>
      <c r="N19">
        <v>2.8</v>
      </c>
      <c r="O19">
        <v>2.01035999976E-4</v>
      </c>
      <c r="P19" s="1" t="s">
        <v>23</v>
      </c>
    </row>
    <row r="20" spans="1:16" ht="29" x14ac:dyDescent="0.35">
      <c r="A20" t="s">
        <v>105</v>
      </c>
      <c r="B20" t="s">
        <v>17</v>
      </c>
      <c r="C20" t="s">
        <v>18</v>
      </c>
      <c r="D20" t="s">
        <v>106</v>
      </c>
      <c r="E20" t="s">
        <v>20</v>
      </c>
      <c r="F20" t="s">
        <v>21</v>
      </c>
      <c r="G20" t="s">
        <v>22</v>
      </c>
      <c r="H20" t="b">
        <v>1</v>
      </c>
      <c r="I20">
        <v>10</v>
      </c>
      <c r="J20">
        <v>39.85</v>
      </c>
      <c r="K20">
        <v>43</v>
      </c>
      <c r="L20">
        <v>251.05500000000001</v>
      </c>
      <c r="M20">
        <v>1.80253903478481E-2</v>
      </c>
      <c r="N20">
        <v>251.05500000000001</v>
      </c>
      <c r="O20">
        <v>1.80253903478481E-2</v>
      </c>
      <c r="P20" s="1" t="s">
        <v>23</v>
      </c>
    </row>
    <row r="21" spans="1:16" ht="29" x14ac:dyDescent="0.35">
      <c r="A21" t="s">
        <v>110</v>
      </c>
      <c r="B21" t="s">
        <v>17</v>
      </c>
      <c r="C21" t="s">
        <v>18</v>
      </c>
      <c r="D21" t="s">
        <v>106</v>
      </c>
      <c r="E21" t="s">
        <v>20</v>
      </c>
      <c r="F21" t="s">
        <v>21</v>
      </c>
      <c r="G21" t="s">
        <v>25</v>
      </c>
      <c r="H21" t="b">
        <v>1</v>
      </c>
      <c r="I21">
        <v>10</v>
      </c>
      <c r="J21">
        <v>42</v>
      </c>
      <c r="L21">
        <v>4.2</v>
      </c>
      <c r="M21">
        <v>7.9938600000000002E-4</v>
      </c>
      <c r="N21">
        <v>4.2</v>
      </c>
      <c r="O21">
        <v>7.9938600000000002E-4</v>
      </c>
      <c r="P21" s="1" t="s">
        <v>23</v>
      </c>
    </row>
    <row r="22" spans="1:16" ht="29" x14ac:dyDescent="0.35">
      <c r="A22" t="s">
        <v>111</v>
      </c>
      <c r="B22" t="s">
        <v>17</v>
      </c>
      <c r="C22" t="s">
        <v>33</v>
      </c>
      <c r="D22" t="s">
        <v>106</v>
      </c>
      <c r="E22" t="s">
        <v>20</v>
      </c>
      <c r="F22" t="s">
        <v>21</v>
      </c>
      <c r="G22" t="s">
        <v>22</v>
      </c>
      <c r="H22" t="b">
        <v>1</v>
      </c>
      <c r="I22">
        <v>10</v>
      </c>
      <c r="J22">
        <v>35.2777777777778</v>
      </c>
      <c r="L22">
        <v>63.5</v>
      </c>
      <c r="M22">
        <v>4.5592092851700003E-3</v>
      </c>
      <c r="N22">
        <v>63.5</v>
      </c>
      <c r="O22">
        <v>4.5592092851700003E-3</v>
      </c>
      <c r="P22" s="1" t="s">
        <v>23</v>
      </c>
    </row>
    <row r="23" spans="1:16" ht="29" x14ac:dyDescent="0.35">
      <c r="A23" t="s">
        <v>116</v>
      </c>
      <c r="B23" t="s">
        <v>17</v>
      </c>
      <c r="C23" t="s">
        <v>33</v>
      </c>
      <c r="D23" t="s">
        <v>106</v>
      </c>
      <c r="E23" t="s">
        <v>20</v>
      </c>
      <c r="F23" t="s">
        <v>21</v>
      </c>
      <c r="G23" t="s">
        <v>25</v>
      </c>
      <c r="H23" t="b">
        <v>1</v>
      </c>
      <c r="I23">
        <v>10</v>
      </c>
      <c r="J23">
        <v>19</v>
      </c>
      <c r="L23">
        <v>3.8</v>
      </c>
      <c r="M23">
        <v>7.23254E-4</v>
      </c>
      <c r="N23">
        <v>3.8</v>
      </c>
      <c r="O23">
        <v>7.23254E-4</v>
      </c>
      <c r="P23" s="1" t="s">
        <v>23</v>
      </c>
    </row>
    <row r="24" spans="1:16" ht="29" x14ac:dyDescent="0.35">
      <c r="A24" t="s">
        <v>117</v>
      </c>
      <c r="B24" t="s">
        <v>43</v>
      </c>
      <c r="C24" t="s">
        <v>44</v>
      </c>
      <c r="D24" t="s">
        <v>106</v>
      </c>
      <c r="E24" t="s">
        <v>20</v>
      </c>
      <c r="F24" t="s">
        <v>21</v>
      </c>
      <c r="G24" t="s">
        <v>25</v>
      </c>
      <c r="H24" t="b">
        <v>1</v>
      </c>
      <c r="I24">
        <v>10</v>
      </c>
      <c r="J24">
        <v>46.846153846153797</v>
      </c>
      <c r="L24">
        <v>60.9</v>
      </c>
      <c r="M24">
        <v>1.1591097E-2</v>
      </c>
      <c r="N24">
        <v>60.9</v>
      </c>
      <c r="O24">
        <v>1.1591097E-2</v>
      </c>
      <c r="P24" s="1" t="s">
        <v>23</v>
      </c>
    </row>
    <row r="25" spans="1:16" ht="29" x14ac:dyDescent="0.35">
      <c r="A25" t="s">
        <v>123</v>
      </c>
      <c r="B25" t="s">
        <v>43</v>
      </c>
      <c r="C25" t="s">
        <v>51</v>
      </c>
      <c r="D25" t="s">
        <v>106</v>
      </c>
      <c r="E25" t="s">
        <v>20</v>
      </c>
      <c r="F25" t="s">
        <v>21</v>
      </c>
      <c r="G25" t="s">
        <v>25</v>
      </c>
      <c r="H25" t="b">
        <v>1</v>
      </c>
      <c r="I25">
        <v>10</v>
      </c>
      <c r="J25">
        <v>59.368421052631597</v>
      </c>
      <c r="L25">
        <v>112.8</v>
      </c>
      <c r="M25">
        <v>2.1469223999999999E-2</v>
      </c>
      <c r="N25">
        <v>112.8</v>
      </c>
      <c r="O25">
        <v>2.1469223999999999E-2</v>
      </c>
      <c r="P25" s="1" t="s">
        <v>23</v>
      </c>
    </row>
    <row r="26" spans="1:16" ht="29" x14ac:dyDescent="0.35">
      <c r="A26" t="s">
        <v>128</v>
      </c>
      <c r="B26" t="s">
        <v>43</v>
      </c>
      <c r="C26" t="s">
        <v>51</v>
      </c>
      <c r="D26" t="s">
        <v>106</v>
      </c>
      <c r="E26" t="s">
        <v>20</v>
      </c>
      <c r="F26" t="s">
        <v>21</v>
      </c>
      <c r="G26" t="s">
        <v>22</v>
      </c>
      <c r="H26" t="b">
        <v>1</v>
      </c>
      <c r="I26">
        <v>10</v>
      </c>
      <c r="J26">
        <v>306</v>
      </c>
      <c r="L26">
        <v>30.6</v>
      </c>
      <c r="M26">
        <v>2.197036285452E-3</v>
      </c>
      <c r="N26">
        <v>30.6</v>
      </c>
      <c r="O26">
        <v>2.197036285452E-3</v>
      </c>
      <c r="P26" s="1" t="s">
        <v>23</v>
      </c>
    </row>
    <row r="27" spans="1:16" ht="29" x14ac:dyDescent="0.35">
      <c r="A27" t="s">
        <v>132</v>
      </c>
      <c r="B27" t="s">
        <v>43</v>
      </c>
      <c r="C27" t="s">
        <v>63</v>
      </c>
      <c r="D27" t="s">
        <v>106</v>
      </c>
      <c r="E27" t="s">
        <v>20</v>
      </c>
      <c r="F27" t="s">
        <v>21</v>
      </c>
      <c r="G27" t="s">
        <v>25</v>
      </c>
      <c r="H27" t="b">
        <v>1</v>
      </c>
      <c r="I27">
        <v>10</v>
      </c>
      <c r="J27">
        <v>68.8</v>
      </c>
      <c r="K27">
        <v>125</v>
      </c>
      <c r="L27">
        <v>997.6</v>
      </c>
      <c r="M27">
        <v>0.18987320799999999</v>
      </c>
      <c r="N27">
        <v>997.6</v>
      </c>
      <c r="O27">
        <v>0.18987320799999999</v>
      </c>
      <c r="P27" s="1" t="s">
        <v>23</v>
      </c>
    </row>
    <row r="28" spans="1:16" ht="29" x14ac:dyDescent="0.35">
      <c r="A28" t="s">
        <v>133</v>
      </c>
      <c r="B28" t="s">
        <v>43</v>
      </c>
      <c r="C28" t="s">
        <v>63</v>
      </c>
      <c r="D28" t="s">
        <v>106</v>
      </c>
      <c r="E28" t="s">
        <v>20</v>
      </c>
      <c r="F28" t="s">
        <v>21</v>
      </c>
      <c r="G28" t="s">
        <v>22</v>
      </c>
      <c r="H28" t="b">
        <v>1</v>
      </c>
      <c r="I28">
        <v>10</v>
      </c>
      <c r="J28">
        <v>27.5</v>
      </c>
      <c r="L28">
        <v>22</v>
      </c>
      <c r="M28">
        <v>1.5795685712399999E-3</v>
      </c>
      <c r="N28">
        <v>22</v>
      </c>
      <c r="O28">
        <v>1.5795685712399999E-3</v>
      </c>
      <c r="P28" s="1" t="s">
        <v>23</v>
      </c>
    </row>
    <row r="29" spans="1:16" ht="29" x14ac:dyDescent="0.35">
      <c r="A29" t="s">
        <v>136</v>
      </c>
      <c r="B29" t="s">
        <v>43</v>
      </c>
      <c r="C29" t="s">
        <v>69</v>
      </c>
      <c r="D29" t="s">
        <v>106</v>
      </c>
      <c r="E29" t="s">
        <v>20</v>
      </c>
      <c r="F29" t="s">
        <v>21</v>
      </c>
      <c r="G29" t="s">
        <v>25</v>
      </c>
      <c r="H29" t="b">
        <v>1</v>
      </c>
      <c r="I29">
        <v>10</v>
      </c>
      <c r="J29">
        <v>45.9</v>
      </c>
      <c r="K29">
        <v>25</v>
      </c>
      <c r="L29">
        <v>206.55</v>
      </c>
      <c r="M29">
        <v>3.9312661499999998E-2</v>
      </c>
      <c r="N29">
        <v>206.55</v>
      </c>
      <c r="O29">
        <v>3.9312661499999998E-2</v>
      </c>
      <c r="P29" s="1" t="s">
        <v>23</v>
      </c>
    </row>
    <row r="30" spans="1:16" ht="29" x14ac:dyDescent="0.35">
      <c r="A30" t="s">
        <v>140</v>
      </c>
      <c r="B30" t="s">
        <v>43</v>
      </c>
      <c r="C30" t="s">
        <v>73</v>
      </c>
      <c r="D30" t="s">
        <v>106</v>
      </c>
      <c r="E30" t="s">
        <v>20</v>
      </c>
      <c r="F30" t="s">
        <v>21</v>
      </c>
      <c r="G30" t="s">
        <v>25</v>
      </c>
      <c r="H30" t="b">
        <v>1</v>
      </c>
      <c r="I30">
        <v>10</v>
      </c>
      <c r="J30">
        <v>47.55</v>
      </c>
      <c r="K30">
        <v>37</v>
      </c>
      <c r="L30">
        <v>271.03500000000003</v>
      </c>
      <c r="M30">
        <v>5.1586091549999998E-2</v>
      </c>
      <c r="N30">
        <v>271.03500000000003</v>
      </c>
      <c r="O30">
        <v>5.1586091549999998E-2</v>
      </c>
      <c r="P30" s="1" t="s">
        <v>23</v>
      </c>
    </row>
    <row r="31" spans="1:16" ht="29" x14ac:dyDescent="0.35">
      <c r="A31" t="s">
        <v>146</v>
      </c>
      <c r="B31" t="s">
        <v>82</v>
      </c>
      <c r="C31" t="s">
        <v>83</v>
      </c>
      <c r="D31" t="s">
        <v>106</v>
      </c>
      <c r="E31" t="s">
        <v>20</v>
      </c>
      <c r="F31" t="s">
        <v>64</v>
      </c>
      <c r="G31" t="s">
        <v>25</v>
      </c>
      <c r="H31" t="b">
        <v>1</v>
      </c>
      <c r="I31">
        <v>10</v>
      </c>
      <c r="J31">
        <v>54.1</v>
      </c>
      <c r="K31">
        <v>23</v>
      </c>
      <c r="L31">
        <v>7308.2976180555597</v>
      </c>
      <c r="M31">
        <v>1.3909882856445099</v>
      </c>
      <c r="N31">
        <v>7308.2976180555597</v>
      </c>
      <c r="O31">
        <v>1.3909882856445099</v>
      </c>
      <c r="P31" s="1" t="s">
        <v>23</v>
      </c>
    </row>
    <row r="32" spans="1:16" ht="29" x14ac:dyDescent="0.35">
      <c r="A32" t="s">
        <v>147</v>
      </c>
      <c r="B32" t="s">
        <v>82</v>
      </c>
      <c r="C32" t="s">
        <v>83</v>
      </c>
      <c r="D32" t="s">
        <v>106</v>
      </c>
      <c r="E32" t="s">
        <v>20</v>
      </c>
      <c r="F32" t="s">
        <v>64</v>
      </c>
      <c r="G32" t="s">
        <v>22</v>
      </c>
      <c r="H32" t="b">
        <v>1</v>
      </c>
      <c r="I32">
        <v>10</v>
      </c>
      <c r="J32">
        <v>35.3333333333333</v>
      </c>
      <c r="L32">
        <v>333.00930555555499</v>
      </c>
      <c r="M32">
        <v>2.3909592408455201E-2</v>
      </c>
      <c r="N32">
        <v>333.00930555555601</v>
      </c>
      <c r="O32">
        <v>2.3909592408455201E-2</v>
      </c>
      <c r="P32" s="1" t="s">
        <v>23</v>
      </c>
    </row>
    <row r="33" spans="1:16" ht="29" x14ac:dyDescent="0.35">
      <c r="A33" t="s">
        <v>149</v>
      </c>
      <c r="B33" t="s">
        <v>82</v>
      </c>
      <c r="C33" t="s">
        <v>86</v>
      </c>
      <c r="D33" t="s">
        <v>106</v>
      </c>
      <c r="E33" t="s">
        <v>20</v>
      </c>
      <c r="F33" t="s">
        <v>64</v>
      </c>
      <c r="G33" t="s">
        <v>25</v>
      </c>
      <c r="H33" t="b">
        <v>1</v>
      </c>
      <c r="I33">
        <v>10</v>
      </c>
      <c r="J33">
        <v>71.8</v>
      </c>
      <c r="K33">
        <v>17</v>
      </c>
      <c r="L33">
        <v>8345.9671805555608</v>
      </c>
      <c r="M33">
        <v>1.5884879334751401</v>
      </c>
      <c r="N33">
        <v>8345.9671805555608</v>
      </c>
      <c r="O33">
        <v>1.5884879334751401</v>
      </c>
      <c r="P33" s="1" t="s">
        <v>23</v>
      </c>
    </row>
    <row r="34" spans="1:16" ht="29" x14ac:dyDescent="0.35">
      <c r="A34" t="s">
        <v>153</v>
      </c>
      <c r="B34" t="s">
        <v>82</v>
      </c>
      <c r="C34" t="s">
        <v>86</v>
      </c>
      <c r="D34" t="s">
        <v>106</v>
      </c>
      <c r="E34" t="s">
        <v>20</v>
      </c>
      <c r="F34" t="s">
        <v>64</v>
      </c>
      <c r="G34" t="s">
        <v>22</v>
      </c>
      <c r="H34" t="b">
        <v>1</v>
      </c>
      <c r="I34">
        <v>10</v>
      </c>
      <c r="J34">
        <v>32</v>
      </c>
      <c r="L34">
        <v>100.531111111111</v>
      </c>
      <c r="M34">
        <v>7.2179901610430596E-3</v>
      </c>
      <c r="N34">
        <v>100.531111111111</v>
      </c>
      <c r="O34">
        <v>7.2179901610430596E-3</v>
      </c>
      <c r="P34" s="1" t="s">
        <v>23</v>
      </c>
    </row>
    <row r="35" spans="1:16" ht="29" x14ac:dyDescent="0.35">
      <c r="A35" t="s">
        <v>154</v>
      </c>
      <c r="B35" t="s">
        <v>82</v>
      </c>
      <c r="C35" t="s">
        <v>90</v>
      </c>
      <c r="D35" t="s">
        <v>106</v>
      </c>
      <c r="E35" t="s">
        <v>20</v>
      </c>
      <c r="F35" t="s">
        <v>64</v>
      </c>
      <c r="G35" t="s">
        <v>25</v>
      </c>
      <c r="H35" t="b">
        <v>1</v>
      </c>
      <c r="I35">
        <v>10</v>
      </c>
      <c r="J35">
        <v>67.599999999999994</v>
      </c>
      <c r="L35">
        <v>2123.7197222222198</v>
      </c>
      <c r="M35">
        <v>0.40420757473055502</v>
      </c>
      <c r="N35">
        <v>2123.7197222222198</v>
      </c>
      <c r="O35">
        <v>0.40420757473055502</v>
      </c>
      <c r="P35" s="1" t="s">
        <v>23</v>
      </c>
    </row>
    <row r="36" spans="1:16" ht="29" x14ac:dyDescent="0.35">
      <c r="A36" t="s">
        <v>156</v>
      </c>
      <c r="B36" t="s">
        <v>82</v>
      </c>
      <c r="C36" t="s">
        <v>93</v>
      </c>
      <c r="D36" t="s">
        <v>106</v>
      </c>
      <c r="E36" t="s">
        <v>20</v>
      </c>
      <c r="F36" t="s">
        <v>64</v>
      </c>
      <c r="G36" t="s">
        <v>25</v>
      </c>
      <c r="H36" t="b">
        <v>1</v>
      </c>
      <c r="I36">
        <v>10</v>
      </c>
      <c r="J36">
        <v>68.75</v>
      </c>
      <c r="K36">
        <v>44</v>
      </c>
      <c r="L36">
        <v>13823.027777777799</v>
      </c>
      <c r="M36">
        <v>2.6309368769444501</v>
      </c>
      <c r="N36">
        <v>13823.027777777799</v>
      </c>
      <c r="O36">
        <v>2.6309368769444501</v>
      </c>
      <c r="P36" s="1" t="s">
        <v>23</v>
      </c>
    </row>
    <row r="37" spans="1:16" ht="29" x14ac:dyDescent="0.35">
      <c r="A37" t="s">
        <v>158</v>
      </c>
      <c r="B37" t="s">
        <v>82</v>
      </c>
      <c r="C37" t="s">
        <v>93</v>
      </c>
      <c r="D37" t="s">
        <v>106</v>
      </c>
      <c r="E37" t="s">
        <v>20</v>
      </c>
      <c r="F37" t="s">
        <v>64</v>
      </c>
      <c r="G37" t="s">
        <v>22</v>
      </c>
      <c r="H37" t="b">
        <v>1</v>
      </c>
      <c r="I37">
        <v>10</v>
      </c>
      <c r="J37">
        <v>19.5</v>
      </c>
      <c r="L37">
        <v>122.522291666667</v>
      </c>
      <c r="M37">
        <v>8.7969255087712601E-3</v>
      </c>
      <c r="N37">
        <v>122.522291666667</v>
      </c>
      <c r="O37">
        <v>8.7969255087712601E-3</v>
      </c>
      <c r="P37" s="1" t="s">
        <v>23</v>
      </c>
    </row>
    <row r="38" spans="1:16" ht="29" x14ac:dyDescent="0.35">
      <c r="A38" t="s">
        <v>162</v>
      </c>
      <c r="B38" t="s">
        <v>96</v>
      </c>
      <c r="C38" t="s">
        <v>97</v>
      </c>
      <c r="D38" t="s">
        <v>106</v>
      </c>
      <c r="E38" t="s">
        <v>20</v>
      </c>
      <c r="F38" t="s">
        <v>21</v>
      </c>
      <c r="G38" t="s">
        <v>22</v>
      </c>
      <c r="H38" t="b">
        <v>1</v>
      </c>
      <c r="I38">
        <v>10</v>
      </c>
      <c r="J38">
        <v>131</v>
      </c>
      <c r="L38">
        <v>26.2</v>
      </c>
      <c r="M38">
        <v>1.8811225712039999E-3</v>
      </c>
      <c r="N38">
        <v>26.2</v>
      </c>
      <c r="O38">
        <v>1.8811225712039999E-3</v>
      </c>
      <c r="P38" s="1" t="s">
        <v>23</v>
      </c>
    </row>
    <row r="39" spans="1:16" ht="29" x14ac:dyDescent="0.35">
      <c r="A39" t="s">
        <v>166</v>
      </c>
      <c r="B39" t="s">
        <v>17</v>
      </c>
      <c r="C39" t="s">
        <v>18</v>
      </c>
      <c r="D39" t="s">
        <v>167</v>
      </c>
      <c r="E39" t="s">
        <v>20</v>
      </c>
      <c r="F39" t="s">
        <v>21</v>
      </c>
      <c r="G39" t="s">
        <v>22</v>
      </c>
      <c r="H39" t="b">
        <v>1</v>
      </c>
      <c r="I39">
        <v>10</v>
      </c>
      <c r="J39">
        <v>17.5</v>
      </c>
      <c r="K39">
        <v>16</v>
      </c>
      <c r="L39">
        <v>63</v>
      </c>
      <c r="M39">
        <v>4.5233099994599997E-3</v>
      </c>
      <c r="N39">
        <v>63</v>
      </c>
      <c r="O39">
        <v>4.5233099994599997E-3</v>
      </c>
      <c r="P39" s="1" t="s">
        <v>23</v>
      </c>
    </row>
    <row r="40" spans="1:16" ht="29" x14ac:dyDescent="0.35">
      <c r="A40" t="s">
        <v>172</v>
      </c>
      <c r="B40" t="s">
        <v>17</v>
      </c>
      <c r="C40" t="s">
        <v>18</v>
      </c>
      <c r="D40" t="s">
        <v>167</v>
      </c>
      <c r="E40" t="s">
        <v>20</v>
      </c>
      <c r="F40" t="s">
        <v>21</v>
      </c>
      <c r="G40" t="s">
        <v>25</v>
      </c>
      <c r="H40" t="b">
        <v>1</v>
      </c>
      <c r="I40">
        <v>10</v>
      </c>
      <c r="J40">
        <v>87.3333333333333</v>
      </c>
      <c r="L40">
        <v>26.2</v>
      </c>
      <c r="M40">
        <v>4.986646E-3</v>
      </c>
      <c r="N40">
        <v>26.2</v>
      </c>
      <c r="O40">
        <v>4.986646E-3</v>
      </c>
      <c r="P40" s="1" t="s">
        <v>23</v>
      </c>
    </row>
    <row r="41" spans="1:16" ht="29" x14ac:dyDescent="0.35">
      <c r="A41" t="s">
        <v>174</v>
      </c>
      <c r="B41" t="s">
        <v>17</v>
      </c>
      <c r="C41" t="s">
        <v>33</v>
      </c>
      <c r="D41" t="s">
        <v>167</v>
      </c>
      <c r="E41" t="s">
        <v>20</v>
      </c>
      <c r="F41" t="s">
        <v>21</v>
      </c>
      <c r="G41" t="s">
        <v>22</v>
      </c>
      <c r="H41" t="b">
        <v>1</v>
      </c>
      <c r="I41">
        <v>10</v>
      </c>
      <c r="J41">
        <v>122.6</v>
      </c>
      <c r="L41">
        <v>183.9</v>
      </c>
      <c r="M41">
        <v>1.3203757284138E-2</v>
      </c>
      <c r="N41">
        <v>183.9</v>
      </c>
      <c r="O41">
        <v>1.3203757284138E-2</v>
      </c>
      <c r="P41" s="1" t="s">
        <v>23</v>
      </c>
    </row>
    <row r="42" spans="1:16" ht="29" x14ac:dyDescent="0.35">
      <c r="A42" t="s">
        <v>177</v>
      </c>
      <c r="B42" t="s">
        <v>17</v>
      </c>
      <c r="C42" t="s">
        <v>33</v>
      </c>
      <c r="D42" t="s">
        <v>167</v>
      </c>
      <c r="E42" t="s">
        <v>20</v>
      </c>
      <c r="F42" t="s">
        <v>21</v>
      </c>
      <c r="G42" t="s">
        <v>25</v>
      </c>
      <c r="H42" t="b">
        <v>1</v>
      </c>
      <c r="I42">
        <v>10</v>
      </c>
      <c r="J42">
        <v>37</v>
      </c>
      <c r="L42">
        <v>14.8</v>
      </c>
      <c r="M42">
        <v>2.816884E-3</v>
      </c>
      <c r="N42">
        <v>14.8</v>
      </c>
      <c r="O42">
        <v>2.816884E-3</v>
      </c>
      <c r="P42" s="1" t="s">
        <v>23</v>
      </c>
    </row>
    <row r="43" spans="1:16" ht="29" x14ac:dyDescent="0.35">
      <c r="A43" t="s">
        <v>183</v>
      </c>
      <c r="B43" t="s">
        <v>43</v>
      </c>
      <c r="C43" t="s">
        <v>44</v>
      </c>
      <c r="D43" t="s">
        <v>167</v>
      </c>
      <c r="E43" t="s">
        <v>20</v>
      </c>
      <c r="F43" t="s">
        <v>21</v>
      </c>
      <c r="G43" t="s">
        <v>25</v>
      </c>
      <c r="H43" t="b">
        <v>1</v>
      </c>
      <c r="I43">
        <v>10</v>
      </c>
      <c r="J43">
        <v>35.875</v>
      </c>
      <c r="L43">
        <v>57.4</v>
      </c>
      <c r="M43">
        <v>1.0924942E-2</v>
      </c>
      <c r="N43">
        <v>57.4</v>
      </c>
      <c r="O43">
        <v>1.0924942E-2</v>
      </c>
      <c r="P43" s="1" t="s">
        <v>23</v>
      </c>
    </row>
    <row r="44" spans="1:16" ht="29" x14ac:dyDescent="0.35">
      <c r="A44" t="s">
        <v>188</v>
      </c>
      <c r="B44" t="s">
        <v>43</v>
      </c>
      <c r="C44" t="s">
        <v>51</v>
      </c>
      <c r="D44" t="s">
        <v>167</v>
      </c>
      <c r="E44" t="s">
        <v>20</v>
      </c>
      <c r="F44" t="s">
        <v>21</v>
      </c>
      <c r="G44" t="s">
        <v>25</v>
      </c>
      <c r="H44" t="b">
        <v>1</v>
      </c>
      <c r="I44">
        <v>10</v>
      </c>
      <c r="J44">
        <v>46.909090909090899</v>
      </c>
      <c r="L44">
        <v>51.6</v>
      </c>
      <c r="M44">
        <v>9.8210280000000007E-3</v>
      </c>
      <c r="N44">
        <v>51.6</v>
      </c>
      <c r="O44">
        <v>9.8210280000000007E-3</v>
      </c>
      <c r="P44" s="1" t="s">
        <v>23</v>
      </c>
    </row>
    <row r="45" spans="1:16" ht="29" x14ac:dyDescent="0.35">
      <c r="A45" t="s">
        <v>197</v>
      </c>
      <c r="B45" t="s">
        <v>43</v>
      </c>
      <c r="C45" t="s">
        <v>63</v>
      </c>
      <c r="D45" t="s">
        <v>167</v>
      </c>
      <c r="E45" t="s">
        <v>20</v>
      </c>
      <c r="F45" t="s">
        <v>21</v>
      </c>
      <c r="G45" t="s">
        <v>22</v>
      </c>
      <c r="H45" t="b">
        <v>1</v>
      </c>
      <c r="I45">
        <v>10</v>
      </c>
      <c r="J45">
        <v>26.5</v>
      </c>
      <c r="L45">
        <v>21.2</v>
      </c>
      <c r="M45">
        <v>1.522129714104E-3</v>
      </c>
      <c r="N45">
        <v>21.2</v>
      </c>
      <c r="O45">
        <v>1.522129714104E-3</v>
      </c>
      <c r="P45" s="1" t="s">
        <v>23</v>
      </c>
    </row>
    <row r="46" spans="1:16" ht="29" x14ac:dyDescent="0.35">
      <c r="A46" t="s">
        <v>198</v>
      </c>
      <c r="B46" t="s">
        <v>43</v>
      </c>
      <c r="C46" t="s">
        <v>63</v>
      </c>
      <c r="D46" t="s">
        <v>167</v>
      </c>
      <c r="E46" t="s">
        <v>20</v>
      </c>
      <c r="F46" t="s">
        <v>21</v>
      </c>
      <c r="G46" t="s">
        <v>25</v>
      </c>
      <c r="H46" t="b">
        <v>1</v>
      </c>
      <c r="I46">
        <v>10</v>
      </c>
      <c r="J46">
        <v>48.4</v>
      </c>
      <c r="K46">
        <v>206</v>
      </c>
      <c r="L46">
        <v>1093.8399999999999</v>
      </c>
      <c r="M46">
        <v>0.20819056720000001</v>
      </c>
      <c r="N46">
        <v>1093.8399999999999</v>
      </c>
      <c r="O46">
        <v>0.20819056720000001</v>
      </c>
      <c r="P46" s="1" t="s">
        <v>23</v>
      </c>
    </row>
    <row r="47" spans="1:16" ht="29" x14ac:dyDescent="0.35">
      <c r="A47" t="s">
        <v>201</v>
      </c>
      <c r="B47" t="s">
        <v>43</v>
      </c>
      <c r="C47" t="s">
        <v>69</v>
      </c>
      <c r="D47" t="s">
        <v>167</v>
      </c>
      <c r="E47" t="s">
        <v>20</v>
      </c>
      <c r="F47" t="s">
        <v>21</v>
      </c>
      <c r="G47" t="s">
        <v>22</v>
      </c>
      <c r="H47" t="b">
        <v>1</v>
      </c>
      <c r="I47">
        <v>10</v>
      </c>
      <c r="J47">
        <v>37.200000000000003</v>
      </c>
      <c r="L47">
        <v>18.600000000000001</v>
      </c>
      <c r="M47">
        <v>1.335453428412E-3</v>
      </c>
      <c r="N47">
        <v>18.600000000000001</v>
      </c>
      <c r="O47">
        <v>1.335453428412E-3</v>
      </c>
      <c r="P47" s="1" t="s">
        <v>23</v>
      </c>
    </row>
    <row r="48" spans="1:16" ht="29" x14ac:dyDescent="0.35">
      <c r="A48" t="s">
        <v>202</v>
      </c>
      <c r="B48" t="s">
        <v>43</v>
      </c>
      <c r="C48" t="s">
        <v>69</v>
      </c>
      <c r="D48" t="s">
        <v>167</v>
      </c>
      <c r="E48" t="s">
        <v>20</v>
      </c>
      <c r="F48" t="s">
        <v>21</v>
      </c>
      <c r="G48" t="s">
        <v>25</v>
      </c>
      <c r="H48" t="b">
        <v>1</v>
      </c>
      <c r="I48">
        <v>10</v>
      </c>
      <c r="J48">
        <v>44.9444444444444</v>
      </c>
      <c r="L48">
        <v>80.900000000000006</v>
      </c>
      <c r="M48">
        <v>1.5397697E-2</v>
      </c>
      <c r="N48">
        <v>80.900000000000006</v>
      </c>
      <c r="O48">
        <v>1.5397697E-2</v>
      </c>
      <c r="P48" s="1" t="s">
        <v>23</v>
      </c>
    </row>
    <row r="49" spans="1:16" ht="29" x14ac:dyDescent="0.35">
      <c r="A49" t="s">
        <v>207</v>
      </c>
      <c r="B49" t="s">
        <v>43</v>
      </c>
      <c r="C49" t="s">
        <v>73</v>
      </c>
      <c r="D49" t="s">
        <v>167</v>
      </c>
      <c r="E49" t="s">
        <v>20</v>
      </c>
      <c r="F49" t="s">
        <v>21</v>
      </c>
      <c r="G49" t="s">
        <v>25</v>
      </c>
      <c r="H49" t="b">
        <v>1</v>
      </c>
      <c r="I49">
        <v>10</v>
      </c>
      <c r="J49">
        <v>46.15</v>
      </c>
      <c r="K49">
        <v>58</v>
      </c>
      <c r="L49">
        <v>359.97</v>
      </c>
      <c r="M49">
        <v>6.8513090099999993E-2</v>
      </c>
      <c r="N49">
        <v>359.97</v>
      </c>
      <c r="O49">
        <v>6.8513090099999993E-2</v>
      </c>
      <c r="P49" s="1" t="s">
        <v>23</v>
      </c>
    </row>
    <row r="50" spans="1:16" ht="29" x14ac:dyDescent="0.35">
      <c r="A50" t="s">
        <v>209</v>
      </c>
      <c r="B50" t="s">
        <v>43</v>
      </c>
      <c r="C50" t="s">
        <v>73</v>
      </c>
      <c r="D50" t="s">
        <v>167</v>
      </c>
      <c r="E50" t="s">
        <v>20</v>
      </c>
      <c r="F50" t="s">
        <v>21</v>
      </c>
      <c r="G50" t="s">
        <v>22</v>
      </c>
      <c r="H50" t="b">
        <v>1</v>
      </c>
      <c r="I50">
        <v>10</v>
      </c>
      <c r="J50">
        <v>29.8571428571429</v>
      </c>
      <c r="L50">
        <v>20.9</v>
      </c>
      <c r="M50">
        <v>1.5005901426780001E-3</v>
      </c>
      <c r="N50">
        <v>20.9</v>
      </c>
      <c r="O50">
        <v>1.5005901426780001E-3</v>
      </c>
      <c r="P50" s="1" t="s">
        <v>23</v>
      </c>
    </row>
    <row r="51" spans="1:16" ht="29" x14ac:dyDescent="0.35">
      <c r="A51" t="s">
        <v>211</v>
      </c>
      <c r="B51" t="s">
        <v>82</v>
      </c>
      <c r="C51" t="s">
        <v>83</v>
      </c>
      <c r="D51" t="s">
        <v>167</v>
      </c>
      <c r="E51" t="s">
        <v>20</v>
      </c>
      <c r="F51" t="s">
        <v>21</v>
      </c>
      <c r="G51" t="s">
        <v>25</v>
      </c>
      <c r="H51" t="b">
        <v>1</v>
      </c>
      <c r="I51">
        <v>10</v>
      </c>
      <c r="J51">
        <v>69.099999999999994</v>
      </c>
      <c r="K51">
        <v>37</v>
      </c>
      <c r="L51">
        <v>393.87</v>
      </c>
      <c r="M51">
        <v>7.4965277100000005E-2</v>
      </c>
      <c r="N51">
        <v>393.87</v>
      </c>
      <c r="O51">
        <v>7.4965277100000005E-2</v>
      </c>
      <c r="P51" s="1" t="s">
        <v>23</v>
      </c>
    </row>
    <row r="52" spans="1:16" ht="29" x14ac:dyDescent="0.35">
      <c r="A52" t="s">
        <v>212</v>
      </c>
      <c r="B52" t="s">
        <v>82</v>
      </c>
      <c r="C52" t="s">
        <v>83</v>
      </c>
      <c r="D52" t="s">
        <v>167</v>
      </c>
      <c r="E52" t="s">
        <v>20</v>
      </c>
      <c r="F52" t="s">
        <v>21</v>
      </c>
      <c r="G52" t="s">
        <v>22</v>
      </c>
      <c r="H52" t="b">
        <v>1</v>
      </c>
      <c r="I52">
        <v>10</v>
      </c>
      <c r="J52">
        <v>18.8333333333333</v>
      </c>
      <c r="L52">
        <v>11.3</v>
      </c>
      <c r="M52">
        <v>8.11323857046E-4</v>
      </c>
      <c r="N52">
        <v>11.3</v>
      </c>
      <c r="O52">
        <v>8.11323857046E-4</v>
      </c>
      <c r="P52" s="1" t="s">
        <v>23</v>
      </c>
    </row>
    <row r="53" spans="1:16" ht="29" x14ac:dyDescent="0.35">
      <c r="A53" t="s">
        <v>214</v>
      </c>
      <c r="B53" t="s">
        <v>82</v>
      </c>
      <c r="C53" t="s">
        <v>86</v>
      </c>
      <c r="D53" t="s">
        <v>167</v>
      </c>
      <c r="E53" t="s">
        <v>20</v>
      </c>
      <c r="F53" t="s">
        <v>64</v>
      </c>
      <c r="G53" t="s">
        <v>25</v>
      </c>
      <c r="H53" t="b">
        <v>1</v>
      </c>
      <c r="I53">
        <v>10</v>
      </c>
      <c r="J53">
        <v>54.3</v>
      </c>
      <c r="K53">
        <v>27</v>
      </c>
      <c r="L53">
        <v>8017.6702708333296</v>
      </c>
      <c r="M53">
        <v>1.5260031826477101</v>
      </c>
      <c r="N53">
        <v>8017.6702708333296</v>
      </c>
      <c r="O53">
        <v>1.5260031826477101</v>
      </c>
      <c r="P53" s="1" t="s">
        <v>23</v>
      </c>
    </row>
    <row r="54" spans="1:16" ht="29" x14ac:dyDescent="0.35">
      <c r="A54" t="s">
        <v>216</v>
      </c>
      <c r="B54" t="s">
        <v>82</v>
      </c>
      <c r="C54" t="s">
        <v>90</v>
      </c>
      <c r="D54" t="s">
        <v>167</v>
      </c>
      <c r="E54" t="s">
        <v>20</v>
      </c>
      <c r="F54" t="s">
        <v>64</v>
      </c>
      <c r="G54" t="s">
        <v>25</v>
      </c>
      <c r="H54" t="b">
        <v>1</v>
      </c>
      <c r="I54">
        <v>10</v>
      </c>
      <c r="J54">
        <v>45.25</v>
      </c>
      <c r="K54">
        <v>48</v>
      </c>
      <c r="L54">
        <v>9666.69465277778</v>
      </c>
      <c r="M54">
        <v>1.8398619932631901</v>
      </c>
      <c r="N54">
        <v>9666.69465277778</v>
      </c>
      <c r="O54">
        <v>1.8398619932631901</v>
      </c>
      <c r="P54" s="1" t="s">
        <v>23</v>
      </c>
    </row>
    <row r="55" spans="1:16" ht="29" x14ac:dyDescent="0.35">
      <c r="A55" t="s">
        <v>217</v>
      </c>
      <c r="B55" t="s">
        <v>82</v>
      </c>
      <c r="C55" t="s">
        <v>90</v>
      </c>
      <c r="D55" t="s">
        <v>167</v>
      </c>
      <c r="E55" t="s">
        <v>20</v>
      </c>
      <c r="F55" t="s">
        <v>64</v>
      </c>
      <c r="G55" t="s">
        <v>22</v>
      </c>
      <c r="H55" t="b">
        <v>1</v>
      </c>
      <c r="I55">
        <v>10</v>
      </c>
      <c r="J55">
        <v>15</v>
      </c>
      <c r="L55">
        <v>94.247916666666697</v>
      </c>
      <c r="M55">
        <v>6.76686577597787E-3</v>
      </c>
      <c r="N55">
        <v>94.247916666666598</v>
      </c>
      <c r="O55">
        <v>6.76686577597787E-3</v>
      </c>
      <c r="P55" s="1" t="s">
        <v>23</v>
      </c>
    </row>
    <row r="56" spans="1:16" ht="29" x14ac:dyDescent="0.35">
      <c r="A56" t="s">
        <v>221</v>
      </c>
      <c r="B56" t="s">
        <v>82</v>
      </c>
      <c r="C56" t="s">
        <v>93</v>
      </c>
      <c r="D56" t="s">
        <v>167</v>
      </c>
      <c r="E56" t="s">
        <v>20</v>
      </c>
      <c r="F56" t="s">
        <v>21</v>
      </c>
      <c r="G56" t="s">
        <v>25</v>
      </c>
      <c r="H56" t="b">
        <v>1</v>
      </c>
      <c r="I56">
        <v>10</v>
      </c>
      <c r="J56">
        <v>50.8</v>
      </c>
      <c r="K56">
        <v>110</v>
      </c>
      <c r="L56">
        <v>660.4</v>
      </c>
      <c r="M56">
        <v>0.12569393200000001</v>
      </c>
      <c r="N56">
        <v>660.4</v>
      </c>
      <c r="O56">
        <v>0.12569393200000001</v>
      </c>
      <c r="P56" s="1" t="s">
        <v>23</v>
      </c>
    </row>
    <row r="57" spans="1:16" ht="29" x14ac:dyDescent="0.35">
      <c r="A57" t="s">
        <v>223</v>
      </c>
      <c r="B57" t="s">
        <v>82</v>
      </c>
      <c r="C57" t="s">
        <v>93</v>
      </c>
      <c r="D57" t="s">
        <v>167</v>
      </c>
      <c r="E57" t="s">
        <v>20</v>
      </c>
      <c r="F57" t="s">
        <v>21</v>
      </c>
      <c r="G57" t="s">
        <v>22</v>
      </c>
      <c r="H57" t="b">
        <v>1</v>
      </c>
      <c r="I57">
        <v>10</v>
      </c>
      <c r="J57">
        <v>29.5</v>
      </c>
      <c r="L57">
        <v>11.8</v>
      </c>
      <c r="M57">
        <v>8.4722314275599998E-4</v>
      </c>
      <c r="N57">
        <v>11.8</v>
      </c>
      <c r="O57">
        <v>8.4722314275599998E-4</v>
      </c>
      <c r="P57" s="1" t="s">
        <v>23</v>
      </c>
    </row>
    <row r="58" spans="1:16" ht="29" x14ac:dyDescent="0.35">
      <c r="A58" t="s">
        <v>235</v>
      </c>
      <c r="B58" t="s">
        <v>17</v>
      </c>
      <c r="C58" t="s">
        <v>18</v>
      </c>
      <c r="D58" t="s">
        <v>233</v>
      </c>
      <c r="E58" t="s">
        <v>20</v>
      </c>
      <c r="F58" t="s">
        <v>21</v>
      </c>
      <c r="G58" t="s">
        <v>22</v>
      </c>
      <c r="H58" t="b">
        <v>1</v>
      </c>
      <c r="I58">
        <v>10</v>
      </c>
      <c r="J58">
        <v>36</v>
      </c>
      <c r="L58">
        <v>39.6</v>
      </c>
      <c r="M58">
        <v>2.843223428232E-3</v>
      </c>
      <c r="N58">
        <v>39.6</v>
      </c>
      <c r="O58">
        <v>2.843223428232E-3</v>
      </c>
      <c r="P58" s="1" t="s">
        <v>23</v>
      </c>
    </row>
    <row r="59" spans="1:16" ht="29" x14ac:dyDescent="0.35">
      <c r="A59" t="s">
        <v>237</v>
      </c>
      <c r="B59" t="s">
        <v>17</v>
      </c>
      <c r="C59" t="s">
        <v>18</v>
      </c>
      <c r="D59" t="s">
        <v>233</v>
      </c>
      <c r="E59" t="s">
        <v>20</v>
      </c>
      <c r="F59" t="s">
        <v>21</v>
      </c>
      <c r="G59" t="s">
        <v>25</v>
      </c>
      <c r="H59" t="b">
        <v>1</v>
      </c>
      <c r="I59">
        <v>10</v>
      </c>
      <c r="J59">
        <v>58.3333333333333</v>
      </c>
      <c r="L59">
        <v>17.5</v>
      </c>
      <c r="M59">
        <v>3.3307749999999998E-3</v>
      </c>
      <c r="N59">
        <v>17.5</v>
      </c>
      <c r="O59">
        <v>3.3307749999999998E-3</v>
      </c>
      <c r="P59" s="1" t="s">
        <v>23</v>
      </c>
    </row>
    <row r="60" spans="1:16" ht="29" x14ac:dyDescent="0.35">
      <c r="A60" t="s">
        <v>241</v>
      </c>
      <c r="B60" t="s">
        <v>17</v>
      </c>
      <c r="C60" t="s">
        <v>33</v>
      </c>
      <c r="D60" t="s">
        <v>233</v>
      </c>
      <c r="E60" t="s">
        <v>20</v>
      </c>
      <c r="F60" t="s">
        <v>21</v>
      </c>
      <c r="G60" t="s">
        <v>22</v>
      </c>
      <c r="H60" t="b">
        <v>1</v>
      </c>
      <c r="I60">
        <v>10</v>
      </c>
      <c r="J60">
        <v>69.95</v>
      </c>
      <c r="K60">
        <v>80</v>
      </c>
      <c r="L60">
        <v>699.5</v>
      </c>
      <c r="M60">
        <v>5.0223100708290003E-2</v>
      </c>
      <c r="N60">
        <v>699.5</v>
      </c>
      <c r="O60">
        <v>5.0223100708290003E-2</v>
      </c>
      <c r="P60" s="1" t="s">
        <v>23</v>
      </c>
    </row>
    <row r="61" spans="1:16" ht="29" x14ac:dyDescent="0.35">
      <c r="A61" t="s">
        <v>245</v>
      </c>
      <c r="B61" t="s">
        <v>17</v>
      </c>
      <c r="C61" t="s">
        <v>33</v>
      </c>
      <c r="D61" t="s">
        <v>233</v>
      </c>
      <c r="E61" t="s">
        <v>20</v>
      </c>
      <c r="F61" t="s">
        <v>21</v>
      </c>
      <c r="G61" t="s">
        <v>25</v>
      </c>
      <c r="H61" t="b">
        <v>1</v>
      </c>
      <c r="I61">
        <v>10</v>
      </c>
      <c r="J61">
        <v>38.25</v>
      </c>
      <c r="L61">
        <v>30.6</v>
      </c>
      <c r="M61">
        <v>5.8240979999999998E-3</v>
      </c>
      <c r="N61">
        <v>30.6</v>
      </c>
      <c r="O61">
        <v>5.8240979999999998E-3</v>
      </c>
      <c r="P61" s="1" t="s">
        <v>23</v>
      </c>
    </row>
    <row r="62" spans="1:16" ht="29" x14ac:dyDescent="0.35">
      <c r="A62" t="s">
        <v>250</v>
      </c>
      <c r="B62" t="s">
        <v>43</v>
      </c>
      <c r="C62" t="s">
        <v>44</v>
      </c>
      <c r="D62" t="s">
        <v>233</v>
      </c>
      <c r="E62" t="s">
        <v>20</v>
      </c>
      <c r="F62" t="s">
        <v>21</v>
      </c>
      <c r="G62" t="s">
        <v>25</v>
      </c>
      <c r="H62" t="b">
        <v>1</v>
      </c>
      <c r="I62">
        <v>10</v>
      </c>
      <c r="J62">
        <v>43.153846153846203</v>
      </c>
      <c r="L62">
        <v>56.1</v>
      </c>
      <c r="M62">
        <v>1.0677513E-2</v>
      </c>
      <c r="N62">
        <v>56.1</v>
      </c>
      <c r="O62">
        <v>1.0677513E-2</v>
      </c>
      <c r="P62" s="1" t="s">
        <v>23</v>
      </c>
    </row>
    <row r="63" spans="1:16" ht="29" x14ac:dyDescent="0.35">
      <c r="A63" t="s">
        <v>256</v>
      </c>
      <c r="B63" t="s">
        <v>43</v>
      </c>
      <c r="C63" t="s">
        <v>51</v>
      </c>
      <c r="D63" t="s">
        <v>233</v>
      </c>
      <c r="E63" t="s">
        <v>20</v>
      </c>
      <c r="F63" t="s">
        <v>21</v>
      </c>
      <c r="G63" t="s">
        <v>25</v>
      </c>
      <c r="H63" t="b">
        <v>1</v>
      </c>
      <c r="I63">
        <v>10</v>
      </c>
      <c r="J63">
        <v>26.5</v>
      </c>
      <c r="L63">
        <v>10.6</v>
      </c>
      <c r="M63">
        <v>2.0174979999999999E-3</v>
      </c>
      <c r="N63">
        <v>10.6</v>
      </c>
      <c r="O63">
        <v>2.0174979999999999E-3</v>
      </c>
      <c r="P63" s="1" t="s">
        <v>23</v>
      </c>
    </row>
    <row r="64" spans="1:16" ht="29" x14ac:dyDescent="0.35">
      <c r="A64" t="s">
        <v>261</v>
      </c>
      <c r="B64" t="s">
        <v>43</v>
      </c>
      <c r="C64" t="s">
        <v>51</v>
      </c>
      <c r="D64" t="s">
        <v>233</v>
      </c>
      <c r="E64" t="s">
        <v>20</v>
      </c>
      <c r="F64" t="s">
        <v>21</v>
      </c>
      <c r="G64" t="s">
        <v>22</v>
      </c>
      <c r="H64" t="b">
        <v>1</v>
      </c>
      <c r="I64">
        <v>10</v>
      </c>
      <c r="J64">
        <v>15.5</v>
      </c>
      <c r="L64">
        <v>3.1</v>
      </c>
      <c r="M64">
        <v>2.2257557140199999E-4</v>
      </c>
      <c r="N64">
        <v>3.1</v>
      </c>
      <c r="O64">
        <v>2.2257557140199999E-4</v>
      </c>
      <c r="P64" s="1" t="s">
        <v>23</v>
      </c>
    </row>
    <row r="65" spans="1:16" ht="29" x14ac:dyDescent="0.35">
      <c r="A65" t="s">
        <v>263</v>
      </c>
      <c r="B65" t="s">
        <v>43</v>
      </c>
      <c r="C65" t="s">
        <v>63</v>
      </c>
      <c r="D65" t="s">
        <v>233</v>
      </c>
      <c r="E65" t="s">
        <v>20</v>
      </c>
      <c r="F65" t="s">
        <v>64</v>
      </c>
      <c r="G65" t="s">
        <v>25</v>
      </c>
      <c r="H65" t="b">
        <v>1</v>
      </c>
      <c r="I65">
        <v>10</v>
      </c>
      <c r="J65">
        <v>40.5555555555556</v>
      </c>
      <c r="L65">
        <v>1146.68298611111</v>
      </c>
      <c r="M65">
        <v>0.218248172746528</v>
      </c>
      <c r="N65">
        <v>1146.68298611111</v>
      </c>
      <c r="O65">
        <v>0.218248172746528</v>
      </c>
      <c r="P65" s="1" t="s">
        <v>23</v>
      </c>
    </row>
    <row r="66" spans="1:16" ht="29" x14ac:dyDescent="0.35">
      <c r="A66" t="s">
        <v>265</v>
      </c>
      <c r="B66" t="s">
        <v>43</v>
      </c>
      <c r="C66" t="s">
        <v>63</v>
      </c>
      <c r="D66" t="s">
        <v>233</v>
      </c>
      <c r="E66" t="s">
        <v>20</v>
      </c>
      <c r="F66" t="s">
        <v>64</v>
      </c>
      <c r="G66" t="s">
        <v>22</v>
      </c>
      <c r="H66" t="b">
        <v>1</v>
      </c>
      <c r="I66">
        <v>10</v>
      </c>
      <c r="J66">
        <v>27</v>
      </c>
      <c r="L66">
        <v>169.64625000000001</v>
      </c>
      <c r="M66">
        <v>1.21803583967602E-2</v>
      </c>
      <c r="N66">
        <v>169.64625000000001</v>
      </c>
      <c r="O66">
        <v>1.21803583967602E-2</v>
      </c>
      <c r="P66" s="1" t="s">
        <v>23</v>
      </c>
    </row>
    <row r="67" spans="1:16" ht="29" x14ac:dyDescent="0.35">
      <c r="A67" t="s">
        <v>268</v>
      </c>
      <c r="B67" t="s">
        <v>43</v>
      </c>
      <c r="C67" t="s">
        <v>69</v>
      </c>
      <c r="D67" t="s">
        <v>233</v>
      </c>
      <c r="E67" t="s">
        <v>20</v>
      </c>
      <c r="F67" t="s">
        <v>21</v>
      </c>
      <c r="G67" t="s">
        <v>25</v>
      </c>
      <c r="H67" t="b">
        <v>1</v>
      </c>
      <c r="I67">
        <v>10</v>
      </c>
      <c r="J67">
        <v>33.700000000000003</v>
      </c>
      <c r="K67">
        <v>17</v>
      </c>
      <c r="L67">
        <v>124.69</v>
      </c>
      <c r="M67">
        <v>2.37322477E-2</v>
      </c>
      <c r="N67">
        <v>124.69</v>
      </c>
      <c r="O67">
        <v>2.37322477E-2</v>
      </c>
      <c r="P67" s="1" t="s">
        <v>23</v>
      </c>
    </row>
    <row r="68" spans="1:16" ht="29" x14ac:dyDescent="0.35">
      <c r="A68" t="s">
        <v>272</v>
      </c>
      <c r="B68" t="s">
        <v>43</v>
      </c>
      <c r="C68" t="s">
        <v>73</v>
      </c>
      <c r="D68" t="s">
        <v>233</v>
      </c>
      <c r="E68" t="s">
        <v>20</v>
      </c>
      <c r="F68" t="s">
        <v>21</v>
      </c>
      <c r="G68" t="s">
        <v>25</v>
      </c>
      <c r="H68" t="b">
        <v>1</v>
      </c>
      <c r="I68">
        <v>10</v>
      </c>
      <c r="J68">
        <v>36.049999999999997</v>
      </c>
      <c r="K68">
        <v>53</v>
      </c>
      <c r="L68">
        <v>263.16500000000002</v>
      </c>
      <c r="M68">
        <v>5.0088194449999998E-2</v>
      </c>
      <c r="N68">
        <v>263.16500000000002</v>
      </c>
      <c r="O68">
        <v>5.0088194449999998E-2</v>
      </c>
      <c r="P68" s="1" t="s">
        <v>23</v>
      </c>
    </row>
    <row r="69" spans="1:16" ht="29" x14ac:dyDescent="0.35">
      <c r="A69" t="s">
        <v>280</v>
      </c>
      <c r="B69" t="s">
        <v>82</v>
      </c>
      <c r="C69" t="s">
        <v>83</v>
      </c>
      <c r="D69" t="s">
        <v>233</v>
      </c>
      <c r="E69" t="s">
        <v>20</v>
      </c>
      <c r="F69" t="s">
        <v>64</v>
      </c>
      <c r="G69" t="s">
        <v>25</v>
      </c>
      <c r="H69" t="b">
        <v>1</v>
      </c>
      <c r="I69">
        <v>10</v>
      </c>
      <c r="J69">
        <v>45.153846153846203</v>
      </c>
      <c r="L69">
        <v>1844.1175694444401</v>
      </c>
      <c r="M69">
        <v>0.35099089699236002</v>
      </c>
      <c r="N69">
        <v>1844.1175694444401</v>
      </c>
      <c r="O69">
        <v>0.35099089699236002</v>
      </c>
      <c r="P69" s="1" t="s">
        <v>23</v>
      </c>
    </row>
    <row r="70" spans="1:16" ht="29" x14ac:dyDescent="0.35">
      <c r="A70" t="s">
        <v>281</v>
      </c>
      <c r="B70" t="s">
        <v>82</v>
      </c>
      <c r="C70" t="s">
        <v>83</v>
      </c>
      <c r="D70" t="s">
        <v>233</v>
      </c>
      <c r="E70" t="s">
        <v>20</v>
      </c>
      <c r="F70" t="s">
        <v>64</v>
      </c>
      <c r="G70" t="s">
        <v>22</v>
      </c>
      <c r="H70" t="b">
        <v>1</v>
      </c>
      <c r="I70">
        <v>10</v>
      </c>
      <c r="J70">
        <v>700</v>
      </c>
      <c r="L70">
        <v>2199.1180555555602</v>
      </c>
      <c r="M70">
        <v>0.15789353477281701</v>
      </c>
      <c r="N70">
        <v>2199.1180555555602</v>
      </c>
      <c r="O70">
        <v>0.15789353477281701</v>
      </c>
      <c r="P70" s="1" t="s">
        <v>23</v>
      </c>
    </row>
    <row r="71" spans="1:16" ht="29" x14ac:dyDescent="0.35">
      <c r="A71" t="s">
        <v>284</v>
      </c>
      <c r="B71" t="s">
        <v>82</v>
      </c>
      <c r="C71" t="s">
        <v>86</v>
      </c>
      <c r="D71" t="s">
        <v>233</v>
      </c>
      <c r="E71" t="s">
        <v>20</v>
      </c>
      <c r="F71" t="s">
        <v>64</v>
      </c>
      <c r="G71" t="s">
        <v>25</v>
      </c>
      <c r="H71" t="b">
        <v>1</v>
      </c>
      <c r="I71">
        <v>10</v>
      </c>
      <c r="J71">
        <v>38.8125</v>
      </c>
      <c r="L71">
        <v>1950.931875</v>
      </c>
      <c r="M71">
        <v>0.37132086376875001</v>
      </c>
      <c r="N71">
        <v>1950.931875</v>
      </c>
      <c r="O71">
        <v>0.37132086376875001</v>
      </c>
      <c r="P71" s="1" t="s">
        <v>23</v>
      </c>
    </row>
    <row r="72" spans="1:16" ht="29" x14ac:dyDescent="0.35">
      <c r="A72" t="s">
        <v>289</v>
      </c>
      <c r="B72" t="s">
        <v>82</v>
      </c>
      <c r="C72" t="s">
        <v>90</v>
      </c>
      <c r="D72" t="s">
        <v>233</v>
      </c>
      <c r="E72" t="s">
        <v>20</v>
      </c>
      <c r="F72" t="s">
        <v>64</v>
      </c>
      <c r="G72" t="s">
        <v>25</v>
      </c>
      <c r="H72" t="b">
        <v>1</v>
      </c>
      <c r="I72">
        <v>10</v>
      </c>
      <c r="J72">
        <v>37.764705882352899</v>
      </c>
      <c r="L72">
        <v>2016.9054166666699</v>
      </c>
      <c r="M72">
        <v>0.38387760795416698</v>
      </c>
      <c r="N72">
        <v>2016.9054166666699</v>
      </c>
      <c r="O72">
        <v>0.38387760795416698</v>
      </c>
      <c r="P72" s="1" t="s">
        <v>23</v>
      </c>
    </row>
    <row r="73" spans="1:16" ht="29" x14ac:dyDescent="0.35">
      <c r="A73" t="s">
        <v>290</v>
      </c>
      <c r="B73" t="s">
        <v>82</v>
      </c>
      <c r="C73" t="s">
        <v>90</v>
      </c>
      <c r="D73" t="s">
        <v>233</v>
      </c>
      <c r="E73" t="s">
        <v>20</v>
      </c>
      <c r="F73" t="s">
        <v>64</v>
      </c>
      <c r="G73" t="s">
        <v>22</v>
      </c>
      <c r="H73" t="b">
        <v>1</v>
      </c>
      <c r="I73">
        <v>10</v>
      </c>
      <c r="J73">
        <v>78</v>
      </c>
      <c r="L73">
        <v>245.04458333333301</v>
      </c>
      <c r="M73">
        <v>1.7593851017542499E-2</v>
      </c>
      <c r="N73">
        <v>245.04458333333301</v>
      </c>
      <c r="O73">
        <v>1.7593851017542499E-2</v>
      </c>
      <c r="P73" s="1" t="s">
        <v>23</v>
      </c>
    </row>
    <row r="74" spans="1:16" ht="29" x14ac:dyDescent="0.35">
      <c r="A74" t="s">
        <v>293</v>
      </c>
      <c r="B74" t="s">
        <v>82</v>
      </c>
      <c r="C74" t="s">
        <v>93</v>
      </c>
      <c r="D74" t="s">
        <v>233</v>
      </c>
      <c r="E74" t="s">
        <v>20</v>
      </c>
      <c r="F74" t="s">
        <v>64</v>
      </c>
      <c r="G74" t="s">
        <v>25</v>
      </c>
      <c r="H74" t="b">
        <v>1</v>
      </c>
      <c r="I74">
        <v>10</v>
      </c>
      <c r="J74">
        <v>51.3888888888889</v>
      </c>
      <c r="L74">
        <v>2905.9774305555602</v>
      </c>
      <c r="M74">
        <v>0.55309468435763998</v>
      </c>
      <c r="N74">
        <v>2905.9774305555602</v>
      </c>
      <c r="O74">
        <v>0.55309468435763998</v>
      </c>
      <c r="P74" s="1" t="s">
        <v>23</v>
      </c>
    </row>
    <row r="75" spans="1:16" ht="29" x14ac:dyDescent="0.35">
      <c r="A75" t="s">
        <v>294</v>
      </c>
      <c r="B75" t="s">
        <v>82</v>
      </c>
      <c r="C75" t="s">
        <v>93</v>
      </c>
      <c r="D75" t="s">
        <v>233</v>
      </c>
      <c r="E75" t="s">
        <v>20</v>
      </c>
      <c r="F75" t="s">
        <v>64</v>
      </c>
      <c r="G75" t="s">
        <v>22</v>
      </c>
      <c r="H75" t="b">
        <v>1</v>
      </c>
      <c r="I75">
        <v>10</v>
      </c>
      <c r="J75">
        <v>26.5</v>
      </c>
      <c r="L75">
        <v>333.00930555555499</v>
      </c>
      <c r="M75">
        <v>2.3909592408455201E-2</v>
      </c>
      <c r="N75">
        <v>333.00930555555601</v>
      </c>
      <c r="O75">
        <v>2.3909592408455201E-2</v>
      </c>
      <c r="P75" s="1" t="s">
        <v>23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/>
  </sheetViews>
  <sheetFormatPr defaultRowHeight="14.5" x14ac:dyDescent="0.35"/>
  <cols>
    <col min="1" max="1" width="24" customWidth="1"/>
    <col min="2" max="2" width="32.08984375" customWidth="1"/>
  </cols>
  <sheetData>
    <row r="1" spans="1:10" x14ac:dyDescent="0.35">
      <c r="A1" s="2" t="s">
        <v>302</v>
      </c>
      <c r="B1" s="2" t="s">
        <v>303</v>
      </c>
    </row>
    <row r="2" spans="1:10" x14ac:dyDescent="0.35">
      <c r="A2" s="3" t="s">
        <v>304</v>
      </c>
      <c r="B2" s="3" t="s">
        <v>304</v>
      </c>
    </row>
    <row r="3" spans="1:10" x14ac:dyDescent="0.35">
      <c r="A3" s="4" t="s">
        <v>305</v>
      </c>
      <c r="B3" s="4" t="s">
        <v>306</v>
      </c>
    </row>
    <row r="4" spans="1:10" x14ac:dyDescent="0.35">
      <c r="A4" s="5" t="s">
        <v>307</v>
      </c>
      <c r="B4" s="5" t="s">
        <v>308</v>
      </c>
    </row>
    <row r="8" spans="1:10" x14ac:dyDescent="0.35">
      <c r="C8" s="6" t="s">
        <v>322</v>
      </c>
      <c r="D8" s="6" t="s">
        <v>323</v>
      </c>
    </row>
    <row r="9" spans="1:10" x14ac:dyDescent="0.35">
      <c r="C9" t="s">
        <v>19</v>
      </c>
      <c r="E9" t="s">
        <v>106</v>
      </c>
      <c r="G9" t="s">
        <v>167</v>
      </c>
      <c r="I9" t="s">
        <v>233</v>
      </c>
    </row>
    <row r="10" spans="1:10" x14ac:dyDescent="0.35">
      <c r="A10" s="6" t="s">
        <v>1</v>
      </c>
      <c r="B10" s="6" t="s">
        <v>2</v>
      </c>
      <c r="C10" t="s">
        <v>12</v>
      </c>
      <c r="D10" t="s">
        <v>14</v>
      </c>
      <c r="E10" t="s">
        <v>12</v>
      </c>
      <c r="F10" t="s">
        <v>14</v>
      </c>
      <c r="G10" t="s">
        <v>12</v>
      </c>
      <c r="H10" t="s">
        <v>14</v>
      </c>
      <c r="I10" t="s">
        <v>12</v>
      </c>
      <c r="J10" t="s">
        <v>14</v>
      </c>
    </row>
    <row r="11" spans="1:10" x14ac:dyDescent="0.35">
      <c r="A11" t="s">
        <v>17</v>
      </c>
      <c r="B11" t="s">
        <v>18</v>
      </c>
      <c r="C11">
        <v>2.1692224140649998E-2</v>
      </c>
      <c r="D11">
        <v>2.1610549140649998E-2</v>
      </c>
      <c r="E11">
        <v>0.2221496763478481</v>
      </c>
      <c r="F11">
        <v>0.2221496763478481</v>
      </c>
      <c r="G11">
        <v>3.6848905999460002E-2</v>
      </c>
      <c r="H11">
        <v>3.6820555999459999E-2</v>
      </c>
      <c r="I11">
        <v>0.10166605042823201</v>
      </c>
      <c r="J11">
        <v>0.10166605042823201</v>
      </c>
    </row>
    <row r="12" spans="1:10" x14ac:dyDescent="0.35">
      <c r="B12" t="s">
        <v>33</v>
      </c>
      <c r="C12">
        <v>6.8979130069743003E-2</v>
      </c>
      <c r="D12">
        <v>6.8963830069743007E-2</v>
      </c>
      <c r="E12">
        <v>0.11137948528517001</v>
      </c>
      <c r="F12">
        <v>0.11137948528517001</v>
      </c>
      <c r="G12">
        <v>0.10584384128413803</v>
      </c>
      <c r="H12">
        <v>0.10580106128413802</v>
      </c>
      <c r="I12">
        <v>6.2615722708290009E-2</v>
      </c>
      <c r="J12">
        <v>6.1620662708290017E-2</v>
      </c>
    </row>
    <row r="13" spans="1:10" x14ac:dyDescent="0.35">
      <c r="A13" t="s">
        <v>43</v>
      </c>
      <c r="B13" t="s">
        <v>44</v>
      </c>
      <c r="C13">
        <v>1.6025324000000001E-2</v>
      </c>
      <c r="D13">
        <v>1.5215323999999999E-2</v>
      </c>
      <c r="E13">
        <v>2.1041097000000002E-2</v>
      </c>
      <c r="F13">
        <v>1.8251097000000001E-2</v>
      </c>
      <c r="G13">
        <v>1.7233502000000001E-2</v>
      </c>
      <c r="H13">
        <v>1.2771141999999999E-2</v>
      </c>
      <c r="I13">
        <v>0.121004213</v>
      </c>
      <c r="J13">
        <v>0.118484213</v>
      </c>
    </row>
    <row r="14" spans="1:10" x14ac:dyDescent="0.35">
      <c r="B14" t="s">
        <v>51</v>
      </c>
      <c r="C14">
        <v>1.5513124638785141</v>
      </c>
      <c r="D14">
        <v>1.5512313638785142</v>
      </c>
      <c r="E14">
        <v>1.300645835285452</v>
      </c>
      <c r="F14">
        <v>1.2989867952854521</v>
      </c>
      <c r="G14">
        <v>6.5712794000000005E-2</v>
      </c>
      <c r="H14">
        <v>6.5640513999999997E-2</v>
      </c>
      <c r="I14">
        <v>5.7544603571401995E-2</v>
      </c>
      <c r="J14">
        <v>5.7539083571401993E-2</v>
      </c>
    </row>
    <row r="15" spans="1:10" x14ac:dyDescent="0.35">
      <c r="B15" t="s">
        <v>63</v>
      </c>
      <c r="C15">
        <v>0.70507836538416979</v>
      </c>
      <c r="D15">
        <v>0.70507836538416979</v>
      </c>
      <c r="E15">
        <v>0.22066137657123999</v>
      </c>
      <c r="F15">
        <v>0.22066137657123999</v>
      </c>
      <c r="G15">
        <v>0.20984004691410402</v>
      </c>
      <c r="H15">
        <v>0.20982969691410402</v>
      </c>
      <c r="I15">
        <v>0.43544602426828821</v>
      </c>
      <c r="J15">
        <v>0.43544602426828821</v>
      </c>
    </row>
    <row r="16" spans="1:10" x14ac:dyDescent="0.35">
      <c r="B16" t="s">
        <v>69</v>
      </c>
      <c r="C16">
        <v>0.15888480399999999</v>
      </c>
      <c r="D16">
        <v>0.15888480399999999</v>
      </c>
      <c r="E16">
        <v>8.6400261499999992E-2</v>
      </c>
      <c r="F16">
        <v>8.3520261499999998E-2</v>
      </c>
      <c r="G16">
        <v>2.6157582428412002E-2</v>
      </c>
      <c r="H16">
        <v>2.4951582428411997E-2</v>
      </c>
      <c r="I16">
        <v>2.8734347700000003E-2</v>
      </c>
      <c r="J16">
        <v>2.5584347700000003E-2</v>
      </c>
    </row>
    <row r="17" spans="1:10" x14ac:dyDescent="0.35">
      <c r="B17" t="s">
        <v>73</v>
      </c>
      <c r="C17">
        <v>6.7514601500000007E-2</v>
      </c>
      <c r="D17">
        <v>6.7514601500000007E-2</v>
      </c>
      <c r="E17">
        <v>6.3831941549999993E-2</v>
      </c>
      <c r="F17">
        <v>6.3791891549999993E-2</v>
      </c>
      <c r="G17">
        <v>8.6927416242677996E-2</v>
      </c>
      <c r="H17">
        <v>8.6927416242677996E-2</v>
      </c>
      <c r="I17">
        <v>8.0032594449999994E-2</v>
      </c>
      <c r="J17">
        <v>7.9978594449999996E-2</v>
      </c>
    </row>
    <row r="18" spans="1:10" x14ac:dyDescent="0.35">
      <c r="A18" t="s">
        <v>82</v>
      </c>
      <c r="B18" t="s">
        <v>83</v>
      </c>
      <c r="C18">
        <v>0.34588382230000003</v>
      </c>
      <c r="D18">
        <v>0.34588382230000003</v>
      </c>
      <c r="E18">
        <v>1.4168582347196317</v>
      </c>
      <c r="F18">
        <v>1.4168582347196317</v>
      </c>
      <c r="G18">
        <v>7.591700095704601E-2</v>
      </c>
      <c r="H18">
        <v>7.591700095704601E-2</v>
      </c>
      <c r="I18">
        <v>0.55085617065406611</v>
      </c>
      <c r="J18">
        <v>0.55085617065406611</v>
      </c>
    </row>
    <row r="19" spans="1:10" x14ac:dyDescent="0.35">
      <c r="B19" t="s">
        <v>86</v>
      </c>
      <c r="C19">
        <v>3.348124987943796</v>
      </c>
      <c r="D19">
        <v>3.348124987943796</v>
      </c>
      <c r="E19">
        <v>1.6176630492778499</v>
      </c>
      <c r="F19">
        <v>1.6168336676111832</v>
      </c>
      <c r="G19">
        <v>1.5333545201477101</v>
      </c>
      <c r="H19">
        <v>1.5333545201477101</v>
      </c>
      <c r="I19">
        <v>0.42834110467986131</v>
      </c>
      <c r="J19">
        <v>0.42654411106875018</v>
      </c>
    </row>
    <row r="20" spans="1:10" x14ac:dyDescent="0.35">
      <c r="B20" t="s">
        <v>90</v>
      </c>
      <c r="C20">
        <v>0.47413208331180534</v>
      </c>
      <c r="D20">
        <v>0.47413208331180534</v>
      </c>
      <c r="E20">
        <v>0.40849585493888835</v>
      </c>
      <c r="F20">
        <v>0.40849585493888835</v>
      </c>
      <c r="G20">
        <v>2.3339942609141682</v>
      </c>
      <c r="H20">
        <v>2.3339942609141682</v>
      </c>
      <c r="I20">
        <v>0.43494203577726509</v>
      </c>
      <c r="J20">
        <v>0.43494203577726509</v>
      </c>
    </row>
    <row r="21" spans="1:10" x14ac:dyDescent="0.35">
      <c r="B21" t="s">
        <v>93</v>
      </c>
      <c r="C21">
        <v>2.4227591856465533</v>
      </c>
      <c r="D21">
        <v>2.4227591856465533</v>
      </c>
      <c r="E21">
        <v>2.6447572164115547</v>
      </c>
      <c r="F21">
        <v>2.6447572164115547</v>
      </c>
      <c r="G21">
        <v>0.12715345514275603</v>
      </c>
      <c r="H21">
        <v>0.12715345514275603</v>
      </c>
      <c r="I21">
        <v>0.59891377579387295</v>
      </c>
      <c r="J21">
        <v>0.59891377579387295</v>
      </c>
    </row>
    <row r="22" spans="1:10" x14ac:dyDescent="0.35">
      <c r="A22" t="s">
        <v>96</v>
      </c>
      <c r="B22" t="s">
        <v>97</v>
      </c>
      <c r="C22">
        <v>7.5341796799975991E-2</v>
      </c>
      <c r="D22">
        <v>7.5341796799975991E-2</v>
      </c>
      <c r="E22">
        <v>2.9124672571204002E-2</v>
      </c>
      <c r="F22">
        <v>2.9124672571204002E-2</v>
      </c>
      <c r="G22">
        <v>4.6581992000000003E-2</v>
      </c>
      <c r="H22">
        <v>4.6581992000000003E-2</v>
      </c>
      <c r="I22">
        <v>1.5741339999999999E-2</v>
      </c>
      <c r="J22">
        <v>1.5741339999999999E-2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0"/>
  <sheetViews>
    <sheetView tabSelected="1" zoomScaleNormal="100" workbookViewId="0">
      <selection activeCell="A33" sqref="A30:A33"/>
    </sheetView>
  </sheetViews>
  <sheetFormatPr defaultRowHeight="14.5" x14ac:dyDescent="0.35"/>
  <cols>
    <col min="1" max="1" width="23.7265625" bestFit="1" customWidth="1"/>
    <col min="2" max="2" width="32.90625" bestFit="1" customWidth="1"/>
    <col min="3" max="3" width="30.453125" bestFit="1" customWidth="1"/>
    <col min="4" max="4" width="28.7265625" bestFit="1" customWidth="1"/>
    <col min="5" max="6" width="15.26953125" bestFit="1" customWidth="1"/>
    <col min="12" max="12" width="10.26953125" bestFit="1" customWidth="1"/>
    <col min="13" max="13" width="12.6328125" bestFit="1" customWidth="1"/>
    <col min="14" max="14" width="15.26953125" bestFit="1" customWidth="1"/>
    <col min="18" max="18" width="22.1796875" customWidth="1"/>
    <col min="19" max="19" width="25.6328125" customWidth="1"/>
    <col min="20" max="23" width="10.453125" bestFit="1" customWidth="1"/>
  </cols>
  <sheetData>
    <row r="1" spans="1:23" x14ac:dyDescent="0.35">
      <c r="A1" s="2" t="s">
        <v>309</v>
      </c>
      <c r="B1" s="2" t="s">
        <v>310</v>
      </c>
      <c r="C1" s="2" t="s">
        <v>311</v>
      </c>
      <c r="D1" s="2" t="s">
        <v>312</v>
      </c>
    </row>
    <row r="2" spans="1:23" x14ac:dyDescent="0.35">
      <c r="A2" s="3" t="s">
        <v>313</v>
      </c>
      <c r="B2" s="3" t="s">
        <v>313</v>
      </c>
      <c r="C2" s="3" t="s">
        <v>313</v>
      </c>
      <c r="D2" s="3" t="s">
        <v>313</v>
      </c>
    </row>
    <row r="3" spans="1:23" x14ac:dyDescent="0.35">
      <c r="A3" s="4" t="s">
        <v>314</v>
      </c>
      <c r="B3" s="4" t="s">
        <v>315</v>
      </c>
      <c r="C3" s="4" t="s">
        <v>316</v>
      </c>
      <c r="D3" s="4" t="s">
        <v>317</v>
      </c>
    </row>
    <row r="4" spans="1:23" x14ac:dyDescent="0.35">
      <c r="A4" s="5" t="s">
        <v>318</v>
      </c>
      <c r="B4" s="5" t="s">
        <v>319</v>
      </c>
      <c r="C4" s="5" t="s">
        <v>320</v>
      </c>
      <c r="D4" s="5" t="s">
        <v>321</v>
      </c>
    </row>
    <row r="7" spans="1:23" x14ac:dyDescent="0.35">
      <c r="L7" s="12" t="s">
        <v>11</v>
      </c>
      <c r="M7" s="7"/>
      <c r="N7" s="12" t="s">
        <v>322</v>
      </c>
      <c r="R7" s="6" t="s">
        <v>12</v>
      </c>
      <c r="T7" s="6" t="s">
        <v>322</v>
      </c>
    </row>
    <row r="8" spans="1:23" x14ac:dyDescent="0.35">
      <c r="A8" s="6" t="s">
        <v>11</v>
      </c>
      <c r="C8" s="6" t="s">
        <v>322</v>
      </c>
      <c r="D8" s="6" t="s">
        <v>15</v>
      </c>
      <c r="L8" s="7"/>
      <c r="M8" s="7"/>
      <c r="N8" s="7" t="s">
        <v>19</v>
      </c>
      <c r="R8" s="6" t="s">
        <v>1</v>
      </c>
      <c r="S8" s="6" t="s">
        <v>2</v>
      </c>
      <c r="T8" t="s">
        <v>19</v>
      </c>
      <c r="U8" t="s">
        <v>106</v>
      </c>
      <c r="V8" t="s">
        <v>167</v>
      </c>
      <c r="W8" t="s">
        <v>233</v>
      </c>
    </row>
    <row r="9" spans="1:23" x14ac:dyDescent="0.35">
      <c r="C9" t="s">
        <v>19</v>
      </c>
      <c r="D9" t="s">
        <v>106</v>
      </c>
      <c r="E9" t="s">
        <v>167</v>
      </c>
      <c r="F9" t="s">
        <v>233</v>
      </c>
      <c r="L9" s="13" t="s">
        <v>1</v>
      </c>
      <c r="M9" s="13" t="s">
        <v>2</v>
      </c>
      <c r="N9" s="8" t="s">
        <v>23</v>
      </c>
      <c r="R9" t="s">
        <v>17</v>
      </c>
      <c r="S9" t="s">
        <v>18</v>
      </c>
      <c r="T9" s="17">
        <v>2.1692224140649998E-2</v>
      </c>
      <c r="U9" s="18">
        <v>0.2221496763478481</v>
      </c>
      <c r="V9" s="18">
        <v>3.6848905999460002E-2</v>
      </c>
      <c r="W9" s="18">
        <v>0.10166605042823201</v>
      </c>
    </row>
    <row r="10" spans="1:23" x14ac:dyDescent="0.35">
      <c r="A10" s="6" t="s">
        <v>1</v>
      </c>
      <c r="B10" s="6" t="s">
        <v>2</v>
      </c>
      <c r="C10" t="s">
        <v>23</v>
      </c>
      <c r="D10" t="s">
        <v>23</v>
      </c>
      <c r="E10" t="s">
        <v>23</v>
      </c>
      <c r="F10" t="s">
        <v>23</v>
      </c>
      <c r="L10" s="9" t="s">
        <v>17</v>
      </c>
      <c r="M10" t="s">
        <v>18</v>
      </c>
      <c r="N10" s="14">
        <v>272.39999999999998</v>
      </c>
      <c r="S10" t="s">
        <v>33</v>
      </c>
      <c r="T10" s="17">
        <v>6.8979130069743003E-2</v>
      </c>
      <c r="U10" s="18">
        <v>0.11137948528517001</v>
      </c>
      <c r="V10" s="18">
        <v>0.10584384128413803</v>
      </c>
      <c r="W10" s="18">
        <v>6.2615722708290009E-2</v>
      </c>
    </row>
    <row r="11" spans="1:23" x14ac:dyDescent="0.35">
      <c r="A11" t="s">
        <v>17</v>
      </c>
      <c r="B11" t="s">
        <v>18</v>
      </c>
      <c r="C11">
        <v>272.39999999999998</v>
      </c>
      <c r="D11">
        <v>255.255</v>
      </c>
      <c r="E11">
        <v>89.2</v>
      </c>
      <c r="F11">
        <v>57.1</v>
      </c>
      <c r="L11" s="10"/>
      <c r="M11" t="s">
        <v>33</v>
      </c>
      <c r="N11" s="14">
        <v>204.35</v>
      </c>
      <c r="R11" t="s">
        <v>43</v>
      </c>
      <c r="S11" t="s">
        <v>44</v>
      </c>
      <c r="T11" s="17">
        <v>1.6025324000000001E-2</v>
      </c>
      <c r="U11" s="18">
        <v>2.1041097000000002E-2</v>
      </c>
      <c r="V11" s="18">
        <v>1.7233502000000001E-2</v>
      </c>
      <c r="W11" s="18">
        <v>0.121004213</v>
      </c>
    </row>
    <row r="12" spans="1:23" x14ac:dyDescent="0.35">
      <c r="B12" t="s">
        <v>33</v>
      </c>
      <c r="C12">
        <v>204.35</v>
      </c>
      <c r="D12">
        <v>67.3</v>
      </c>
      <c r="E12">
        <v>198.70000000000002</v>
      </c>
      <c r="F12">
        <v>730.1</v>
      </c>
      <c r="L12" s="9" t="s">
        <v>43</v>
      </c>
      <c r="M12" t="s">
        <v>44</v>
      </c>
      <c r="N12" s="14">
        <v>72.8</v>
      </c>
      <c r="S12" t="s">
        <v>51</v>
      </c>
      <c r="T12" s="19">
        <v>1.5513124638785141</v>
      </c>
      <c r="U12" s="19">
        <v>1.300645835285452</v>
      </c>
      <c r="V12" s="18">
        <v>6.5712794000000005E-2</v>
      </c>
      <c r="W12" s="18">
        <v>5.7544603571401995E-2</v>
      </c>
    </row>
    <row r="13" spans="1:23" x14ac:dyDescent="0.35">
      <c r="A13" t="s">
        <v>43</v>
      </c>
      <c r="B13" t="s">
        <v>44</v>
      </c>
      <c r="C13">
        <v>72.8</v>
      </c>
      <c r="D13">
        <v>60.9</v>
      </c>
      <c r="E13">
        <v>57.4</v>
      </c>
      <c r="F13">
        <v>56.1</v>
      </c>
      <c r="L13" s="11"/>
      <c r="M13" t="s">
        <v>51</v>
      </c>
      <c r="N13" s="14">
        <v>86.165000000000006</v>
      </c>
      <c r="S13" t="s">
        <v>63</v>
      </c>
      <c r="T13" s="19">
        <v>0.70507836538416979</v>
      </c>
      <c r="U13" s="18">
        <v>0.22066137657123999</v>
      </c>
      <c r="V13" s="18">
        <v>0.20984004691410402</v>
      </c>
      <c r="W13" s="18">
        <v>0.43544602426828821</v>
      </c>
    </row>
    <row r="14" spans="1:23" x14ac:dyDescent="0.35">
      <c r="B14" t="s">
        <v>51</v>
      </c>
      <c r="C14">
        <v>86.165000000000006</v>
      </c>
      <c r="D14">
        <v>143.4</v>
      </c>
      <c r="E14">
        <v>51.6</v>
      </c>
      <c r="F14">
        <v>13.7</v>
      </c>
      <c r="L14" s="11"/>
      <c r="M14" t="s">
        <v>63</v>
      </c>
      <c r="N14" s="15">
        <v>3828.0362152777734</v>
      </c>
      <c r="S14" t="s">
        <v>69</v>
      </c>
      <c r="T14" s="18">
        <v>0.15888480399999999</v>
      </c>
      <c r="U14" s="18">
        <v>8.6400261499999992E-2</v>
      </c>
      <c r="V14" s="18">
        <v>2.6157582428412002E-2</v>
      </c>
      <c r="W14" s="18">
        <v>2.8734347700000003E-2</v>
      </c>
    </row>
    <row r="15" spans="1:23" x14ac:dyDescent="0.35">
      <c r="B15" t="s">
        <v>63</v>
      </c>
      <c r="C15">
        <v>3828.0362152777734</v>
      </c>
      <c r="D15">
        <v>1019.6</v>
      </c>
      <c r="E15">
        <v>1115.04</v>
      </c>
      <c r="F15">
        <v>1316.32923611111</v>
      </c>
      <c r="L15" s="11"/>
      <c r="M15" t="s">
        <v>69</v>
      </c>
      <c r="N15" s="14">
        <v>98.8</v>
      </c>
      <c r="S15" t="s">
        <v>73</v>
      </c>
      <c r="T15" s="18">
        <v>6.7514601500000007E-2</v>
      </c>
      <c r="U15" s="18">
        <v>6.3831941549999993E-2</v>
      </c>
      <c r="V15" s="18">
        <v>8.6927416242677996E-2</v>
      </c>
      <c r="W15" s="18">
        <v>8.0032594449999994E-2</v>
      </c>
    </row>
    <row r="16" spans="1:23" x14ac:dyDescent="0.35">
      <c r="B16" t="s">
        <v>69</v>
      </c>
      <c r="C16">
        <v>98.8</v>
      </c>
      <c r="D16">
        <v>206.55</v>
      </c>
      <c r="E16">
        <v>99.5</v>
      </c>
      <c r="F16">
        <v>124.69</v>
      </c>
      <c r="L16" s="10"/>
      <c r="M16" t="s">
        <v>73</v>
      </c>
      <c r="N16" s="14">
        <v>218.75</v>
      </c>
      <c r="R16" t="s">
        <v>82</v>
      </c>
      <c r="S16" t="s">
        <v>83</v>
      </c>
      <c r="T16" s="18">
        <v>0.34588382230000003</v>
      </c>
      <c r="U16" s="19">
        <v>1.4168582347196317</v>
      </c>
      <c r="V16" s="18">
        <v>7.591700095704601E-2</v>
      </c>
      <c r="W16" s="19">
        <v>0.55085617065406611</v>
      </c>
    </row>
    <row r="17" spans="1:23" x14ac:dyDescent="0.35">
      <c r="B17" t="s">
        <v>73</v>
      </c>
      <c r="C17">
        <v>218.75</v>
      </c>
      <c r="D17">
        <v>271.03500000000003</v>
      </c>
      <c r="E17">
        <v>380.87</v>
      </c>
      <c r="F17">
        <v>263.16500000000002</v>
      </c>
      <c r="L17" s="9" t="s">
        <v>82</v>
      </c>
      <c r="M17" t="s">
        <v>83</v>
      </c>
      <c r="N17" s="15">
        <v>1809.56</v>
      </c>
      <c r="S17" t="s">
        <v>86</v>
      </c>
      <c r="T17" s="19">
        <v>3.348124987943796</v>
      </c>
      <c r="U17" s="19">
        <v>1.6176630492778499</v>
      </c>
      <c r="V17" s="19">
        <v>1.5333545201477101</v>
      </c>
      <c r="W17" s="18">
        <v>0.42834110467986131</v>
      </c>
    </row>
    <row r="18" spans="1:23" x14ac:dyDescent="0.35">
      <c r="A18" t="s">
        <v>82</v>
      </c>
      <c r="B18" t="s">
        <v>83</v>
      </c>
      <c r="C18">
        <v>1809.56</v>
      </c>
      <c r="D18">
        <v>7641.3069236111151</v>
      </c>
      <c r="E18">
        <v>405.17</v>
      </c>
      <c r="F18">
        <v>4043.2356250000003</v>
      </c>
      <c r="L18" s="11"/>
      <c r="M18" t="s">
        <v>86</v>
      </c>
      <c r="N18" s="15">
        <v>17755.679180555522</v>
      </c>
      <c r="S18" t="s">
        <v>90</v>
      </c>
      <c r="T18" s="18">
        <v>0.47413208331180534</v>
      </c>
      <c r="U18" s="18">
        <v>0.40849585493888835</v>
      </c>
      <c r="V18" s="19">
        <v>2.3339942609141682</v>
      </c>
      <c r="W18" s="18">
        <v>0.43494203577726509</v>
      </c>
    </row>
    <row r="19" spans="1:23" x14ac:dyDescent="0.35">
      <c r="B19" t="s">
        <v>86</v>
      </c>
      <c r="C19">
        <v>17755.679180555522</v>
      </c>
      <c r="D19">
        <v>8446.4982916666722</v>
      </c>
      <c r="E19">
        <v>8017.6702708333296</v>
      </c>
      <c r="F19">
        <v>1950.931875</v>
      </c>
      <c r="L19" s="11"/>
      <c r="M19" t="s">
        <v>90</v>
      </c>
      <c r="N19" s="15">
        <v>2472.4370138888899</v>
      </c>
      <c r="S19" t="s">
        <v>93</v>
      </c>
      <c r="T19" s="19">
        <v>2.4227591856465533</v>
      </c>
      <c r="U19" s="19">
        <v>2.6447572164115547</v>
      </c>
      <c r="V19" s="18">
        <v>0.12715345514275603</v>
      </c>
      <c r="W19" s="19">
        <v>0.59891377579387295</v>
      </c>
    </row>
    <row r="20" spans="1:23" x14ac:dyDescent="0.35">
      <c r="B20" t="s">
        <v>90</v>
      </c>
      <c r="C20">
        <v>2472.4370138888899</v>
      </c>
      <c r="D20">
        <v>2123.7197222222198</v>
      </c>
      <c r="E20">
        <v>9760.9425694444471</v>
      </c>
      <c r="F20">
        <v>2261.950000000003</v>
      </c>
      <c r="L20" s="10"/>
      <c r="M20" t="s">
        <v>93</v>
      </c>
      <c r="N20" s="15">
        <v>12897.513236111112</v>
      </c>
      <c r="R20" t="s">
        <v>96</v>
      </c>
      <c r="S20" t="s">
        <v>97</v>
      </c>
      <c r="T20" s="18">
        <v>7.5341796799975991E-2</v>
      </c>
      <c r="U20" s="18">
        <v>2.9124672571204002E-2</v>
      </c>
      <c r="V20" s="18">
        <v>4.6581992000000003E-2</v>
      </c>
      <c r="W20" s="18">
        <v>1.5741339999999999E-2</v>
      </c>
    </row>
    <row r="21" spans="1:23" x14ac:dyDescent="0.35">
      <c r="B21" t="s">
        <v>93</v>
      </c>
      <c r="C21">
        <v>12897.513236111112</v>
      </c>
      <c r="D21">
        <v>13945.550069444465</v>
      </c>
      <c r="E21">
        <v>672.19999999999993</v>
      </c>
      <c r="F21">
        <v>3238.9867361111151</v>
      </c>
      <c r="L21" s="10" t="s">
        <v>96</v>
      </c>
      <c r="M21" t="s">
        <v>97</v>
      </c>
      <c r="N21" s="14">
        <v>2.8</v>
      </c>
    </row>
    <row r="22" spans="1:23" x14ac:dyDescent="0.35">
      <c r="A22" t="s">
        <v>96</v>
      </c>
      <c r="B22" t="s">
        <v>97</v>
      </c>
      <c r="C22">
        <v>2.8</v>
      </c>
      <c r="D22">
        <v>26.2</v>
      </c>
    </row>
    <row r="30" spans="1:23" x14ac:dyDescent="0.35">
      <c r="A30" s="2" t="s">
        <v>302</v>
      </c>
    </row>
    <row r="31" spans="1:23" x14ac:dyDescent="0.35">
      <c r="A31" s="3" t="s">
        <v>304</v>
      </c>
    </row>
    <row r="32" spans="1:23" x14ac:dyDescent="0.35">
      <c r="A32" s="4" t="s">
        <v>305</v>
      </c>
    </row>
    <row r="33" spans="1:6" x14ac:dyDescent="0.35">
      <c r="A33" s="5" t="s">
        <v>307</v>
      </c>
    </row>
    <row r="37" spans="1:6" x14ac:dyDescent="0.35">
      <c r="A37" s="6" t="s">
        <v>12</v>
      </c>
      <c r="C37" s="6" t="s">
        <v>322</v>
      </c>
    </row>
    <row r="38" spans="1:6" x14ac:dyDescent="0.35">
      <c r="A38" s="6" t="s">
        <v>1</v>
      </c>
      <c r="B38" s="6" t="s">
        <v>2</v>
      </c>
      <c r="C38" t="s">
        <v>19</v>
      </c>
      <c r="D38" t="s">
        <v>106</v>
      </c>
      <c r="E38" t="s">
        <v>167</v>
      </c>
      <c r="F38" t="s">
        <v>233</v>
      </c>
    </row>
    <row r="39" spans="1:6" x14ac:dyDescent="0.35">
      <c r="A39" t="s">
        <v>17</v>
      </c>
      <c r="B39" t="s">
        <v>18</v>
      </c>
      <c r="C39" s="16">
        <v>2.1692224140649998E-2</v>
      </c>
      <c r="D39" s="16">
        <v>0.2221496763478481</v>
      </c>
      <c r="E39" s="16">
        <v>3.6848905999460002E-2</v>
      </c>
      <c r="F39" s="16">
        <v>0.10166605042823201</v>
      </c>
    </row>
    <row r="40" spans="1:6" x14ac:dyDescent="0.35">
      <c r="B40" t="s">
        <v>33</v>
      </c>
      <c r="C40" s="16">
        <v>6.8979130069743003E-2</v>
      </c>
      <c r="D40" s="16">
        <v>0.11137948528517001</v>
      </c>
      <c r="E40" s="16">
        <v>0.10584384128413803</v>
      </c>
      <c r="F40" s="16">
        <v>6.2615722708290009E-2</v>
      </c>
    </row>
    <row r="41" spans="1:6" x14ac:dyDescent="0.35">
      <c r="A41" t="s">
        <v>43</v>
      </c>
      <c r="B41" t="s">
        <v>44</v>
      </c>
      <c r="C41" s="16">
        <v>1.6025324000000001E-2</v>
      </c>
      <c r="D41" s="16">
        <v>2.1041097000000002E-2</v>
      </c>
      <c r="E41" s="16">
        <v>1.7233502000000001E-2</v>
      </c>
      <c r="F41" s="16">
        <v>0.121004213</v>
      </c>
    </row>
    <row r="42" spans="1:6" x14ac:dyDescent="0.35">
      <c r="B42" t="s">
        <v>51</v>
      </c>
      <c r="C42" s="16">
        <v>1.5513124638785141</v>
      </c>
      <c r="D42" s="16">
        <v>1.300645835285452</v>
      </c>
      <c r="E42" s="16">
        <v>6.5712794000000005E-2</v>
      </c>
      <c r="F42" s="16">
        <v>5.7544603571401995E-2</v>
      </c>
    </row>
    <row r="43" spans="1:6" x14ac:dyDescent="0.35">
      <c r="B43" t="s">
        <v>63</v>
      </c>
      <c r="C43" s="16">
        <v>0.70507836538416979</v>
      </c>
      <c r="D43" s="16">
        <v>0.22066137657123999</v>
      </c>
      <c r="E43" s="16">
        <v>0.20984004691410402</v>
      </c>
      <c r="F43" s="16">
        <v>0.43544602426828821</v>
      </c>
    </row>
    <row r="44" spans="1:6" x14ac:dyDescent="0.35">
      <c r="B44" t="s">
        <v>69</v>
      </c>
      <c r="C44" s="16">
        <v>0.15888480399999999</v>
      </c>
      <c r="D44" s="16">
        <v>8.6400261499999992E-2</v>
      </c>
      <c r="E44" s="16">
        <v>2.6157582428412002E-2</v>
      </c>
      <c r="F44" s="16">
        <v>2.8734347700000003E-2</v>
      </c>
    </row>
    <row r="45" spans="1:6" x14ac:dyDescent="0.35">
      <c r="B45" t="s">
        <v>73</v>
      </c>
      <c r="C45" s="16">
        <v>6.7514601500000007E-2</v>
      </c>
      <c r="D45" s="16">
        <v>6.3831941549999993E-2</v>
      </c>
      <c r="E45" s="16">
        <v>8.6927416242677996E-2</v>
      </c>
      <c r="F45" s="16">
        <v>8.0032594449999994E-2</v>
      </c>
    </row>
    <row r="46" spans="1:6" x14ac:dyDescent="0.35">
      <c r="A46" t="s">
        <v>82</v>
      </c>
      <c r="B46" t="s">
        <v>83</v>
      </c>
      <c r="C46" s="16">
        <v>0.34588382230000003</v>
      </c>
      <c r="D46" s="16">
        <v>1.4168582347196317</v>
      </c>
      <c r="E46" s="16">
        <v>7.591700095704601E-2</v>
      </c>
      <c r="F46" s="16">
        <v>0.55085617065406611</v>
      </c>
    </row>
    <row r="47" spans="1:6" x14ac:dyDescent="0.35">
      <c r="B47" t="s">
        <v>86</v>
      </c>
      <c r="C47" s="16">
        <v>3.348124987943796</v>
      </c>
      <c r="D47" s="16">
        <v>1.6176630492778499</v>
      </c>
      <c r="E47" s="16">
        <v>1.5333545201477101</v>
      </c>
      <c r="F47" s="16">
        <v>0.42834110467986131</v>
      </c>
    </row>
    <row r="48" spans="1:6" x14ac:dyDescent="0.35">
      <c r="B48" t="s">
        <v>90</v>
      </c>
      <c r="C48" s="16">
        <v>0.47413208331180534</v>
      </c>
      <c r="D48" s="16">
        <v>0.40849585493888835</v>
      </c>
      <c r="E48" s="16">
        <v>2.3339942609141682</v>
      </c>
      <c r="F48" s="16">
        <v>0.43494203577726509</v>
      </c>
    </row>
    <row r="49" spans="1:6" x14ac:dyDescent="0.35">
      <c r="B49" t="s">
        <v>93</v>
      </c>
      <c r="C49" s="16">
        <v>2.4227591856465533</v>
      </c>
      <c r="D49" s="16">
        <v>2.6447572164115547</v>
      </c>
      <c r="E49" s="16">
        <v>0.12715345514275603</v>
      </c>
      <c r="F49" s="16">
        <v>0.59891377579387295</v>
      </c>
    </row>
    <row r="50" spans="1:6" x14ac:dyDescent="0.35">
      <c r="A50" t="s">
        <v>96</v>
      </c>
      <c r="B50" t="s">
        <v>97</v>
      </c>
      <c r="C50" s="16">
        <v>7.5341796799975991E-2</v>
      </c>
      <c r="D50" s="16">
        <v>2.9124672571204002E-2</v>
      </c>
      <c r="E50" s="16">
        <v>4.6581992000000003E-2</v>
      </c>
      <c r="F50" s="16">
        <v>1.5741339999999999E-2</v>
      </c>
    </row>
  </sheetData>
  <pageMargins left="0.75" right="0.75" top="0.75" bottom="0.5" header="0.5" footer="0.7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Lakes Data</vt:lpstr>
      <vt:lpstr>Toxin Data</vt:lpstr>
      <vt:lpstr>Warnings</vt:lpstr>
      <vt:lpstr>Warnings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Sutherland</dc:creator>
  <cp:lastModifiedBy>Amber Sutherland</cp:lastModifiedBy>
  <dcterms:created xsi:type="dcterms:W3CDTF">2026-04-22T20:37:31Z</dcterms:created>
  <dcterms:modified xsi:type="dcterms:W3CDTF">2026-04-23T02:27:44Z</dcterms:modified>
</cp:coreProperties>
</file>