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663ABF59-48E3-4DE6-ADE3-EC9C276DC8C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8" r:id="rId5"/>
    <pivotCache cacheId="15" r:id="rId6"/>
    <pivotCache cacheId="21" r:id="rId7"/>
  </pivotCaches>
</workbook>
</file>

<file path=xl/sharedStrings.xml><?xml version="1.0" encoding="utf-8"?>
<sst xmlns="http://schemas.openxmlformats.org/spreadsheetml/2006/main" count="2044" uniqueCount="320">
  <si>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</si>
  <si>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</si>
  <si>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</si>
  <si>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</si>
  <si>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</si>
  <si>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</si>
  <si>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</si>
  <si>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</si>
  <si>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</si>
  <si>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</si>
  <si>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</si>
  <si>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</si>
  <si>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</si>
  <si>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</si>
  <si>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</si>
  <si>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</si>
  <si>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5842.1</t>
  </si>
  <si>
    <t>Kaituna</t>
  </si>
  <si>
    <t>Trout Pool</t>
  </si>
  <si>
    <t>19/01/2026</t>
  </si>
  <si>
    <t>20A</t>
  </si>
  <si>
    <t>160</t>
  </si>
  <si>
    <t>Dolichospermum circinale</t>
  </si>
  <si>
    <t>5842.2</t>
  </si>
  <si>
    <t>Dolichospermum planctonicum </t>
  </si>
  <si>
    <t>5842.3</t>
  </si>
  <si>
    <t>Microcystis sp</t>
  </si>
  <si>
    <t xml:space="preserve">Microcystis spp.
</t>
  </si>
  <si>
    <t>5842.4</t>
  </si>
  <si>
    <t>Aphanocapsa sp</t>
  </si>
  <si>
    <t>5842.5</t>
  </si>
  <si>
    <t xml:space="preserve">Limnococcus limneticus
</t>
  </si>
  <si>
    <t>5842.6</t>
  </si>
  <si>
    <t>Pseudanabaena sp.</t>
  </si>
  <si>
    <t>5846.1</t>
  </si>
  <si>
    <t>Rotoehu</t>
  </si>
  <si>
    <t>Kennedy Bay</t>
  </si>
  <si>
    <t>Whole Plate</t>
  </si>
  <si>
    <t>5846.2</t>
  </si>
  <si>
    <t>Dolichospermum lemmermannii</t>
  </si>
  <si>
    <t>5846.3</t>
  </si>
  <si>
    <t>Microcystis aeruginosa</t>
  </si>
  <si>
    <t>5846.4</t>
  </si>
  <si>
    <t>5846.5</t>
  </si>
  <si>
    <t>Anabaena torulosa</t>
  </si>
  <si>
    <t>5846.6</t>
  </si>
  <si>
    <t>5846.7</t>
  </si>
  <si>
    <t>Planktothrix sp</t>
  </si>
  <si>
    <t>5847.1</t>
  </si>
  <si>
    <t>Otautu</t>
  </si>
  <si>
    <t>Oscillatoria sp</t>
  </si>
  <si>
    <t>5847.2</t>
  </si>
  <si>
    <t>Phormidium sp</t>
  </si>
  <si>
    <t>5847.3</t>
  </si>
  <si>
    <t>5847.4</t>
  </si>
  <si>
    <t>5847.5</t>
  </si>
  <si>
    <t>5847.6</t>
  </si>
  <si>
    <t>5847.7</t>
  </si>
  <si>
    <t>5847.8</t>
  </si>
  <si>
    <t>5847.9</t>
  </si>
  <si>
    <t>Merismopedia sp</t>
  </si>
  <si>
    <t>5847.10</t>
  </si>
  <si>
    <t>Microcystis wesenbergii</t>
  </si>
  <si>
    <t>5848.1</t>
  </si>
  <si>
    <t>Rotoiti</t>
  </si>
  <si>
    <t>Hinehopu</t>
  </si>
  <si>
    <t>5848.2</t>
  </si>
  <si>
    <t>5848.3</t>
  </si>
  <si>
    <t>5841.1</t>
  </si>
  <si>
    <t>Okawa Bay</t>
  </si>
  <si>
    <t>5841.2</t>
  </si>
  <si>
    <t>5841.3</t>
  </si>
  <si>
    <t>Coelosphaerium kuetzingianum</t>
  </si>
  <si>
    <t>5841.4</t>
  </si>
  <si>
    <t>5840.1</t>
  </si>
  <si>
    <t>Okere Arm</t>
  </si>
  <si>
    <t>5840.2</t>
  </si>
  <si>
    <t>5840.3</t>
  </si>
  <si>
    <t>5840.4</t>
  </si>
  <si>
    <t>5850.1</t>
  </si>
  <si>
    <t>Otaramarae</t>
  </si>
  <si>
    <t>5850.2</t>
  </si>
  <si>
    <t>5850.3</t>
  </si>
  <si>
    <t>5850.4</t>
  </si>
  <si>
    <t>5850.5</t>
  </si>
  <si>
    <t>5849.1</t>
  </si>
  <si>
    <t>Te Weta</t>
  </si>
  <si>
    <t>5849.2</t>
  </si>
  <si>
    <t>5849.3</t>
  </si>
  <si>
    <t>5849.4</t>
  </si>
  <si>
    <t>5844.1</t>
  </si>
  <si>
    <t>Rotorua</t>
  </si>
  <si>
    <t>Hamurana</t>
  </si>
  <si>
    <t>5844.2</t>
  </si>
  <si>
    <t>5844.3</t>
  </si>
  <si>
    <t>5844.4</t>
  </si>
  <si>
    <t>5844.5</t>
  </si>
  <si>
    <t>5839.1</t>
  </si>
  <si>
    <t>Holdens Bay</t>
  </si>
  <si>
    <t>5839.2</t>
  </si>
  <si>
    <t>5839.3</t>
  </si>
  <si>
    <t>5839.4</t>
  </si>
  <si>
    <t>5845.1</t>
  </si>
  <si>
    <t>Ngongotaha</t>
  </si>
  <si>
    <t>5845.2</t>
  </si>
  <si>
    <t>5838.1</t>
  </si>
  <si>
    <t>Ohau Channel</t>
  </si>
  <si>
    <t>5838.2</t>
  </si>
  <si>
    <t>5843.1</t>
  </si>
  <si>
    <t>Lake Okaro</t>
  </si>
  <si>
    <t>Boat ramp</t>
  </si>
  <si>
    <t>5843.2</t>
  </si>
  <si>
    <t>5843.3</t>
  </si>
  <si>
    <t>5843.4</t>
  </si>
  <si>
    <t>5843.5</t>
  </si>
  <si>
    <t>Dolichospermum spiroides</t>
  </si>
  <si>
    <t>5843.6</t>
  </si>
  <si>
    <t>Woronichinia naegeliana</t>
  </si>
  <si>
    <t>5843.7</t>
  </si>
  <si>
    <t>5830.1</t>
  </si>
  <si>
    <t>12/01/2026</t>
  </si>
  <si>
    <t>5830.2</t>
  </si>
  <si>
    <t>5830.3</t>
  </si>
  <si>
    <t>5830.4</t>
  </si>
  <si>
    <t>5831.1</t>
  </si>
  <si>
    <t>5831.2</t>
  </si>
  <si>
    <t>5831.3</t>
  </si>
  <si>
    <t>5831.4</t>
  </si>
  <si>
    <t>5831.5</t>
  </si>
  <si>
    <t>5831.6</t>
  </si>
  <si>
    <t>5831.7</t>
  </si>
  <si>
    <t>5835.1</t>
  </si>
  <si>
    <t>Microcystis flos-aquae</t>
  </si>
  <si>
    <t>5835.2</t>
  </si>
  <si>
    <t>5835.3</t>
  </si>
  <si>
    <t>5835.4</t>
  </si>
  <si>
    <t>5835.5</t>
  </si>
  <si>
    <t>5835.6</t>
  </si>
  <si>
    <t>5835.7</t>
  </si>
  <si>
    <t>Pseudanabaena limnetica (cylinder)</t>
  </si>
  <si>
    <t>5834.1</t>
  </si>
  <si>
    <t>5834.2</t>
  </si>
  <si>
    <t>5834.3</t>
  </si>
  <si>
    <t>5834.4</t>
  </si>
  <si>
    <t>5834.5</t>
  </si>
  <si>
    <t>5826.1</t>
  </si>
  <si>
    <t>5826.2</t>
  </si>
  <si>
    <t>5826.3</t>
  </si>
  <si>
    <t>Dolichospermum smithii</t>
  </si>
  <si>
    <t>5826.4</t>
  </si>
  <si>
    <t>5826.5</t>
  </si>
  <si>
    <t>5829.1</t>
  </si>
  <si>
    <t>5829.2</t>
  </si>
  <si>
    <t>5829.3</t>
  </si>
  <si>
    <t>5829.4</t>
  </si>
  <si>
    <t>5829.5</t>
  </si>
  <si>
    <t>5837.1</t>
  </si>
  <si>
    <t>5837.2</t>
  </si>
  <si>
    <t>5837.3</t>
  </si>
  <si>
    <t>5837.4</t>
  </si>
  <si>
    <t>5836.1</t>
  </si>
  <si>
    <t>5836.2</t>
  </si>
  <si>
    <t>5833.1</t>
  </si>
  <si>
    <t>5833.2</t>
  </si>
  <si>
    <t>5828.1</t>
  </si>
  <si>
    <t>5828.2</t>
  </si>
  <si>
    <t>5828.3</t>
  </si>
  <si>
    <t>5828.4</t>
  </si>
  <si>
    <t>5825.1</t>
  </si>
  <si>
    <t>Pseudanabaena galeata (cylinder)</t>
  </si>
  <si>
    <t>5825.2</t>
  </si>
  <si>
    <t>5825.3</t>
  </si>
  <si>
    <t>5825.4</t>
  </si>
  <si>
    <t>5825.5</t>
  </si>
  <si>
    <t>5825.6</t>
  </si>
  <si>
    <t>5827.1</t>
  </si>
  <si>
    <t>5827.2</t>
  </si>
  <si>
    <t>5827.3</t>
  </si>
  <si>
    <t>5827.4</t>
  </si>
  <si>
    <t>5832.1</t>
  </si>
  <si>
    <t>5832.2</t>
  </si>
  <si>
    <t>5832.3</t>
  </si>
  <si>
    <t>5832.4</t>
  </si>
  <si>
    <t>5832.5</t>
  </si>
  <si>
    <t>5819.1</t>
  </si>
  <si>
    <t>05/01/2026</t>
  </si>
  <si>
    <t>5819.2</t>
  </si>
  <si>
    <t>5819.3</t>
  </si>
  <si>
    <t>5815.1</t>
  </si>
  <si>
    <t>5815.2</t>
  </si>
  <si>
    <t>Dolichospermum sp</t>
  </si>
  <si>
    <t>5815.3</t>
  </si>
  <si>
    <t>5815.4</t>
  </si>
  <si>
    <t>Picocyanobacteria</t>
  </si>
  <si>
    <t>5815.5</t>
  </si>
  <si>
    <t>5815.6</t>
  </si>
  <si>
    <t>5824.1</t>
  </si>
  <si>
    <t>5824.2</t>
  </si>
  <si>
    <t>5824.3</t>
  </si>
  <si>
    <t>5824.4</t>
  </si>
  <si>
    <t>5824.5</t>
  </si>
  <si>
    <t>5824.6</t>
  </si>
  <si>
    <t>5824.7</t>
  </si>
  <si>
    <t>5821.1</t>
  </si>
  <si>
    <t>5821.2</t>
  </si>
  <si>
    <t>5821.3</t>
  </si>
  <si>
    <t>5821.4</t>
  </si>
  <si>
    <t>5813.1</t>
  </si>
  <si>
    <t>5813.2</t>
  </si>
  <si>
    <t>5813.3</t>
  </si>
  <si>
    <t>5812.1</t>
  </si>
  <si>
    <t>5812.2</t>
  </si>
  <si>
    <t>5812.3</t>
  </si>
  <si>
    <t>5823.1</t>
  </si>
  <si>
    <t>5823.2</t>
  </si>
  <si>
    <t>5822.1</t>
  </si>
  <si>
    <t>5822.2</t>
  </si>
  <si>
    <t>5822.3</t>
  </si>
  <si>
    <t>5820.1</t>
  </si>
  <si>
    <t>5820.2</t>
  </si>
  <si>
    <t>5820.3</t>
  </si>
  <si>
    <t>5816.1</t>
  </si>
  <si>
    <t>5816.2</t>
  </si>
  <si>
    <t>5814.1</t>
  </si>
  <si>
    <t>5814.2</t>
  </si>
  <si>
    <t>5814.3</t>
  </si>
  <si>
    <t>5817.1</t>
  </si>
  <si>
    <t>5817.2</t>
  </si>
  <si>
    <t>5818.1</t>
  </si>
  <si>
    <t>5818.2</t>
  </si>
  <si>
    <t>5818.3</t>
  </si>
  <si>
    <t>5803.1</t>
  </si>
  <si>
    <t>29/12/2025</t>
  </si>
  <si>
    <t>5803.2</t>
  </si>
  <si>
    <t>5803.3</t>
  </si>
  <si>
    <t>5803.4</t>
  </si>
  <si>
    <t>5807.1</t>
  </si>
  <si>
    <t>5807.2</t>
  </si>
  <si>
    <t>5807.3</t>
  </si>
  <si>
    <t>5807.4</t>
  </si>
  <si>
    <t>5807.5</t>
  </si>
  <si>
    <t>5807.6</t>
  </si>
  <si>
    <t>Aphanocapsa holsatica</t>
  </si>
  <si>
    <t>5808.1</t>
  </si>
  <si>
    <t>5808.2</t>
  </si>
  <si>
    <t>5808.3</t>
  </si>
  <si>
    <t>5808.4</t>
  </si>
  <si>
    <t>5808.5</t>
  </si>
  <si>
    <t>5808.6</t>
  </si>
  <si>
    <t>5808.7</t>
  </si>
  <si>
    <t>5809.1</t>
  </si>
  <si>
    <t>5809.2</t>
  </si>
  <si>
    <t>5809.3</t>
  </si>
  <si>
    <t>5809.4</t>
  </si>
  <si>
    <t>5804.1</t>
  </si>
  <si>
    <t>5804.2</t>
  </si>
  <si>
    <t>5804.3</t>
  </si>
  <si>
    <t>5804.4</t>
  </si>
  <si>
    <t>5804.5</t>
  </si>
  <si>
    <t>5804.6</t>
  </si>
  <si>
    <t>5804.7</t>
  </si>
  <si>
    <t>5802.1</t>
  </si>
  <si>
    <t>5802.2</t>
  </si>
  <si>
    <t>5802.3</t>
  </si>
  <si>
    <t>5802.4</t>
  </si>
  <si>
    <t>5810.1</t>
  </si>
  <si>
    <t>5810.2</t>
  </si>
  <si>
    <t>5810.3</t>
  </si>
  <si>
    <t>5810.4</t>
  </si>
  <si>
    <t>5811.1</t>
  </si>
  <si>
    <t>5811.2</t>
  </si>
  <si>
    <t>5811.3</t>
  </si>
  <si>
    <t>5811.4</t>
  </si>
  <si>
    <t>5805.1</t>
  </si>
  <si>
    <t>5805.2</t>
  </si>
  <si>
    <t>5805.3</t>
  </si>
  <si>
    <t>5805.4</t>
  </si>
  <si>
    <t>5805.5</t>
  </si>
  <si>
    <t>5805.6</t>
  </si>
  <si>
    <t>5800.1</t>
  </si>
  <si>
    <t>5800.2</t>
  </si>
  <si>
    <t>5800.3</t>
  </si>
  <si>
    <t>5800.4</t>
  </si>
  <si>
    <t>5800.5</t>
  </si>
  <si>
    <t>5806.1</t>
  </si>
  <si>
    <t>5806.2</t>
  </si>
  <si>
    <t>5806.3</t>
  </si>
  <si>
    <t>5806.4</t>
  </si>
  <si>
    <t>5799.1</t>
  </si>
  <si>
    <t>5799.2</t>
  </si>
  <si>
    <t>5799.3</t>
  </si>
  <si>
    <t>5799.4</t>
  </si>
  <si>
    <t>5801.1</t>
  </si>
  <si>
    <t>5801.2</t>
  </si>
  <si>
    <t>5801.3</t>
  </si>
  <si>
    <t>5801.4</t>
  </si>
  <si>
    <t>5801.5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</si>
  <si>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</si>
  <si>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</si>
  <si>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</si>
  <si>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</si>
  <si>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</si>
  <si>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</si>
  <si>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</si>
  <si>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</si>
  <si>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</si>
  <si>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</si>
  <si>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</si>
  <si>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</si>
  <si>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</si>
  <si>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</si>
  <si>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</si>
  <si>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</si>
  <si>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</si>
  <si>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</si>
  <si>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</si>
  <si>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</si>
  <si>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</si>
  <si>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</si>
  <si>
    <t xml:space="preserve">Dates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</si>
</sst>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9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31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0" fontId="3" fillId="6" borderId="0" xfId="0" applyFont="1" applyFill="1"/>
    <xf numFmtId="0" fontId="3" fillId="6" borderId="1" xfId="0" applyFont="1" applyFill="1" applyBorder="1"/>
    <xf numFmtId="0" fontId="3" fillId="0" borderId="1" xfId="0" applyFont="1" applyBorder="1"/>
    <xf numFmtId="0" fontId="3" fillId="0" borderId="0" xfId="0" applyFont="1" applyBorder="1"/>
    <xf numFmtId="165" fontId="0" fillId="0" borderId="0" xfId="0" applyNumberFormat="1" applyFill="1" applyAlignment="1" applyProtection="1"/>
    <xf numFmtId="0" fontId="3" fillId="6" borderId="1" xfId="0" applyNumberFormat="1" applyFont="1" applyFill="1" applyBorder="1" applyAlignment="1"/>
    <xf numFmtId="0" fontId="3" fillId="6" borderId="0" xfId="0" applyNumberFormat="1" applyFont="1" applyFill="1" applyAlignment="1"/>
    <xf numFmtId="165" fontId="3" fillId="0" borderId="1" xfId="0" applyNumberFormat="1" applyFont="1" applyBorder="1"/>
    <xf numFmtId="165" fontId="3" fillId="0" borderId="0" xfId="0" applyNumberFormat="1" applyFont="1" applyBorder="1"/>
    <xf numFmtId="165" fontId="3" fillId="0" borderId="0" xfId="0" applyNumberFormat="1" applyFont="1"/>
    <xf numFmtId="0" fontId="3" fillId="6" borderId="0" xfId="0" applyFont="1" applyFill="1" applyAlignment="1">
      <alignment horizontal="center"/>
    </xf>
    <xf numFmtId="14" fontId="3" fillId="6" borderId="0" xfId="0" applyNumberFormat="1" applyFont="1" applyFill="1" applyAlignment="1">
      <alignment horizontal="center"/>
    </xf>
    <xf numFmtId="0" fontId="3" fillId="6" borderId="0" xfId="0" applyNumberFormat="1" applyFont="1" applyFill="1" applyAlignment="1">
      <alignment vertical="top"/>
    </xf>
    <xf numFmtId="14" fontId="3" fillId="6" borderId="0" xfId="0" applyNumberFormat="1" applyFont="1" applyFill="1" applyAlignment="1">
      <alignment horizontal="left"/>
    </xf>
    <xf numFmtId="165" fontId="0" fillId="7" borderId="0" xfId="0" applyNumberFormat="1" applyFill="1" applyAlignment="1" applyProtection="1">
      <alignment horizontal="center"/>
    </xf>
    <xf numFmtId="165" fontId="0" fillId="8" borderId="0" xfId="0" applyNumberFormat="1" applyFill="1" applyAlignment="1" applyProtection="1">
      <alignment horizontal="center"/>
    </xf>
    <xf numFmtId="165" fontId="0" fillId="9" borderId="0" xfId="0" applyNumberFormat="1" applyFill="1" applyAlignment="1" applyProtection="1">
      <alignment horizontal="center"/>
    </xf>
    <xf numFmtId="0" fontId="3" fillId="6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6" borderId="1" xfId="0" applyFont="1" applyFill="1" applyBorder="1" applyAlignment="1">
      <alignment horizontal="left"/>
    </xf>
    <xf numFmtId="0" fontId="2" fillId="6" borderId="0" xfId="0" applyNumberFormat="1" applyFont="1" applyFill="1" applyAlignment="1"/>
    <xf numFmtId="0" fontId="2" fillId="6" borderId="0" xfId="0" applyFont="1" applyFill="1"/>
    <xf numFmtId="0" fontId="2" fillId="6" borderId="1" xfId="0" applyNumberFormat="1" applyFont="1" applyFill="1" applyBorder="1" applyAlignment="1"/>
    <xf numFmtId="0" fontId="2" fillId="6" borderId="1" xfId="0" applyFont="1" applyFill="1" applyBorder="1"/>
  </cellXfs>
  <cellStyles count="1">
    <cellStyle name="Normal" xfId="0" builtinId="0"/>
  </cellStyles>
  <dxfs count="1">
    <dxf>
      <numFmt numFmtId="165" formatCode="0.000"/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44.472059259257" refreshedVersion="8" recordCount="231" xr:uid="{00000000-000A-0000-FFFF-FFFF02000000}">
  <cacheSource type="worksheet">
    <worksheetSource ref="A1:P232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19/01/2026"/>
        <s v="12/01/2026"/>
        <s v="05/01/2026"/>
        <s v="29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5" maxValue="456"/>
    </cacheField>
    <cacheField name="NumberOfColonies" numFmtId="0">
      <sharedItems containsString="0" containsBlank="1" containsNumber="1" containsInteger="1" minValue="1" maxValue="244"/>
    </cacheField>
    <cacheField name="CellsPerMl" numFmtId="0">
      <sharedItems containsSemiMixedTypes="0" containsString="0" containsNumber="1" minValue="0.5" maxValue="27126.435375000001"/>
    </cacheField>
    <cacheField name="TotalBioVolume" numFmtId="0">
      <sharedItems containsSemiMixedTypes="0" containsString="0" containsNumber="1" minValue="0" maxValue="14.513727983040001"/>
    </cacheField>
    <cacheField name="PotentiallyToxicCellMl" numFmtId="0">
      <sharedItems containsSemiMixedTypes="0" containsString="0" containsNumber="1" minValue="0" maxValue="25213.202666666701"/>
    </cacheField>
    <cacheField name="PotentiallyToxicBioVolume" numFmtId="0">
      <sharedItems containsSemiMixedTypes="0" containsString="0" containsNumber="1" minValue="0" maxValue="14.5137279830400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44.472059375003" refreshedVersion="8" recordCount="24" xr:uid="{00000000-000A-0000-FFFF-FFFF01000000}">
  <cacheSource type="worksheet">
    <worksheetSource ref="A1:P25" sheet="Toxin Data"/>
  </cacheSource>
  <cacheFields count="16">
    <cacheField name="SampleId" numFmtId="0">
      <sharedItems/>
    </cacheField>
    <cacheField name="Location" numFmtId="0">
      <sharedItems count="4">
        <s v="Kaituna"/>
        <s v="Rotoehu"/>
        <s v="Rotoiti"/>
        <s v="Rotorua"/>
      </sharedItems>
    </cacheField>
    <cacheField name="Site" numFmtId="0">
      <sharedItems count="10">
        <s v="Trout Pool"/>
        <s v="Kennedy Bay"/>
        <s v="Otautu"/>
        <s v="Okere Arm"/>
        <s v="Holdens Bay"/>
        <s v="Otaramarae"/>
        <s v="Ngongotaha"/>
        <s v="Okawa Bay"/>
        <s v="Te Weta"/>
        <s v="Ohau Channel"/>
      </sharedItems>
    </cacheField>
    <cacheField name="SampleDate" numFmtId="0">
      <sharedItems count="4">
        <s v="19/01/2026"/>
        <s v="12/01/2026"/>
        <s v="05/01/2026"/>
        <s v="29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6" maxValue="108"/>
    </cacheField>
    <cacheField name="NumberOfColonies" numFmtId="0">
      <sharedItems containsNonDate="0" containsString="0" containsBlank="1"/>
    </cacheField>
    <cacheField name="CellsPerMl" numFmtId="0">
      <sharedItems containsSemiMixedTypes="0" containsString="0" containsNumber="1" minValue="2.8" maxValue="383.27486111111102"/>
    </cacheField>
    <cacheField name="TotalBioVolume" numFmtId="0">
      <sharedItems containsSemiMixedTypes="0" containsString="0" containsNumber="1" minValue="4.752E-4" maxValue="6.2185780727777799E-2"/>
    </cacheField>
    <cacheField name="PotentiallyToxicCellMl" numFmtId="0">
      <sharedItems containsSemiMixedTypes="0" containsString="0" containsNumber="1" minValue="2.8" maxValue="383.27486111111102"/>
    </cacheField>
    <cacheField name="PotentiallyToxicBioVolume" numFmtId="0">
      <sharedItems containsSemiMixedTypes="0" containsString="0" containsNumber="1" minValue="4.752E-4" maxValue="6.2185780727777799E-2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44.472059490741" refreshedVersion="8" recordCount="231" xr:uid="{00000000-000A-0000-FFFF-FFFF00000000}">
  <cacheSource type="worksheet">
    <worksheetSource ref="A1:P232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19/01/2026"/>
        <s v="12/01/2026"/>
        <s v="05/01/2026"/>
        <s v="29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5" maxValue="456"/>
    </cacheField>
    <cacheField name="NumberOfColonies" numFmtId="0">
      <sharedItems containsString="0" containsBlank="1" containsNumber="1" containsInteger="1" minValue="1" maxValue="244"/>
    </cacheField>
    <cacheField name="CellsPerMl" numFmtId="0">
      <sharedItems containsSemiMixedTypes="0" containsString="0" containsNumber="1" minValue="0.5" maxValue="27126.435375000001"/>
    </cacheField>
    <cacheField name="TotalBioVolume" numFmtId="0">
      <sharedItems containsSemiMixedTypes="0" containsString="0" containsNumber="1" minValue="0" maxValue="14.513727983040001"/>
    </cacheField>
    <cacheField name="PotentiallyToxicCellMl" numFmtId="0">
      <sharedItems containsSemiMixedTypes="0" containsString="0" containsNumber="1" minValue="0" maxValue="25213.202666666701"/>
    </cacheField>
    <cacheField name="PotentiallyToxicBioVolume" numFmtId="0">
      <sharedItems containsSemiMixedTypes="0" containsString="0" containsNumber="1" minValue="0" maxValue="14.5137279830400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s v="5842.1"/>
    <x v="0"/>
    <x v="0"/>
    <x v="0"/>
    <s v="20A"/>
    <s v="160"/>
    <s v="Dolichospermum circinale"/>
    <b v="1"/>
    <n v="10"/>
    <n v="31.714285714285701"/>
    <m/>
    <n v="697.43458333333297"/>
    <n v="0.40147124355000002"/>
    <n v="697.43458333333297"/>
    <n v="0.40147124355000002"/>
    <m/>
  </r>
  <r>
    <s v="5842.2"/>
    <x v="0"/>
    <x v="0"/>
    <x v="0"/>
    <s v="20A"/>
    <s v="160"/>
    <s v="Dolichospermum planctonicum "/>
    <b v="1"/>
    <n v="10"/>
    <n v="16"/>
    <m/>
    <n v="100.531111111111"/>
    <n v="3.7196511111111101E-2"/>
    <n v="100.531111111111"/>
    <n v="3.7196511111111101E-2"/>
    <m/>
  </r>
  <r>
    <s v="5842.3"/>
    <x v="0"/>
    <x v="0"/>
    <x v="0"/>
    <s v="20A"/>
    <s v="160"/>
    <s v="Microcystis sp"/>
    <b v="1"/>
    <n v="10"/>
    <n v="6"/>
    <m/>
    <n v="18.8495833333333"/>
    <n v="1.3533731551955701E-3"/>
    <n v="18.8495833333333"/>
    <n v="1.3533731551955701E-3"/>
    <s v="Microcystis spp._x000a_"/>
  </r>
  <r>
    <s v="5842.4"/>
    <x v="0"/>
    <x v="0"/>
    <x v="0"/>
    <s v="20A"/>
    <s v="160"/>
    <s v="Aphanocapsa sp"/>
    <b v="0"/>
    <n v="10"/>
    <n v="18"/>
    <m/>
    <n v="113.0975"/>
    <n v="2.5446937500000003E-4"/>
    <n v="0"/>
    <n v="0"/>
    <m/>
  </r>
  <r>
    <s v="5842.5"/>
    <x v="0"/>
    <x v="0"/>
    <x v="0"/>
    <s v="20A"/>
    <s v="160"/>
    <s v="Limnococcus limneticus_x000a_"/>
    <b v="0"/>
    <n v="10"/>
    <n v="15"/>
    <m/>
    <n v="94.247916666666697"/>
    <n v="4.24115625E-2"/>
    <n v="0"/>
    <n v="0"/>
    <m/>
  </r>
  <r>
    <s v="5842.6"/>
    <x v="0"/>
    <x v="0"/>
    <x v="0"/>
    <s v="20A"/>
    <s v="160"/>
    <s v="Pseudanabaena sp."/>
    <b v="1"/>
    <n v="10"/>
    <n v="8"/>
    <m/>
    <n v="25.1327777777778"/>
    <n v="9.8017833333333398E-4"/>
    <n v="25.1327777777778"/>
    <n v="9.8017833333333398E-4"/>
    <m/>
  </r>
  <r>
    <s v="5846.1"/>
    <x v="1"/>
    <x v="1"/>
    <x v="0"/>
    <s v="20A"/>
    <s v="Whole Plate"/>
    <s v="Aphanocapsa sp"/>
    <b v="0"/>
    <n v="10"/>
    <n v="32"/>
    <m/>
    <n v="25.6"/>
    <n v="5.7599999999999997E-5"/>
    <n v="0"/>
    <n v="0"/>
    <m/>
  </r>
  <r>
    <s v="5846.2"/>
    <x v="1"/>
    <x v="1"/>
    <x v="0"/>
    <s v="20A"/>
    <s v="Whole Plate"/>
    <s v="Dolichospermum lemmermannii"/>
    <b v="1"/>
    <n v="10"/>
    <n v="21.1666666666667"/>
    <m/>
    <n v="12.7"/>
    <n v="1.397E-3"/>
    <n v="12.7"/>
    <n v="1.397E-3"/>
    <m/>
  </r>
  <r>
    <s v="5846.3"/>
    <x v="1"/>
    <x v="1"/>
    <x v="0"/>
    <s v="20A"/>
    <s v="Whole Plate"/>
    <s v="Microcystis aeruginosa"/>
    <b v="1"/>
    <n v="10"/>
    <n v="27"/>
    <m/>
    <n v="16.2"/>
    <n v="1.4094000000000001E-3"/>
    <n v="16.2"/>
    <n v="1.4094000000000001E-3"/>
    <s v="Microcystis spp._x000a_"/>
  </r>
  <r>
    <s v="5846.4"/>
    <x v="1"/>
    <x v="1"/>
    <x v="0"/>
    <s v="20A"/>
    <s v="Whole Plate"/>
    <s v="Dolichospermum planctonicum "/>
    <b v="1"/>
    <n v="10"/>
    <n v="10.1666666666667"/>
    <m/>
    <n v="6.1"/>
    <n v="2.2569999999999999E-3"/>
    <n v="6.1"/>
    <n v="2.2569999999999999E-3"/>
    <m/>
  </r>
  <r>
    <s v="5846.5"/>
    <x v="1"/>
    <x v="1"/>
    <x v="0"/>
    <s v="20A"/>
    <s v="Whole Plate"/>
    <s v="Anabaena torulosa"/>
    <b v="1"/>
    <n v="10"/>
    <n v="28.5"/>
    <m/>
    <n v="5.7"/>
    <n v="1.2597000000000001E-3"/>
    <n v="5.7"/>
    <n v="1.2597000000000001E-3"/>
    <m/>
  </r>
  <r>
    <s v="5846.6"/>
    <x v="1"/>
    <x v="1"/>
    <x v="0"/>
    <s v="20A"/>
    <s v="Whole Plate"/>
    <s v="Pseudanabaena sp."/>
    <b v="1"/>
    <n v="10"/>
    <n v="15"/>
    <m/>
    <n v="3"/>
    <n v="1.17E-4"/>
    <n v="3"/>
    <n v="1.17E-4"/>
    <m/>
  </r>
  <r>
    <s v="5846.7"/>
    <x v="1"/>
    <x v="1"/>
    <x v="0"/>
    <s v="20A"/>
    <s v="Whole Plate"/>
    <s v="Planktothrix sp"/>
    <b v="1"/>
    <n v="10"/>
    <n v="40"/>
    <m/>
    <n v="4"/>
    <n v="1.256E-3"/>
    <n v="4"/>
    <n v="1.256E-3"/>
    <m/>
  </r>
  <r>
    <s v="5847.1"/>
    <x v="1"/>
    <x v="2"/>
    <x v="0"/>
    <s v="20A"/>
    <s v="Whole Plate"/>
    <s v="Oscillatoria sp"/>
    <b v="1"/>
    <n v="10"/>
    <n v="152.5"/>
    <m/>
    <n v="30.5"/>
    <n v="8.2487249999999998E-2"/>
    <n v="30.5"/>
    <n v="8.2487249999999998E-2"/>
    <m/>
  </r>
  <r>
    <s v="5847.2"/>
    <x v="1"/>
    <x v="2"/>
    <x v="0"/>
    <s v="20A"/>
    <s v="Whole Plate"/>
    <s v="Phormidium sp"/>
    <b v="1"/>
    <n v="10"/>
    <n v="115"/>
    <m/>
    <n v="11.5"/>
    <n v="1.0734099999999999E-3"/>
    <n v="11.5"/>
    <n v="1.0734099999999999E-3"/>
    <m/>
  </r>
  <r>
    <s v="5847.3"/>
    <x v="1"/>
    <x v="2"/>
    <x v="0"/>
    <s v="20A"/>
    <s v="Whole Plate"/>
    <s v="Microcystis aeruginosa"/>
    <b v="1"/>
    <n v="10"/>
    <n v="19.25"/>
    <m/>
    <n v="30.8"/>
    <n v="2.6795999999999999E-3"/>
    <n v="30.8"/>
    <n v="2.6795999999999999E-3"/>
    <s v="Microcystis spp._x000a_"/>
  </r>
  <r>
    <s v="5847.4"/>
    <x v="1"/>
    <x v="2"/>
    <x v="0"/>
    <s v="20A"/>
    <s v="Whole Plate"/>
    <s v="Anabaena torulosa"/>
    <b v="1"/>
    <n v="10"/>
    <n v="18"/>
    <m/>
    <n v="19.8"/>
    <n v="4.3758E-3"/>
    <n v="19.8"/>
    <n v="4.3758E-3"/>
    <m/>
  </r>
  <r>
    <s v="5847.5"/>
    <x v="1"/>
    <x v="2"/>
    <x v="0"/>
    <s v="20A"/>
    <s v="Whole Plate"/>
    <s v="Pseudanabaena sp."/>
    <b v="1"/>
    <n v="10"/>
    <n v="19.600000000000001"/>
    <m/>
    <n v="9.8000000000000007"/>
    <n v="3.8220000000000002E-4"/>
    <n v="9.8000000000000007"/>
    <n v="3.8220000000000002E-4"/>
    <m/>
  </r>
  <r>
    <s v="5847.6"/>
    <x v="1"/>
    <x v="2"/>
    <x v="0"/>
    <s v="20A"/>
    <s v="Whole Plate"/>
    <s v="Dolichospermum planctonicum "/>
    <b v="1"/>
    <n v="10"/>
    <n v="12"/>
    <m/>
    <n v="1.2"/>
    <n v="4.44E-4"/>
    <n v="1.2"/>
    <n v="4.44E-4"/>
    <m/>
  </r>
  <r>
    <s v="5847.7"/>
    <x v="1"/>
    <x v="2"/>
    <x v="0"/>
    <s v="20A"/>
    <s v="Whole Plate"/>
    <s v="Dolichospermum lemmermannii"/>
    <b v="1"/>
    <n v="10"/>
    <n v="5"/>
    <m/>
    <n v="0.5"/>
    <n v="5.5000000000000002E-5"/>
    <n v="0.5"/>
    <n v="5.5000000000000002E-5"/>
    <m/>
  </r>
  <r>
    <s v="5847.8"/>
    <x v="1"/>
    <x v="2"/>
    <x v="0"/>
    <s v="20A"/>
    <s v="Whole Plate"/>
    <s v="Limnococcus limneticus_x000a_"/>
    <b v="0"/>
    <n v="10"/>
    <n v="33"/>
    <m/>
    <n v="6.6"/>
    <n v="2.97E-3"/>
    <n v="0"/>
    <n v="0"/>
    <m/>
  </r>
  <r>
    <s v="5847.9"/>
    <x v="1"/>
    <x v="2"/>
    <x v="0"/>
    <s v="20A"/>
    <s v="Whole Plate"/>
    <s v="Merismopedia sp"/>
    <b v="0"/>
    <n v="10"/>
    <n v="24"/>
    <m/>
    <n v="4.8"/>
    <n v="1.0560000000000001E-4"/>
    <n v="0"/>
    <n v="0"/>
    <m/>
  </r>
  <r>
    <s v="5847.10"/>
    <x v="1"/>
    <x v="2"/>
    <x v="0"/>
    <s v="20A"/>
    <s v="Whole Plate"/>
    <s v="Microcystis wesenbergii"/>
    <b v="1"/>
    <n v="10"/>
    <n v="64"/>
    <m/>
    <n v="6.4"/>
    <n v="1.2181119999999999E-3"/>
    <n v="6.4"/>
    <n v="1.2181119999999999E-3"/>
    <s v="Microcystis spp._x000a_"/>
  </r>
  <r>
    <s v="5848.1"/>
    <x v="2"/>
    <x v="3"/>
    <x v="0"/>
    <s v="20A"/>
    <s v="Whole Plate"/>
    <s v="Dolichospermum planctonicum "/>
    <b v="1"/>
    <n v="10"/>
    <n v="12.8"/>
    <m/>
    <n v="12.8"/>
    <n v="4.7359999999999998E-3"/>
    <n v="12.8"/>
    <n v="4.7359999999999998E-3"/>
    <m/>
  </r>
  <r>
    <s v="5848.2"/>
    <x v="2"/>
    <x v="3"/>
    <x v="0"/>
    <s v="20A"/>
    <s v="Whole Plate"/>
    <s v="Dolichospermum circinale"/>
    <b v="1"/>
    <n v="10"/>
    <n v="20.149999999999999"/>
    <n v="13"/>
    <n v="66.495000000000005"/>
    <n v="3.8277181799999997E-2"/>
    <n v="66.495000000000005"/>
    <n v="3.8277181799999997E-2"/>
    <m/>
  </r>
  <r>
    <s v="5848.3"/>
    <x v="2"/>
    <x v="3"/>
    <x v="0"/>
    <s v="20A"/>
    <s v="Whole Plate"/>
    <s v="Limnococcus limneticus_x000a_"/>
    <b v="0"/>
    <n v="10"/>
    <n v="19.6666666666667"/>
    <m/>
    <n v="23.6"/>
    <n v="1.0619999999999999E-2"/>
    <n v="0"/>
    <n v="0"/>
    <m/>
  </r>
  <r>
    <s v="5841.1"/>
    <x v="2"/>
    <x v="4"/>
    <x v="0"/>
    <s v="20A"/>
    <s v="160"/>
    <s v="Dolichospermum planctonicum "/>
    <b v="1"/>
    <n v="10"/>
    <n v="17.2"/>
    <n v="17"/>
    <n v="1999.3124722222201"/>
    <n v="0.739745614722221"/>
    <n v="1999.3124722222201"/>
    <n v="0.739745614722221"/>
    <m/>
  </r>
  <r>
    <s v="5841.2"/>
    <x v="2"/>
    <x v="4"/>
    <x v="0"/>
    <s v="20A"/>
    <s v="160"/>
    <s v="Dolichospermum circinale"/>
    <b v="1"/>
    <n v="10"/>
    <n v="32"/>
    <m/>
    <n v="100.531111111111"/>
    <n v="5.7869728799999902E-2"/>
    <n v="100.531111111111"/>
    <n v="5.7869728799999902E-2"/>
    <m/>
  </r>
  <r>
    <s v="5841.3"/>
    <x v="2"/>
    <x v="4"/>
    <x v="0"/>
    <s v="20A"/>
    <s v="160"/>
    <s v="Coelosphaerium kuetzingianum"/>
    <b v="0"/>
    <n v="10"/>
    <n v="32"/>
    <m/>
    <n v="100.531111111111"/>
    <n v="8.93721577777777E-4"/>
    <n v="0"/>
    <n v="0"/>
    <m/>
  </r>
  <r>
    <s v="5841.4"/>
    <x v="2"/>
    <x v="4"/>
    <x v="0"/>
    <s v="20A"/>
    <s v="160"/>
    <s v="Planktothrix sp"/>
    <b v="1"/>
    <n v="10"/>
    <n v="28"/>
    <m/>
    <n v="87.964722222222207"/>
    <n v="2.76209227777778E-2"/>
    <n v="87.964722222222207"/>
    <n v="2.76209227777778E-2"/>
    <m/>
  </r>
  <r>
    <s v="5840.1"/>
    <x v="2"/>
    <x v="5"/>
    <x v="0"/>
    <s v="20A"/>
    <s v="160"/>
    <s v="Dolichospermum planctonicum "/>
    <b v="1"/>
    <n v="10"/>
    <n v="17.3333333333333"/>
    <m/>
    <n v="163.363055555556"/>
    <n v="6.0444330555555703E-2"/>
    <n v="163.363055555556"/>
    <n v="6.0444330555555703E-2"/>
    <m/>
  </r>
  <r>
    <s v="5840.2"/>
    <x v="2"/>
    <x v="5"/>
    <x v="0"/>
    <s v="20A"/>
    <s v="160"/>
    <s v="Dolichospermum circinale"/>
    <b v="1"/>
    <n v="10"/>
    <n v="24.6"/>
    <m/>
    <n v="772.83291666666696"/>
    <n v="0.44487354015000002"/>
    <n v="772.83291666666605"/>
    <n v="0.44487354015000002"/>
    <m/>
  </r>
  <r>
    <s v="5840.3"/>
    <x v="2"/>
    <x v="5"/>
    <x v="0"/>
    <s v="20A"/>
    <s v="160"/>
    <s v="Microcystis wesenbergii"/>
    <b v="1"/>
    <n v="10"/>
    <n v="20"/>
    <m/>
    <n v="62.831944444444403"/>
    <n v="1.19588039861111E-2"/>
    <n v="62.831944444444403"/>
    <n v="1.19588039861111E-2"/>
    <s v="Microcystis spp._x000a_"/>
  </r>
  <r>
    <s v="5840.4"/>
    <x v="2"/>
    <x v="5"/>
    <x v="0"/>
    <s v="20A"/>
    <s v="160"/>
    <s v="Limnococcus limneticus_x000a_"/>
    <b v="0"/>
    <n v="10"/>
    <n v="44"/>
    <m/>
    <n v="138.23027777777801"/>
    <n v="6.2203625000000103E-2"/>
    <n v="0"/>
    <n v="0"/>
    <m/>
  </r>
  <r>
    <s v="5850.1"/>
    <x v="2"/>
    <x v="6"/>
    <x v="0"/>
    <s v="20A"/>
    <s v="Whole Plate"/>
    <s v="Dolichospermum planctonicum "/>
    <b v="1"/>
    <n v="10"/>
    <n v="14.65"/>
    <n v="19"/>
    <n v="57.134999999999998"/>
    <n v="2.1139950000000001E-2"/>
    <n v="57.134999999999998"/>
    <n v="2.1139950000000001E-2"/>
    <m/>
  </r>
  <r>
    <s v="5850.2"/>
    <x v="2"/>
    <x v="6"/>
    <x v="0"/>
    <s v="20A"/>
    <s v="Whole Plate"/>
    <s v="Dolichospermum circinale"/>
    <b v="1"/>
    <n v="10"/>
    <n v="19.9411764705882"/>
    <m/>
    <n v="33.9"/>
    <n v="1.9514196000000001E-2"/>
    <n v="33.9"/>
    <n v="1.9514196000000001E-2"/>
    <m/>
  </r>
  <r>
    <s v="5850.3"/>
    <x v="2"/>
    <x v="6"/>
    <x v="0"/>
    <s v="20A"/>
    <s v="Whole Plate"/>
    <s v="Phormidium sp"/>
    <b v="1"/>
    <n v="10"/>
    <n v="48"/>
    <m/>
    <n v="4.8"/>
    <n v="4.4803200000000001E-4"/>
    <n v="4.8"/>
    <n v="4.4803200000000001E-4"/>
    <m/>
  </r>
  <r>
    <s v="5850.4"/>
    <x v="2"/>
    <x v="6"/>
    <x v="0"/>
    <s v="20A"/>
    <s v="Whole Plate"/>
    <s v="Limnococcus limneticus_x000a_"/>
    <b v="0"/>
    <n v="10"/>
    <n v="31"/>
    <m/>
    <n v="6.2"/>
    <n v="2.7899999999999999E-3"/>
    <n v="0"/>
    <n v="0"/>
    <m/>
  </r>
  <r>
    <s v="5850.5"/>
    <x v="2"/>
    <x v="6"/>
    <x v="0"/>
    <s v="20A"/>
    <s v="Whole Plate"/>
    <s v="Anabaena torulosa"/>
    <b v="1"/>
    <n v="10"/>
    <n v="18"/>
    <m/>
    <n v="1.8"/>
    <n v="3.9780000000000002E-4"/>
    <n v="1.8"/>
    <n v="3.9780000000000002E-4"/>
    <m/>
  </r>
  <r>
    <s v="5849.1"/>
    <x v="2"/>
    <x v="7"/>
    <x v="0"/>
    <s v="20A"/>
    <s v="160"/>
    <s v="Dolichospermum circinale"/>
    <b v="1"/>
    <n v="10"/>
    <n v="15"/>
    <m/>
    <n v="141.37187499999999"/>
    <n v="8.1379306124999995E-2"/>
    <n v="141.37187499999999"/>
    <n v="8.1379306124999995E-2"/>
    <m/>
  </r>
  <r>
    <s v="5849.2"/>
    <x v="2"/>
    <x v="7"/>
    <x v="0"/>
    <s v="20A"/>
    <s v="160"/>
    <s v="Dolichospermum planctonicum "/>
    <b v="1"/>
    <n v="10"/>
    <n v="24.9"/>
    <m/>
    <n v="782.25770833333297"/>
    <n v="0.28943535208333299"/>
    <n v="782.25770833333297"/>
    <n v="0.28943535208333299"/>
    <m/>
  </r>
  <r>
    <s v="5849.3"/>
    <x v="2"/>
    <x v="7"/>
    <x v="0"/>
    <s v="20A"/>
    <s v="160"/>
    <s v="Limnococcus limneticus_x000a_"/>
    <b v="0"/>
    <n v="10"/>
    <n v="9.6666666666666696"/>
    <m/>
    <n v="182.21263888888899"/>
    <n v="8.1995687500000095E-2"/>
    <n v="0"/>
    <n v="0"/>
    <m/>
  </r>
  <r>
    <s v="5849.4"/>
    <x v="2"/>
    <x v="7"/>
    <x v="0"/>
    <s v="20A"/>
    <s v="160"/>
    <s v="Pseudanabaena sp."/>
    <b v="1"/>
    <n v="10"/>
    <n v="8"/>
    <m/>
    <n v="25.1327777777778"/>
    <n v="9.8017833333333398E-4"/>
    <n v="25.1327777777778"/>
    <n v="9.8017833333333398E-4"/>
    <m/>
  </r>
  <r>
    <s v="5844.1"/>
    <x v="3"/>
    <x v="8"/>
    <x v="0"/>
    <s v="20A"/>
    <s v="Whole Plate"/>
    <s v="Phormidium sp"/>
    <b v="1"/>
    <n v="10"/>
    <n v="40"/>
    <m/>
    <n v="16"/>
    <n v="1.49344E-3"/>
    <n v="16"/>
    <n v="1.49344E-3"/>
    <m/>
  </r>
  <r>
    <s v="5844.2"/>
    <x v="3"/>
    <x v="8"/>
    <x v="0"/>
    <s v="20A"/>
    <s v="Whole Plate"/>
    <s v="Planktothrix sp"/>
    <b v="1"/>
    <n v="10"/>
    <n v="48"/>
    <m/>
    <n v="4.8"/>
    <n v="1.5072E-3"/>
    <n v="4.8"/>
    <n v="1.5072E-3"/>
    <m/>
  </r>
  <r>
    <s v="5844.3"/>
    <x v="3"/>
    <x v="8"/>
    <x v="0"/>
    <s v="20A"/>
    <s v="Whole Plate"/>
    <s v="Dolichospermum circinale"/>
    <b v="1"/>
    <n v="10"/>
    <n v="21"/>
    <n v="1"/>
    <n v="44.1"/>
    <n v="2.5385723999999998E-2"/>
    <n v="44.1"/>
    <n v="2.5385723999999998E-2"/>
    <m/>
  </r>
  <r>
    <s v="5844.4"/>
    <x v="3"/>
    <x v="8"/>
    <x v="0"/>
    <s v="20A"/>
    <s v="Whole Plate"/>
    <s v="Pseudanabaena sp."/>
    <b v="1"/>
    <n v="10"/>
    <n v="16.5"/>
    <n v="6"/>
    <n v="42.9"/>
    <n v="1.6731000000000001E-3"/>
    <n v="42.9"/>
    <n v="1.6731000000000001E-3"/>
    <m/>
  </r>
  <r>
    <s v="5844.5"/>
    <x v="3"/>
    <x v="8"/>
    <x v="0"/>
    <s v="20A"/>
    <s v="Whole Plate"/>
    <s v="Dolichospermum planctonicum "/>
    <b v="1"/>
    <n v="10"/>
    <n v="23.65"/>
    <n v="12"/>
    <n v="75.680000000000007"/>
    <n v="2.8001600000000001E-2"/>
    <n v="75.680000000000007"/>
    <n v="2.8001600000000001E-2"/>
    <m/>
  </r>
  <r>
    <s v="5839.1"/>
    <x v="3"/>
    <x v="9"/>
    <x v="0"/>
    <s v="20A"/>
    <s v="160"/>
    <s v="Dolichospermum circinale"/>
    <b v="1"/>
    <n v="10"/>
    <n v="23.3333333333333"/>
    <m/>
    <n v="879.64722222222201"/>
    <n v="0.50636012699999999"/>
    <n v="879.64722222222201"/>
    <n v="0.50636012699999999"/>
    <m/>
  </r>
  <r>
    <s v="5839.2"/>
    <x v="3"/>
    <x v="9"/>
    <x v="0"/>
    <s v="20A"/>
    <s v="160"/>
    <s v="Dolichospermum planctonicum "/>
    <b v="1"/>
    <n v="10"/>
    <n v="40.6666666666667"/>
    <m/>
    <n v="383.27486111111102"/>
    <n v="0.14181169861111101"/>
    <n v="383.27486111111102"/>
    <n v="0.14181169861111101"/>
    <m/>
  </r>
  <r>
    <s v="5839.3"/>
    <x v="3"/>
    <x v="9"/>
    <x v="0"/>
    <s v="20A"/>
    <s v="160"/>
    <s v="Pseudanabaena sp."/>
    <b v="1"/>
    <n v="10"/>
    <n v="15.6"/>
    <m/>
    <n v="245.04458333333301"/>
    <n v="9.5567387499999896E-3"/>
    <n v="245.04458333333301"/>
    <n v="9.5567387499999896E-3"/>
    <m/>
  </r>
  <r>
    <s v="5839.4"/>
    <x v="3"/>
    <x v="9"/>
    <x v="0"/>
    <s v="20A"/>
    <s v="160"/>
    <s v="Microcystis wesenbergii"/>
    <b v="1"/>
    <n v="10"/>
    <n v="52"/>
    <m/>
    <n v="163.363055555556"/>
    <n v="3.1092890363889E-2"/>
    <n v="163.363055555556"/>
    <n v="3.1092890363889E-2"/>
    <s v="Microcystis spp._x000a_"/>
  </r>
  <r>
    <s v="5845.1"/>
    <x v="3"/>
    <x v="10"/>
    <x v="0"/>
    <s v="20A"/>
    <s v="160"/>
    <s v="Oscillatoria sp"/>
    <b v="1"/>
    <n v="10"/>
    <n v="63"/>
    <m/>
    <n v="593.76187500000003"/>
    <n v="1.6058289909375001"/>
    <n v="593.76187500000003"/>
    <n v="1.6058289909375001"/>
    <m/>
  </r>
  <r>
    <s v="5845.2"/>
    <x v="3"/>
    <x v="10"/>
    <x v="0"/>
    <s v="20A"/>
    <s v="160"/>
    <s v="Pseudanabaena sp."/>
    <b v="1"/>
    <n v="10"/>
    <n v="12.55"/>
    <n v="16"/>
    <n v="1419.3736249999999"/>
    <n v="5.5355571375000003E-2"/>
    <n v="1419.3736249999999"/>
    <n v="5.5355571375000003E-2"/>
    <m/>
  </r>
  <r>
    <s v="5838.1"/>
    <x v="3"/>
    <x v="11"/>
    <x v="0"/>
    <s v="20A"/>
    <s v="160"/>
    <s v="Dolichospermum planctonicum "/>
    <b v="1"/>
    <n v="10"/>
    <n v="9.28571428571429"/>
    <m/>
    <n v="204.20381944444401"/>
    <n v="7.5555413194444296E-2"/>
    <n v="204.20381944444401"/>
    <n v="7.5555413194444296E-2"/>
    <m/>
  </r>
  <r>
    <s v="5838.2"/>
    <x v="3"/>
    <x v="11"/>
    <x v="0"/>
    <s v="20A"/>
    <s v="160"/>
    <s v="Dolichospermum circinale"/>
    <b v="1"/>
    <n v="10"/>
    <n v="19.3333333333333"/>
    <m/>
    <n v="364.42527777777798"/>
    <n v="0.2097777669"/>
    <n v="364.42527777777798"/>
    <n v="0.2097777669"/>
    <m/>
  </r>
  <r>
    <s v="5843.1"/>
    <x v="4"/>
    <x v="12"/>
    <x v="0"/>
    <s v="20A"/>
    <s v="160"/>
    <s v="Dolichospermum planctonicum "/>
    <b v="1"/>
    <n v="10"/>
    <n v="31.6"/>
    <m/>
    <n v="496.37236111111099"/>
    <n v="0.18365777361111099"/>
    <n v="496.37236111111099"/>
    <n v="0.18365777361111099"/>
    <m/>
  </r>
  <r>
    <s v="5843.2"/>
    <x v="4"/>
    <x v="12"/>
    <x v="0"/>
    <s v="20A"/>
    <s v="160"/>
    <s v="Aphanocapsa sp"/>
    <b v="0"/>
    <n v="10"/>
    <n v="85.071428571428598"/>
    <m/>
    <n v="3741.6422916666702"/>
    <n v="8.4186951562500098E-3"/>
    <n v="0"/>
    <n v="0"/>
    <m/>
  </r>
  <r>
    <s v="5843.3"/>
    <x v="4"/>
    <x v="12"/>
    <x v="0"/>
    <s v="20A"/>
    <s v="160"/>
    <s v="Dolichospermum circinale"/>
    <b v="1"/>
    <n v="10"/>
    <n v="16.8"/>
    <n v="71"/>
    <n v="4802.8738333333304"/>
    <n v="2.7647262934199999"/>
    <n v="4802.8738333333304"/>
    <n v="2.7647262934199999"/>
    <m/>
  </r>
  <r>
    <s v="5843.4"/>
    <x v="4"/>
    <x v="12"/>
    <x v="0"/>
    <s v="20A"/>
    <s v="160"/>
    <s v="Planktothrix sp"/>
    <b v="1"/>
    <n v="10"/>
    <n v="104"/>
    <m/>
    <n v="326.72611111111098"/>
    <n v="0.10259199888888899"/>
    <n v="326.72611111111098"/>
    <n v="0.10259199888888899"/>
    <m/>
  </r>
  <r>
    <s v="5843.5"/>
    <x v="4"/>
    <x v="12"/>
    <x v="0"/>
    <s v="20A"/>
    <s v="160"/>
    <s v="Dolichospermum spiroides"/>
    <b v="1"/>
    <n v="10"/>
    <n v="27"/>
    <m/>
    <n v="169.64625000000001"/>
    <n v="4.4108025000000002E-2"/>
    <n v="169.64625000000001"/>
    <n v="4.4108025000000002E-2"/>
    <m/>
  </r>
  <r>
    <s v="5843.6"/>
    <x v="4"/>
    <x v="12"/>
    <x v="0"/>
    <s v="20A"/>
    <s v="160"/>
    <s v="Woronichinia naegeliana"/>
    <b v="1"/>
    <n v="10"/>
    <n v="456"/>
    <m/>
    <n v="1432.56833333333"/>
    <n v="0"/>
    <n v="1432.56833333333"/>
    <n v="0"/>
    <m/>
  </r>
  <r>
    <s v="5843.7"/>
    <x v="4"/>
    <x v="12"/>
    <x v="0"/>
    <s v="20A"/>
    <s v="160"/>
    <s v="Pseudanabaena sp."/>
    <b v="1"/>
    <n v="10"/>
    <n v="11"/>
    <m/>
    <n v="69.115138888888893"/>
    <n v="2.69549041666667E-3"/>
    <n v="69.115138888888893"/>
    <n v="2.69549041666667E-3"/>
    <m/>
  </r>
  <r>
    <s v="5830.1"/>
    <x v="0"/>
    <x v="0"/>
    <x v="1"/>
    <s v="20A"/>
    <s v="160"/>
    <s v="Dolichospermum circinale"/>
    <b v="1"/>
    <n v="10"/>
    <n v="25.5"/>
    <m/>
    <n v="640.88583333333304"/>
    <n v="0.36891952109999998"/>
    <n v="640.88583333333304"/>
    <n v="0.36891952109999998"/>
    <m/>
  </r>
  <r>
    <s v="5830.2"/>
    <x v="0"/>
    <x v="0"/>
    <x v="1"/>
    <s v="20A"/>
    <s v="160"/>
    <s v="Microcystis wesenbergii"/>
    <b v="1"/>
    <n v="10"/>
    <n v="37"/>
    <m/>
    <n v="232.478194444444"/>
    <n v="4.4247574748610997E-2"/>
    <n v="232.478194444444"/>
    <n v="4.4247574748610997E-2"/>
    <s v="Microcystis spp._x000a_"/>
  </r>
  <r>
    <s v="5830.3"/>
    <x v="0"/>
    <x v="0"/>
    <x v="1"/>
    <s v="20A"/>
    <s v="160"/>
    <s v="Dolichospermum planctonicum "/>
    <b v="1"/>
    <n v="10"/>
    <n v="12.4"/>
    <m/>
    <n v="194.779027777778"/>
    <n v="7.2068240277777904E-2"/>
    <n v="194.779027777778"/>
    <n v="7.2068240277777904E-2"/>
    <m/>
  </r>
  <r>
    <s v="5830.4"/>
    <x v="0"/>
    <x v="0"/>
    <x v="1"/>
    <s v="20A"/>
    <s v="160"/>
    <s v="Oscillatoria sp"/>
    <b v="1"/>
    <n v="10"/>
    <n v="62"/>
    <m/>
    <n v="389.558055555556"/>
    <n v="1.0535597612500001"/>
    <n v="389.558055555556"/>
    <n v="1.0535597612500001"/>
    <m/>
  </r>
  <r>
    <s v="5831.1"/>
    <x v="1"/>
    <x v="1"/>
    <x v="1"/>
    <s v="20A"/>
    <s v="Whole Plate"/>
    <s v="Microcystis aeruginosa"/>
    <b v="1"/>
    <n v="10"/>
    <n v="27.8"/>
    <m/>
    <n v="27.8"/>
    <n v="2.4185999999999999E-3"/>
    <n v="27.8"/>
    <n v="2.4185999999999999E-3"/>
    <s v="Microcystis spp._x000a_"/>
  </r>
  <r>
    <s v="5831.2"/>
    <x v="1"/>
    <x v="1"/>
    <x v="1"/>
    <s v="20A"/>
    <s v="Whole Plate"/>
    <s v="Dolichospermum spiroides"/>
    <b v="1"/>
    <n v="10"/>
    <n v="20.6666666666667"/>
    <m/>
    <n v="6.2"/>
    <n v="1.6119999999999999E-3"/>
    <n v="6.2"/>
    <n v="1.6119999999999999E-3"/>
    <m/>
  </r>
  <r>
    <s v="5831.3"/>
    <x v="1"/>
    <x v="1"/>
    <x v="1"/>
    <s v="20A"/>
    <s v="Whole Plate"/>
    <s v="Pseudanabaena sp."/>
    <b v="1"/>
    <n v="10"/>
    <n v="10.6666666666667"/>
    <m/>
    <n v="12.8"/>
    <n v="4.9919999999999999E-4"/>
    <n v="12.8"/>
    <n v="4.9919999999999999E-4"/>
    <m/>
  </r>
  <r>
    <s v="5831.4"/>
    <x v="1"/>
    <x v="1"/>
    <x v="1"/>
    <s v="20A"/>
    <s v="Whole Plate"/>
    <s v="Anabaena torulosa"/>
    <b v="1"/>
    <n v="10"/>
    <n v="16"/>
    <m/>
    <n v="1.6"/>
    <n v="3.5359999999999998E-4"/>
    <n v="1.6"/>
    <n v="3.5359999999999998E-4"/>
    <m/>
  </r>
  <r>
    <s v="5831.5"/>
    <x v="1"/>
    <x v="1"/>
    <x v="1"/>
    <s v="20A"/>
    <s v="Whole Plate"/>
    <s v="Dolichospermum lemmermannii"/>
    <b v="1"/>
    <n v="10"/>
    <n v="15.636363636363599"/>
    <m/>
    <n v="17.2"/>
    <n v="1.892E-3"/>
    <n v="17.2"/>
    <n v="1.892E-3"/>
    <m/>
  </r>
  <r>
    <s v="5831.6"/>
    <x v="1"/>
    <x v="1"/>
    <x v="1"/>
    <s v="20A"/>
    <s v="Whole Plate"/>
    <s v="Aphanocapsa sp"/>
    <b v="0"/>
    <n v="10"/>
    <n v="20"/>
    <m/>
    <n v="2"/>
    <n v="4.5000000000000001E-6"/>
    <n v="0"/>
    <n v="0"/>
    <m/>
  </r>
  <r>
    <s v="5831.7"/>
    <x v="1"/>
    <x v="1"/>
    <x v="1"/>
    <s v="20A"/>
    <s v="Whole Plate"/>
    <s v="Microcystis wesenbergii"/>
    <b v="1"/>
    <n v="10"/>
    <n v="28"/>
    <m/>
    <n v="2.8"/>
    <n v="5.3292400000000005E-4"/>
    <n v="2.8"/>
    <n v="5.3292400000000005E-4"/>
    <s v="Microcystis spp._x000a_"/>
  </r>
  <r>
    <s v="5835.1"/>
    <x v="1"/>
    <x v="2"/>
    <x v="1"/>
    <s v="20A"/>
    <s v="160"/>
    <s v="Microcystis flos-aquae"/>
    <b v="1"/>
    <n v="10"/>
    <n v="61"/>
    <m/>
    <n v="383.27486111111102"/>
    <n v="8.4320469444444397E-3"/>
    <n v="383.27486111111102"/>
    <n v="8.4320469444444397E-3"/>
    <s v="Microcystis spp._x000a_"/>
  </r>
  <r>
    <s v="5835.2"/>
    <x v="1"/>
    <x v="2"/>
    <x v="1"/>
    <s v="20A"/>
    <s v="160"/>
    <s v="Dolichospermum lemmermannii"/>
    <b v="1"/>
    <n v="10"/>
    <n v="29.75"/>
    <m/>
    <n v="1121.5502083333299"/>
    <n v="0.123370522916666"/>
    <n v="1121.5502083333299"/>
    <n v="0.123370522916666"/>
    <m/>
  </r>
  <r>
    <s v="5835.3"/>
    <x v="1"/>
    <x v="2"/>
    <x v="1"/>
    <s v="20A"/>
    <s v="160"/>
    <s v="Anabaena torulosa"/>
    <b v="1"/>
    <n v="10"/>
    <n v="18.399999999999999"/>
    <m/>
    <n v="289.02694444444398"/>
    <n v="6.3874954722222099E-2"/>
    <n v="289.02694444444398"/>
    <n v="6.3874954722222099E-2"/>
    <m/>
  </r>
  <r>
    <s v="5835.4"/>
    <x v="1"/>
    <x v="2"/>
    <x v="1"/>
    <s v="20A"/>
    <s v="160"/>
    <s v="Dolichospermum planctonicum "/>
    <b v="1"/>
    <n v="10"/>
    <n v="23"/>
    <m/>
    <n v="144.51347222222199"/>
    <n v="5.34699847222221E-2"/>
    <n v="144.51347222222199"/>
    <n v="5.34699847222221E-2"/>
    <m/>
  </r>
  <r>
    <s v="5835.5"/>
    <x v="1"/>
    <x v="2"/>
    <x v="1"/>
    <s v="20A"/>
    <s v="160"/>
    <s v="Aphanocapsa sp"/>
    <b v="0"/>
    <n v="10"/>
    <n v="38"/>
    <m/>
    <n v="119.380694444444"/>
    <n v="2.6860656249999901E-4"/>
    <n v="0"/>
    <n v="0"/>
    <m/>
  </r>
  <r>
    <s v="5835.6"/>
    <x v="1"/>
    <x v="2"/>
    <x v="1"/>
    <s v="20A"/>
    <s v="160"/>
    <s v="Merismopedia sp"/>
    <b v="0"/>
    <n v="10"/>
    <n v="8"/>
    <m/>
    <n v="25.1327777777778"/>
    <n v="5.5292111111111201E-4"/>
    <n v="0"/>
    <n v="0"/>
    <m/>
  </r>
  <r>
    <s v="5835.7"/>
    <x v="1"/>
    <x v="2"/>
    <x v="1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34.1"/>
    <x v="2"/>
    <x v="3"/>
    <x v="1"/>
    <s v="20A"/>
    <s v="Whole Plate"/>
    <s v="Dolichospermum circinale"/>
    <b v="1"/>
    <n v="10"/>
    <n v="20"/>
    <m/>
    <n v="10"/>
    <n v="5.7564000000000001E-3"/>
    <n v="10"/>
    <n v="5.7564000000000001E-3"/>
    <m/>
  </r>
  <r>
    <s v="5834.2"/>
    <x v="2"/>
    <x v="3"/>
    <x v="1"/>
    <s v="20A"/>
    <s v="Whole Plate"/>
    <s v="Dolichospermum planctonicum "/>
    <b v="1"/>
    <n v="10"/>
    <n v="21"/>
    <m/>
    <n v="23.1"/>
    <n v="8.5470000000000008E-3"/>
    <n v="23.1"/>
    <n v="8.5470000000000008E-3"/>
    <m/>
  </r>
  <r>
    <s v="5834.3"/>
    <x v="2"/>
    <x v="3"/>
    <x v="1"/>
    <s v="20A"/>
    <s v="Whole Plate"/>
    <s v="Dolichospermum lemmermannii"/>
    <b v="1"/>
    <n v="10"/>
    <n v="12"/>
    <m/>
    <n v="14.4"/>
    <n v="1.5839999999999999E-3"/>
    <n v="14.4"/>
    <n v="1.5839999999999999E-3"/>
    <m/>
  </r>
  <r>
    <s v="5834.4"/>
    <x v="2"/>
    <x v="3"/>
    <x v="1"/>
    <s v="20A"/>
    <s v="Whole Plate"/>
    <s v="Pseudanabaena limnetica (cylinder)"/>
    <b v="1"/>
    <n v="10"/>
    <n v="10.1428571428571"/>
    <m/>
    <n v="7.1"/>
    <n v="5.6090000000000003E-4"/>
    <n v="7.1"/>
    <n v="5.6090000000000003E-4"/>
    <m/>
  </r>
  <r>
    <s v="5834.5"/>
    <x v="2"/>
    <x v="3"/>
    <x v="1"/>
    <s v="20A"/>
    <s v="Whole Plate"/>
    <s v="Aphanocapsa sp"/>
    <b v="0"/>
    <n v="10"/>
    <n v="23"/>
    <m/>
    <n v="13.8"/>
    <n v="3.1050000000000003E-5"/>
    <n v="0"/>
    <n v="0"/>
    <m/>
  </r>
  <r>
    <s v="5826.1"/>
    <x v="2"/>
    <x v="4"/>
    <x v="1"/>
    <s v="20A"/>
    <s v="160"/>
    <s v="Dolichospermum planctonicum "/>
    <b v="1"/>
    <n v="10"/>
    <n v="10.8"/>
    <n v="48"/>
    <n v="2307.1889999999999"/>
    <n v="0.85365992999999996"/>
    <n v="2307.1889999999999"/>
    <n v="0.85365992999999996"/>
    <m/>
  </r>
  <r>
    <s v="5826.2"/>
    <x v="2"/>
    <x v="4"/>
    <x v="1"/>
    <s v="20A"/>
    <s v="160"/>
    <s v="Dolichospermum lemmermannii"/>
    <b v="1"/>
    <n v="10"/>
    <n v="34"/>
    <m/>
    <n v="213.62861111111101"/>
    <n v="2.34991472222222E-2"/>
    <n v="213.62861111111101"/>
    <n v="2.34991472222222E-2"/>
    <m/>
  </r>
  <r>
    <s v="5826.3"/>
    <x v="2"/>
    <x v="4"/>
    <x v="1"/>
    <s v="20A"/>
    <s v="160"/>
    <s v="Dolichospermum smithii"/>
    <b v="1"/>
    <n v="10"/>
    <n v="45"/>
    <m/>
    <n v="424.11562500000002"/>
    <n v="0.18364206562499999"/>
    <n v="424.11562500000002"/>
    <n v="0.18364206562499999"/>
    <m/>
  </r>
  <r>
    <s v="5826.4"/>
    <x v="2"/>
    <x v="4"/>
    <x v="1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26.5"/>
    <x v="2"/>
    <x v="4"/>
    <x v="1"/>
    <s v="20A"/>
    <s v="160"/>
    <s v="Aphanocapsa sp"/>
    <b v="0"/>
    <n v="10"/>
    <n v="228"/>
    <m/>
    <n v="716.28416666666703"/>
    <n v="1.611639375E-3"/>
    <n v="0"/>
    <n v="0"/>
    <m/>
  </r>
  <r>
    <s v="5829.1"/>
    <x v="2"/>
    <x v="5"/>
    <x v="1"/>
    <s v="20A"/>
    <s v="160"/>
    <s v="Dolichospermum circinale"/>
    <b v="1"/>
    <n v="10"/>
    <n v="21.733333333333299"/>
    <m/>
    <n v="1024.16069444444"/>
    <n v="0.58954786214999699"/>
    <n v="1024.16069444444"/>
    <n v="0.58954786214999699"/>
    <m/>
  </r>
  <r>
    <s v="5829.2"/>
    <x v="2"/>
    <x v="5"/>
    <x v="1"/>
    <s v="20A"/>
    <s v="160"/>
    <s v="Dolichospermum planctonicum "/>
    <b v="1"/>
    <n v="10"/>
    <n v="23.6666666666667"/>
    <m/>
    <n v="223.05340277777799"/>
    <n v="8.2529759027777899E-2"/>
    <n v="223.05340277777799"/>
    <n v="8.2529759027777899E-2"/>
    <m/>
  </r>
  <r>
    <s v="5829.3"/>
    <x v="2"/>
    <x v="5"/>
    <x v="1"/>
    <s v="20A"/>
    <s v="160"/>
    <s v="Dolichospermum spiroides"/>
    <b v="1"/>
    <n v="10"/>
    <n v="42"/>
    <m/>
    <n v="131.94708333333301"/>
    <n v="3.4306241666666598E-2"/>
    <n v="131.94708333333301"/>
    <n v="3.4306241666666598E-2"/>
    <m/>
  </r>
  <r>
    <s v="5829.4"/>
    <x v="2"/>
    <x v="5"/>
    <x v="1"/>
    <s v="20A"/>
    <s v="160"/>
    <s v="Microcystis sp"/>
    <b v="1"/>
    <n v="10"/>
    <n v="18"/>
    <m/>
    <n v="56.548749999999998"/>
    <n v="4.0601194655867203E-3"/>
    <n v="56.548749999999998"/>
    <n v="4.0601194655867203E-3"/>
    <s v="Microcystis spp._x000a_"/>
  </r>
  <r>
    <s v="5829.5"/>
    <x v="2"/>
    <x v="5"/>
    <x v="1"/>
    <s v="20A"/>
    <s v="160"/>
    <s v="Aphanocapsa sp"/>
    <b v="0"/>
    <n v="10"/>
    <n v="22"/>
    <m/>
    <n v="69.115138888888893"/>
    <n v="1.5550906250000001E-4"/>
    <n v="0"/>
    <n v="0"/>
    <m/>
  </r>
  <r>
    <s v="5837.1"/>
    <x v="2"/>
    <x v="6"/>
    <x v="1"/>
    <s v="20A"/>
    <s v="Whole Plate"/>
    <s v="Dolichospermum planctonicum "/>
    <b v="1"/>
    <n v="10"/>
    <n v="21.45"/>
    <n v="2"/>
    <n v="47.19"/>
    <n v="1.7460300000000002E-2"/>
    <n v="47.19"/>
    <n v="1.7460300000000002E-2"/>
    <m/>
  </r>
  <r>
    <s v="5837.2"/>
    <x v="2"/>
    <x v="6"/>
    <x v="1"/>
    <s v="20A"/>
    <s v="Whole Plate"/>
    <s v="Dolichospermum circinale"/>
    <b v="1"/>
    <n v="10"/>
    <n v="19.466666666666701"/>
    <m/>
    <n v="29.2"/>
    <n v="1.6808687999999999E-2"/>
    <n v="29.2"/>
    <n v="1.6808687999999999E-2"/>
    <m/>
  </r>
  <r>
    <s v="5837.3"/>
    <x v="2"/>
    <x v="6"/>
    <x v="1"/>
    <s v="20A"/>
    <s v="Whole Plate"/>
    <s v="Aphanocapsa sp"/>
    <b v="0"/>
    <n v="10"/>
    <n v="24.3333333333333"/>
    <m/>
    <n v="14.6"/>
    <n v="3.2849999999999999E-5"/>
    <n v="0"/>
    <n v="0"/>
    <m/>
  </r>
  <r>
    <s v="5837.4"/>
    <x v="2"/>
    <x v="6"/>
    <x v="1"/>
    <s v="20A"/>
    <s v="Whole Plate"/>
    <s v="Microcystis wesenbergii"/>
    <b v="1"/>
    <n v="10"/>
    <n v="70"/>
    <m/>
    <n v="7"/>
    <n v="1.33231E-3"/>
    <n v="7"/>
    <n v="1.33231E-3"/>
    <s v="Microcystis spp._x000a_"/>
  </r>
  <r>
    <s v="5836.1"/>
    <x v="2"/>
    <x v="7"/>
    <x v="1"/>
    <s v="20A"/>
    <s v="160"/>
    <s v="Dolichospermum planctonicum "/>
    <b v="1"/>
    <n v="10"/>
    <n v="17.25"/>
    <m/>
    <n v="650.31062499999996"/>
    <n v="0.24061493125"/>
    <n v="650.31062499999996"/>
    <n v="0.24061493125"/>
    <m/>
  </r>
  <r>
    <s v="5836.2"/>
    <x v="2"/>
    <x v="7"/>
    <x v="1"/>
    <s v="20A"/>
    <s v="160"/>
    <s v="Dolichospermum circinale"/>
    <b v="1"/>
    <n v="10"/>
    <n v="21.6666666666667"/>
    <m/>
    <n v="408.40763888888898"/>
    <n v="0.23509577325"/>
    <n v="408.40763888888898"/>
    <n v="0.23509577325"/>
    <m/>
  </r>
  <r>
    <s v="5833.1"/>
    <x v="3"/>
    <x v="8"/>
    <x v="1"/>
    <s v="20A"/>
    <s v="Whole Plate"/>
    <s v="Dolichospermum planctonicum "/>
    <b v="1"/>
    <n v="10"/>
    <n v="21.15"/>
    <n v="4"/>
    <n v="50.76"/>
    <n v="1.8781200000000001E-2"/>
    <n v="50.76"/>
    <n v="1.8781200000000001E-2"/>
    <m/>
  </r>
  <r>
    <s v="5833.2"/>
    <x v="3"/>
    <x v="8"/>
    <x v="1"/>
    <s v="20A"/>
    <s v="Whole Plate"/>
    <s v="Dolichospermum circinale"/>
    <b v="1"/>
    <n v="10"/>
    <n v="45.6"/>
    <m/>
    <n v="68.400000000000006"/>
    <n v="3.9373775999999999E-2"/>
    <n v="68.400000000000006"/>
    <n v="3.9373775999999999E-2"/>
    <m/>
  </r>
  <r>
    <s v="5828.1"/>
    <x v="3"/>
    <x v="9"/>
    <x v="1"/>
    <s v="20A"/>
    <s v="Whole Plate"/>
    <s v="Pseudanabaena sp."/>
    <b v="1"/>
    <n v="10"/>
    <n v="11.4"/>
    <n v="137"/>
    <n v="178.98"/>
    <n v="6.9802199999999997E-3"/>
    <n v="178.98"/>
    <n v="6.9802199999999997E-3"/>
    <m/>
  </r>
  <r>
    <s v="5828.2"/>
    <x v="3"/>
    <x v="9"/>
    <x v="1"/>
    <s v="20A"/>
    <s v="Whole Plate"/>
    <s v="Oscillatoria sp"/>
    <b v="1"/>
    <n v="10"/>
    <n v="22"/>
    <m/>
    <n v="6.6"/>
    <n v="1.78497E-2"/>
    <n v="6.6"/>
    <n v="1.78497E-2"/>
    <m/>
  </r>
  <r>
    <s v="5828.3"/>
    <x v="3"/>
    <x v="9"/>
    <x v="1"/>
    <s v="20A"/>
    <s v="Whole Plate"/>
    <s v="Dolichospermum circinale"/>
    <b v="1"/>
    <n v="10"/>
    <n v="14.875"/>
    <m/>
    <n v="11.9"/>
    <n v="6.8501159999999998E-3"/>
    <n v="11.9"/>
    <n v="6.8501159999999998E-3"/>
    <m/>
  </r>
  <r>
    <s v="5828.4"/>
    <x v="3"/>
    <x v="9"/>
    <x v="1"/>
    <s v="20A"/>
    <s v="Whole Plate"/>
    <s v="Dolichospermum planctonicum "/>
    <b v="1"/>
    <n v="10"/>
    <n v="47"/>
    <m/>
    <n v="9.4"/>
    <n v="3.4780000000000002E-3"/>
    <n v="9.4"/>
    <n v="3.4780000000000002E-3"/>
    <m/>
  </r>
  <r>
    <s v="5825.1"/>
    <x v="3"/>
    <x v="10"/>
    <x v="1"/>
    <s v="20A"/>
    <s v="Whole Plate"/>
    <s v="Pseudanabaena galeata (cylinder)"/>
    <b v="1"/>
    <n v="10"/>
    <n v="9.3333333333333304"/>
    <m/>
    <n v="2.8"/>
    <n v="1.6799999999999999E-4"/>
    <n v="2.8"/>
    <n v="1.6799999999999999E-4"/>
    <m/>
  </r>
  <r>
    <s v="5825.2"/>
    <x v="3"/>
    <x v="10"/>
    <x v="1"/>
    <s v="20A"/>
    <s v="Whole Plate"/>
    <s v="Pseudanabaena limnetica (cylinder)"/>
    <b v="1"/>
    <n v="10"/>
    <n v="16.071428571428601"/>
    <m/>
    <n v="22.5"/>
    <n v="1.7775E-3"/>
    <n v="22.5"/>
    <n v="1.7775E-3"/>
    <m/>
  </r>
  <r>
    <s v="5825.3"/>
    <x v="3"/>
    <x v="10"/>
    <x v="1"/>
    <s v="20A"/>
    <s v="Whole Plate"/>
    <s v="Dolichospermum circinale"/>
    <b v="1"/>
    <n v="10"/>
    <n v="33.3333333333333"/>
    <m/>
    <n v="40"/>
    <n v="2.30256E-2"/>
    <n v="40"/>
    <n v="2.30256E-2"/>
    <m/>
  </r>
  <r>
    <s v="5825.4"/>
    <x v="3"/>
    <x v="10"/>
    <x v="1"/>
    <s v="20A"/>
    <s v="Whole Plate"/>
    <s v="Dolichospermum spiroides"/>
    <b v="1"/>
    <n v="10"/>
    <n v="32"/>
    <m/>
    <n v="3.2"/>
    <n v="8.3199999999999995E-4"/>
    <n v="3.2"/>
    <n v="8.3199999999999995E-4"/>
    <m/>
  </r>
  <r>
    <s v="5825.5"/>
    <x v="3"/>
    <x v="10"/>
    <x v="1"/>
    <s v="20A"/>
    <s v="Whole Plate"/>
    <s v="Oscillatoria sp"/>
    <b v="1"/>
    <n v="10"/>
    <n v="16"/>
    <m/>
    <n v="3.2"/>
    <n v="8.6543999999999996E-3"/>
    <n v="3.2"/>
    <n v="8.6543999999999996E-3"/>
    <m/>
  </r>
  <r>
    <s v="5825.6"/>
    <x v="3"/>
    <x v="10"/>
    <x v="1"/>
    <s v="20A"/>
    <s v="Whole Plate"/>
    <s v="Dolichospermum planctonicum "/>
    <b v="1"/>
    <n v="10"/>
    <n v="22.6666666666667"/>
    <m/>
    <n v="6.8"/>
    <n v="2.516E-3"/>
    <n v="6.8"/>
    <n v="2.516E-3"/>
    <m/>
  </r>
  <r>
    <s v="5827.1"/>
    <x v="3"/>
    <x v="11"/>
    <x v="1"/>
    <s v="20A"/>
    <s v="160"/>
    <s v="Dolichospermum circinale"/>
    <b v="1"/>
    <n v="10"/>
    <n v="22.6"/>
    <n v="7"/>
    <n v="1917.0026250000001"/>
    <n v="1.1035033910550001"/>
    <n v="1917.0026250000001"/>
    <n v="1.1035033910550001"/>
    <m/>
  </r>
  <r>
    <s v="5827.2"/>
    <x v="3"/>
    <x v="11"/>
    <x v="1"/>
    <s v="20A"/>
    <s v="160"/>
    <s v="Dolichospermum planctonicum "/>
    <b v="1"/>
    <n v="10"/>
    <n v="27"/>
    <m/>
    <n v="339.29250000000002"/>
    <n v="0.125538225"/>
    <n v="339.29250000000002"/>
    <n v="0.125538225"/>
    <m/>
  </r>
  <r>
    <s v="5827.3"/>
    <x v="3"/>
    <x v="11"/>
    <x v="1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27.4"/>
    <x v="3"/>
    <x v="11"/>
    <x v="1"/>
    <s v="20A"/>
    <s v="160"/>
    <s v="Dolichospermum spiroides"/>
    <b v="1"/>
    <n v="10"/>
    <n v="34.5"/>
    <m/>
    <n v="216.77020833333299"/>
    <n v="5.6360254166666603E-2"/>
    <n v="216.77020833333299"/>
    <n v="5.6360254166666603E-2"/>
    <m/>
  </r>
  <r>
    <s v="5832.1"/>
    <x v="4"/>
    <x v="12"/>
    <x v="1"/>
    <s v="20A"/>
    <s v="160"/>
    <s v="Aphanocapsa sp"/>
    <b v="0"/>
    <n v="10"/>
    <n v="52.65"/>
    <n v="144"/>
    <n v="27126.435375000001"/>
    <n v="6.1034479593750003E-2"/>
    <n v="0"/>
    <n v="0"/>
    <m/>
  </r>
  <r>
    <s v="5832.2"/>
    <x v="4"/>
    <x v="12"/>
    <x v="1"/>
    <s v="20A"/>
    <s v="160"/>
    <s v="Dolichospermum circinale"/>
    <b v="1"/>
    <n v="10"/>
    <n v="24.25"/>
    <n v="49"/>
    <n v="5256.6775520833298"/>
    <n v="3.0259538660812502"/>
    <n v="5256.6775520833298"/>
    <n v="3.0259538660812502"/>
    <m/>
  </r>
  <r>
    <s v="5832.3"/>
    <x v="4"/>
    <x v="12"/>
    <x v="1"/>
    <s v="20A"/>
    <s v="160"/>
    <s v="Dolichospermum spiroides"/>
    <b v="1"/>
    <n v="10"/>
    <n v="22.6666666666667"/>
    <m/>
    <n v="213.62861111111101"/>
    <n v="5.5543438888888901E-2"/>
    <n v="213.62861111111101"/>
    <n v="5.5543438888888901E-2"/>
    <m/>
  </r>
  <r>
    <s v="5832.4"/>
    <x v="4"/>
    <x v="12"/>
    <x v="1"/>
    <s v="20A"/>
    <s v="160"/>
    <s v="Phormidium sp"/>
    <b v="1"/>
    <n v="10"/>
    <n v="40"/>
    <m/>
    <n v="125.66388888888901"/>
    <n v="1.1729467388888901E-2"/>
    <n v="125.66388888888901"/>
    <n v="1.1729467388888901E-2"/>
    <m/>
  </r>
  <r>
    <s v="5832.5"/>
    <x v="4"/>
    <x v="12"/>
    <x v="1"/>
    <s v="20A"/>
    <s v="160"/>
    <s v="Dolichospermum planctonicum "/>
    <b v="1"/>
    <n v="10"/>
    <n v="38"/>
    <m/>
    <n v="119.380694444444"/>
    <n v="4.4170856944444302E-2"/>
    <n v="119.380694444444"/>
    <n v="4.4170856944444302E-2"/>
    <m/>
  </r>
  <r>
    <s v="5819.1"/>
    <x v="0"/>
    <x v="0"/>
    <x v="2"/>
    <s v="20A"/>
    <s v="160"/>
    <s v="Dolichospermum circinale"/>
    <b v="1"/>
    <n v="10"/>
    <n v="28.6666666666667"/>
    <m/>
    <n v="1080.7094444444399"/>
    <n v="0.62209958459999704"/>
    <n v="1080.7094444444399"/>
    <n v="0.62209958459999704"/>
    <m/>
  </r>
  <r>
    <s v="5819.2"/>
    <x v="0"/>
    <x v="0"/>
    <x v="2"/>
    <s v="20A"/>
    <s v="160"/>
    <s v="Microcystis sp"/>
    <b v="1"/>
    <n v="10"/>
    <n v="30"/>
    <m/>
    <n v="188.495833333333"/>
    <n v="1.35337315519557E-2"/>
    <n v="188.495833333333"/>
    <n v="1.35337315519557E-2"/>
    <s v="Microcystis spp._x000a_"/>
  </r>
  <r>
    <s v="5819.3"/>
    <x v="0"/>
    <x v="0"/>
    <x v="2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815.1"/>
    <x v="1"/>
    <x v="1"/>
    <x v="2"/>
    <s v="20A"/>
    <s v="160"/>
    <s v="Microcystis wesenbergii"/>
    <b v="1"/>
    <n v="10"/>
    <n v="34.6666666666667"/>
    <m/>
    <n v="326.72611111111098"/>
    <n v="6.2185780727777799E-2"/>
    <n v="326.72611111111098"/>
    <n v="6.2185780727777799E-2"/>
    <s v="Microcystis spp._x000a_"/>
  </r>
  <r>
    <s v="5815.2"/>
    <x v="1"/>
    <x v="1"/>
    <x v="2"/>
    <s v="20A"/>
    <s v="160"/>
    <s v="Dolichospermum sp"/>
    <b v="1"/>
    <n v="10"/>
    <n v="24.3"/>
    <n v="8"/>
    <n v="2137.5427500000001"/>
    <n v="0.4061331225"/>
    <n v="2137.5427500000001"/>
    <n v="0.4061331225"/>
    <m/>
  </r>
  <r>
    <s v="5815.3"/>
    <x v="1"/>
    <x v="1"/>
    <x v="2"/>
    <s v="20A"/>
    <s v="160"/>
    <s v="Anabaena torulosa"/>
    <b v="1"/>
    <n v="10"/>
    <n v="10"/>
    <m/>
    <n v="31.415972222222202"/>
    <n v="6.94292986111111E-3"/>
    <n v="31.415972222222202"/>
    <n v="6.94292986111111E-3"/>
    <m/>
  </r>
  <r>
    <s v="5815.4"/>
    <x v="1"/>
    <x v="1"/>
    <x v="2"/>
    <s v="20A"/>
    <s v="160"/>
    <s v="Picocyanobacteria"/>
    <b v="1"/>
    <n v="10"/>
    <n v="46.6666666666667"/>
    <m/>
    <n v="439.82361111111101"/>
    <n v="2.2870827777777801E-4"/>
    <n v="439.82361111111101"/>
    <n v="2.2870827777777801E-4"/>
    <m/>
  </r>
  <r>
    <s v="5815.5"/>
    <x v="1"/>
    <x v="1"/>
    <x v="2"/>
    <s v="20A"/>
    <s v="160"/>
    <s v="Dolichospermum spiroides"/>
    <b v="1"/>
    <n v="10"/>
    <n v="16"/>
    <m/>
    <n v="50.265555555555601"/>
    <n v="1.30690444444445E-2"/>
    <n v="50.265555555555601"/>
    <n v="1.30690444444445E-2"/>
    <m/>
  </r>
  <r>
    <s v="5815.6"/>
    <x v="1"/>
    <x v="1"/>
    <x v="2"/>
    <s v="20A"/>
    <s v="160"/>
    <s v="Dolichospermum planctonicum "/>
    <b v="1"/>
    <n v="10"/>
    <n v="22.3333333333333"/>
    <m/>
    <n v="210.48701388888901"/>
    <n v="7.78801951388889E-2"/>
    <n v="210.48701388888901"/>
    <n v="7.78801951388889E-2"/>
    <m/>
  </r>
  <r>
    <s v="5824.1"/>
    <x v="1"/>
    <x v="2"/>
    <x v="2"/>
    <s v="20A"/>
    <s v="Whole Plate"/>
    <s v="Microcystis sp"/>
    <b v="1"/>
    <n v="10"/>
    <n v="21.1"/>
    <m/>
    <n v="21.1"/>
    <n v="1.5149498569620001E-3"/>
    <n v="21.1"/>
    <n v="1.5149498569620001E-3"/>
    <s v="Microcystis spp._x000a_"/>
  </r>
  <r>
    <s v="5824.2"/>
    <x v="1"/>
    <x v="2"/>
    <x v="2"/>
    <s v="20A"/>
    <s v="Whole Plate"/>
    <s v="Oscillatoria sp"/>
    <b v="1"/>
    <n v="10"/>
    <n v="162"/>
    <m/>
    <n v="32.4"/>
    <n v="8.7625800000000004E-2"/>
    <n v="32.4"/>
    <n v="8.7625800000000004E-2"/>
    <m/>
  </r>
  <r>
    <s v="5824.3"/>
    <x v="1"/>
    <x v="2"/>
    <x v="2"/>
    <s v="20A"/>
    <s v="Whole Plate"/>
    <s v="Merismopedia sp"/>
    <b v="0"/>
    <n v="10"/>
    <n v="24"/>
    <m/>
    <n v="4.8"/>
    <n v="1.0560000000000001E-4"/>
    <n v="0"/>
    <n v="0"/>
    <m/>
  </r>
  <r>
    <s v="5824.4"/>
    <x v="1"/>
    <x v="2"/>
    <x v="2"/>
    <s v="20A"/>
    <s v="Whole Plate"/>
    <s v="Pseudanabaena limnetica (cylinder)"/>
    <b v="1"/>
    <n v="10"/>
    <n v="12.6666666666667"/>
    <m/>
    <n v="7.6"/>
    <n v="6.0039999999999996E-4"/>
    <n v="7.6"/>
    <n v="6.0039999999999996E-4"/>
    <m/>
  </r>
  <r>
    <s v="5824.5"/>
    <x v="1"/>
    <x v="2"/>
    <x v="2"/>
    <s v="20A"/>
    <s v="Whole Plate"/>
    <s v="Dolichospermum sp"/>
    <b v="1"/>
    <n v="10"/>
    <n v="13.3333333333333"/>
    <m/>
    <n v="4"/>
    <n v="7.6000000000000004E-4"/>
    <n v="4"/>
    <n v="7.6000000000000004E-4"/>
    <m/>
  </r>
  <r>
    <s v="5824.6"/>
    <x v="1"/>
    <x v="2"/>
    <x v="2"/>
    <s v="20A"/>
    <s v="Whole Plate"/>
    <s v="Anabaena torulosa"/>
    <b v="1"/>
    <n v="10"/>
    <n v="16"/>
    <m/>
    <n v="1.6"/>
    <n v="3.5359999999999998E-4"/>
    <n v="1.6"/>
    <n v="3.5359999999999998E-4"/>
    <m/>
  </r>
  <r>
    <s v="5824.7"/>
    <x v="1"/>
    <x v="2"/>
    <x v="2"/>
    <s v="20A"/>
    <s v="Whole Plate"/>
    <s v="Coelosphaerium kuetzingianum"/>
    <b v="0"/>
    <n v="10"/>
    <n v="44"/>
    <m/>
    <n v="8.8000000000000007"/>
    <n v="7.8232000000000006E-5"/>
    <n v="0"/>
    <n v="0"/>
    <m/>
  </r>
  <r>
    <s v="5821.1"/>
    <x v="2"/>
    <x v="3"/>
    <x v="2"/>
    <s v="20A"/>
    <s v="Whole Plate"/>
    <s v="Dolichospermum sp"/>
    <b v="1"/>
    <n v="10"/>
    <n v="20.75"/>
    <n v="20"/>
    <n v="83"/>
    <n v="1.5769999999999999E-2"/>
    <n v="83"/>
    <n v="1.5769999999999999E-2"/>
    <m/>
  </r>
  <r>
    <s v="5821.2"/>
    <x v="2"/>
    <x v="3"/>
    <x v="2"/>
    <s v="20A"/>
    <s v="Whole Plate"/>
    <s v="Dolichospermum sp"/>
    <b v="1"/>
    <n v="10"/>
    <n v="20.75"/>
    <n v="20"/>
    <n v="83"/>
    <n v="1.5769999999999999E-2"/>
    <n v="83"/>
    <n v="1.5769999999999999E-2"/>
    <m/>
  </r>
  <r>
    <s v="5821.3"/>
    <x v="2"/>
    <x v="3"/>
    <x v="2"/>
    <s v="20A"/>
    <s v="Whole Plate"/>
    <s v="Dolichospermum planctonicum "/>
    <b v="1"/>
    <n v="10"/>
    <n v="10.6666666666667"/>
    <m/>
    <n v="3.2"/>
    <n v="1.1839999999999999E-3"/>
    <n v="3.2"/>
    <n v="1.1839999999999999E-3"/>
    <m/>
  </r>
  <r>
    <s v="5821.4"/>
    <x v="2"/>
    <x v="3"/>
    <x v="2"/>
    <s v="20A"/>
    <s v="Whole Plate"/>
    <s v="Pseudanabaena limnetica (cylinder)"/>
    <b v="1"/>
    <n v="10"/>
    <n v="15"/>
    <m/>
    <n v="3"/>
    <n v="2.3699999999999999E-4"/>
    <n v="3"/>
    <n v="2.3699999999999999E-4"/>
    <m/>
  </r>
  <r>
    <s v="5813.1"/>
    <x v="2"/>
    <x v="4"/>
    <x v="2"/>
    <s v="20A"/>
    <s v="160"/>
    <s v="Dolichospermum planctonicum "/>
    <b v="1"/>
    <n v="10"/>
    <n v="14.4285714285714"/>
    <m/>
    <n v="634.60263888888903"/>
    <n v="0.234802976388889"/>
    <n v="634.60263888888903"/>
    <n v="0.234802976388889"/>
    <m/>
  </r>
  <r>
    <s v="5813.2"/>
    <x v="2"/>
    <x v="4"/>
    <x v="2"/>
    <s v="20A"/>
    <s v="160"/>
    <s v="Dolichospermum circinale"/>
    <b v="1"/>
    <n v="10"/>
    <n v="12.6666666666667"/>
    <m/>
    <n v="238.761388888889"/>
    <n v="0.13744060590000001"/>
    <n v="238.761388888889"/>
    <n v="0.13744060590000001"/>
    <m/>
  </r>
  <r>
    <s v="5813.3"/>
    <x v="2"/>
    <x v="4"/>
    <x v="2"/>
    <s v="20A"/>
    <s v="160"/>
    <s v="Pseudanabaena limnetica (cylinder)"/>
    <b v="1"/>
    <n v="10"/>
    <n v="8"/>
    <m/>
    <n v="25.1327777777778"/>
    <n v="1.98548944444445E-3"/>
    <n v="25.1327777777778"/>
    <n v="1.98548944444445E-3"/>
    <m/>
  </r>
  <r>
    <s v="5812.1"/>
    <x v="2"/>
    <x v="5"/>
    <x v="2"/>
    <s v="20A"/>
    <s v="160"/>
    <s v="Merismopedia sp"/>
    <b v="0"/>
    <n v="10"/>
    <n v="32"/>
    <m/>
    <n v="100.531111111111"/>
    <n v="2.2116844444444398E-3"/>
    <n v="0"/>
    <n v="0"/>
    <m/>
  </r>
  <r>
    <s v="5812.2"/>
    <x v="2"/>
    <x v="5"/>
    <x v="2"/>
    <s v="20A"/>
    <s v="160"/>
    <s v="Dolichospermum circinale"/>
    <b v="1"/>
    <n v="10"/>
    <n v="19.923076923076898"/>
    <m/>
    <n v="813.67368055555596"/>
    <n v="0.468383117475"/>
    <n v="813.67368055555596"/>
    <n v="0.468383117475"/>
    <m/>
  </r>
  <r>
    <s v="5812.3"/>
    <x v="2"/>
    <x v="5"/>
    <x v="2"/>
    <s v="20A"/>
    <s v="160"/>
    <s v="Dolichospermum planctonicum "/>
    <b v="1"/>
    <n v="10"/>
    <n v="35"/>
    <m/>
    <n v="219.91180555555599"/>
    <n v="8.1367368055555694E-2"/>
    <n v="219.91180555555599"/>
    <n v="8.1367368055555694E-2"/>
    <m/>
  </r>
  <r>
    <s v="5823.1"/>
    <x v="2"/>
    <x v="6"/>
    <x v="2"/>
    <s v="20A"/>
    <s v="Whole Plate"/>
    <s v="Dolichospermum sp"/>
    <b v="1"/>
    <n v="10"/>
    <n v="17.7"/>
    <n v="4"/>
    <n v="42.48"/>
    <n v="8.0712000000000006E-3"/>
    <n v="42.48"/>
    <n v="8.0712000000000006E-3"/>
    <m/>
  </r>
  <r>
    <s v="5823.2"/>
    <x v="2"/>
    <x v="6"/>
    <x v="2"/>
    <s v="20A"/>
    <s v="Whole Plate"/>
    <s v="Dolichospermum planctonicum "/>
    <b v="1"/>
    <n v="10"/>
    <n v="9"/>
    <m/>
    <n v="2.7"/>
    <n v="9.990000000000001E-4"/>
    <n v="2.7"/>
    <n v="9.990000000000001E-4"/>
    <m/>
  </r>
  <r>
    <s v="5822.1"/>
    <x v="2"/>
    <x v="7"/>
    <x v="2"/>
    <s v="20A"/>
    <s v="Whole Plate"/>
    <s v="Dolichospermum planctonicum "/>
    <b v="1"/>
    <n v="10"/>
    <n v="23.25"/>
    <n v="34"/>
    <n v="125.55"/>
    <n v="4.6453500000000002E-2"/>
    <n v="125.55"/>
    <n v="4.6453500000000002E-2"/>
    <m/>
  </r>
  <r>
    <s v="5822.2"/>
    <x v="2"/>
    <x v="7"/>
    <x v="2"/>
    <s v="20A"/>
    <s v="Whole Plate"/>
    <s v="Dolichospermum spiroides"/>
    <b v="1"/>
    <n v="10"/>
    <n v="12"/>
    <m/>
    <n v="1.2"/>
    <n v="3.1199999999999999E-4"/>
    <n v="1.2"/>
    <n v="3.1199999999999999E-4"/>
    <m/>
  </r>
  <r>
    <s v="5822.3"/>
    <x v="2"/>
    <x v="7"/>
    <x v="2"/>
    <s v="20A"/>
    <s v="Whole Plate"/>
    <s v="Dolichospermum sp"/>
    <b v="1"/>
    <n v="10"/>
    <n v="20.2"/>
    <n v="29"/>
    <n v="98.98"/>
    <n v="1.8806199999999999E-2"/>
    <n v="98.98"/>
    <n v="1.8806199999999999E-2"/>
    <m/>
  </r>
  <r>
    <s v="5820.1"/>
    <x v="3"/>
    <x v="8"/>
    <x v="2"/>
    <s v="20A"/>
    <s v="160"/>
    <s v="Pseudanabaena limnetica (cylinder)"/>
    <b v="1"/>
    <n v="10"/>
    <n v="15.2"/>
    <m/>
    <n v="238.761388888889"/>
    <n v="1.88621497222222E-2"/>
    <n v="238.761388888889"/>
    <n v="1.88621497222222E-2"/>
    <m/>
  </r>
  <r>
    <s v="5820.2"/>
    <x v="3"/>
    <x v="8"/>
    <x v="2"/>
    <s v="20A"/>
    <s v="160"/>
    <s v="Dolichospermum circinale"/>
    <b v="1"/>
    <n v="10"/>
    <n v="23"/>
    <m/>
    <n v="1011.59430555556"/>
    <n v="0.58231414605000298"/>
    <n v="1011.59430555556"/>
    <n v="0.58231414605000298"/>
    <m/>
  </r>
  <r>
    <s v="5820.3"/>
    <x v="3"/>
    <x v="8"/>
    <x v="2"/>
    <s v="20A"/>
    <s v="160"/>
    <s v="Dolichospermum planctonicum "/>
    <b v="1"/>
    <n v="10"/>
    <n v="26.6666666666667"/>
    <m/>
    <n v="251.32777777777801"/>
    <n v="9.2991277777777895E-2"/>
    <n v="251.32777777777801"/>
    <n v="9.2991277777777895E-2"/>
    <m/>
  </r>
  <r>
    <s v="5816.1"/>
    <x v="3"/>
    <x v="9"/>
    <x v="2"/>
    <s v="20A"/>
    <s v="160"/>
    <s v="Pseudanabaena limnetica (cylinder)"/>
    <b v="1"/>
    <n v="10"/>
    <n v="14"/>
    <m/>
    <n v="351.858888888889"/>
    <n v="2.7796852222222199E-2"/>
    <n v="351.858888888889"/>
    <n v="2.7796852222222199E-2"/>
    <m/>
  </r>
  <r>
    <s v="5816.2"/>
    <x v="3"/>
    <x v="9"/>
    <x v="2"/>
    <s v="20A"/>
    <s v="160"/>
    <s v="Dolichospermum circinale"/>
    <b v="1"/>
    <n v="10"/>
    <n v="32.266666666666701"/>
    <m/>
    <n v="1520.5330555555599"/>
    <n v="0.87527964810000303"/>
    <n v="1520.5330555555599"/>
    <n v="0.87527964810000303"/>
    <m/>
  </r>
  <r>
    <s v="5814.1"/>
    <x v="3"/>
    <x v="10"/>
    <x v="2"/>
    <s v="20A"/>
    <s v="160"/>
    <s v="Dolichospermum circinale"/>
    <b v="1"/>
    <n v="10"/>
    <n v="35.714285714285701"/>
    <m/>
    <n v="1570.7986111111099"/>
    <n v="0.90421451249999896"/>
    <n v="1570.7986111111099"/>
    <n v="0.90421451249999896"/>
    <m/>
  </r>
  <r>
    <s v="5814.2"/>
    <x v="3"/>
    <x v="10"/>
    <x v="2"/>
    <s v="20A"/>
    <s v="160"/>
    <s v="Dolichospermum planctonicum "/>
    <b v="1"/>
    <n v="10"/>
    <n v="30.052631578947398"/>
    <m/>
    <n v="1793.85201388889"/>
    <n v="0.66372524513888898"/>
    <n v="1793.85201388889"/>
    <n v="0.66372524513888898"/>
    <m/>
  </r>
  <r>
    <s v="5814.3"/>
    <x v="3"/>
    <x v="10"/>
    <x v="2"/>
    <s v="20A"/>
    <s v="160"/>
    <s v="Microcystis wesenbergii"/>
    <b v="1"/>
    <n v="10"/>
    <n v="18"/>
    <m/>
    <n v="56.548749999999998"/>
    <n v="1.0762923587500001E-2"/>
    <n v="56.548749999999998"/>
    <n v="1.0762923587500001E-2"/>
    <s v="Microcystis spp._x000a_"/>
  </r>
  <r>
    <s v="5817.1"/>
    <x v="3"/>
    <x v="11"/>
    <x v="2"/>
    <s v="20A"/>
    <s v="160"/>
    <s v="Dolichospermum circinale"/>
    <b v="1"/>
    <n v="10"/>
    <n v="25.428571428571399"/>
    <m/>
    <n v="1118.4086111111101"/>
    <n v="0.64380073289999895"/>
    <n v="1118.4086111111101"/>
    <n v="0.64380073289999895"/>
    <m/>
  </r>
  <r>
    <s v="5817.2"/>
    <x v="3"/>
    <x v="11"/>
    <x v="2"/>
    <s v="20A"/>
    <s v="160"/>
    <s v="Dolichospermum planctonicum "/>
    <b v="1"/>
    <n v="10"/>
    <n v="15.3333333333333"/>
    <m/>
    <n v="144.51347222222199"/>
    <n v="5.34699847222221E-2"/>
    <n v="144.51347222222199"/>
    <n v="5.34699847222221E-2"/>
    <m/>
  </r>
  <r>
    <s v="5818.1"/>
    <x v="4"/>
    <x v="12"/>
    <x v="2"/>
    <s v="20A"/>
    <s v="160"/>
    <s v="Dolichospermum spiroides"/>
    <b v="1"/>
    <n v="10"/>
    <n v="29.6666666666667"/>
    <m/>
    <n v="559.20430555555504"/>
    <n v="0.145393119444445"/>
    <n v="559.20430555555595"/>
    <n v="0.145393119444445"/>
    <m/>
  </r>
  <r>
    <s v="5818.2"/>
    <x v="4"/>
    <x v="12"/>
    <x v="2"/>
    <s v="20A"/>
    <s v="160"/>
    <s v="Dolichospermum circinale"/>
    <b v="1"/>
    <n v="10"/>
    <n v="22.75"/>
    <n v="75"/>
    <n v="6789.7769965277803"/>
    <n v="3.90846723028125"/>
    <n v="6789.7769965277803"/>
    <n v="3.90846723028125"/>
    <m/>
  </r>
  <r>
    <s v="5818.3"/>
    <x v="4"/>
    <x v="12"/>
    <x v="2"/>
    <s v="20A"/>
    <s v="160"/>
    <s v="Dolichospermum planctonicum "/>
    <b v="1"/>
    <n v="10"/>
    <n v="14.5"/>
    <m/>
    <n v="182.21263888888899"/>
    <n v="6.7418676388888904E-2"/>
    <n v="182.21263888888899"/>
    <n v="6.7418676388888904E-2"/>
    <m/>
  </r>
  <r>
    <s v="5803.1"/>
    <x v="0"/>
    <x v="0"/>
    <x v="3"/>
    <s v="20A"/>
    <s v="160"/>
    <s v="Dolichospermum circinale"/>
    <b v="1"/>
    <n v="10"/>
    <n v="28.647058823529399"/>
    <m/>
    <n v="1529.9578472222199"/>
    <n v="0.88070493517499904"/>
    <n v="1529.9578472222199"/>
    <n v="0.88070493517499904"/>
    <m/>
  </r>
  <r>
    <s v="5803.2"/>
    <x v="0"/>
    <x v="0"/>
    <x v="3"/>
    <s v="20A"/>
    <s v="160"/>
    <s v="Limnococcus limneticus_x000a_"/>
    <b v="0"/>
    <n v="10"/>
    <n v="15"/>
    <m/>
    <n v="94.247916666666697"/>
    <n v="4.24115625E-2"/>
    <n v="0"/>
    <n v="0"/>
    <m/>
  </r>
  <r>
    <s v="5803.3"/>
    <x v="0"/>
    <x v="0"/>
    <x v="3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803.4"/>
    <x v="0"/>
    <x v="0"/>
    <x v="3"/>
    <s v="20A"/>
    <s v="160"/>
    <s v="Microcystis sp"/>
    <b v="1"/>
    <n v="10"/>
    <n v="22"/>
    <m/>
    <n v="69.115138888888893"/>
    <n v="4.9623682357171099E-3"/>
    <n v="69.115138888888893"/>
    <n v="4.9623682357171099E-3"/>
    <s v="Microcystis spp._x000a_"/>
  </r>
  <r>
    <s v="5807.1"/>
    <x v="1"/>
    <x v="1"/>
    <x v="3"/>
    <s v="20A"/>
    <s v="Whole Plate"/>
    <s v="Microcystis sp"/>
    <b v="1"/>
    <n v="10"/>
    <n v="22"/>
    <m/>
    <n v="11"/>
    <n v="7.8978428561999995E-4"/>
    <n v="11"/>
    <n v="7.8978428561999995E-4"/>
    <s v="Microcystis spp._x000a_"/>
  </r>
  <r>
    <s v="5807.2"/>
    <x v="1"/>
    <x v="1"/>
    <x v="3"/>
    <s v="20A"/>
    <s v="Whole Plate"/>
    <s v="Anabaena torulosa"/>
    <b v="1"/>
    <n v="10"/>
    <n v="14.7272727272727"/>
    <m/>
    <n v="16.2"/>
    <n v="3.5802E-3"/>
    <n v="16.2"/>
    <n v="3.5802E-3"/>
    <m/>
  </r>
  <r>
    <s v="5807.3"/>
    <x v="1"/>
    <x v="1"/>
    <x v="3"/>
    <s v="20A"/>
    <s v="Whole Plate"/>
    <s v="Pseudanabaena limnetica (cylinder)"/>
    <b v="1"/>
    <n v="10"/>
    <n v="13"/>
    <m/>
    <n v="5.2"/>
    <n v="4.1080000000000001E-4"/>
    <n v="5.2"/>
    <n v="4.1080000000000001E-4"/>
    <m/>
  </r>
  <r>
    <s v="5807.4"/>
    <x v="1"/>
    <x v="1"/>
    <x v="3"/>
    <s v="20A"/>
    <s v="Whole Plate"/>
    <s v="Dolichospermum lemmermannii"/>
    <b v="1"/>
    <n v="10"/>
    <n v="24.5"/>
    <m/>
    <n v="9.8000000000000007"/>
    <n v="1.078E-3"/>
    <n v="9.8000000000000007"/>
    <n v="1.078E-3"/>
    <m/>
  </r>
  <r>
    <s v="5807.5"/>
    <x v="1"/>
    <x v="1"/>
    <x v="3"/>
    <s v="20A"/>
    <s v="Whole Plate"/>
    <s v="Microcystis flos-aquae"/>
    <b v="1"/>
    <n v="10"/>
    <n v="108"/>
    <m/>
    <n v="21.6"/>
    <n v="4.752E-4"/>
    <n v="21.6"/>
    <n v="4.752E-4"/>
    <s v="Microcystis spp._x000a_"/>
  </r>
  <r>
    <s v="5807.6"/>
    <x v="1"/>
    <x v="1"/>
    <x v="3"/>
    <s v="20A"/>
    <s v="Whole Plate"/>
    <s v="Aphanocapsa holsatica"/>
    <b v="0"/>
    <n v="10"/>
    <n v="120"/>
    <m/>
    <n v="12"/>
    <n v="6.0000000000000002E-6"/>
    <n v="0"/>
    <n v="0"/>
    <m/>
  </r>
  <r>
    <s v="5808.1"/>
    <x v="1"/>
    <x v="2"/>
    <x v="3"/>
    <s v="20A"/>
    <s v="Whole Plate"/>
    <s v="Microcystis sp"/>
    <b v="1"/>
    <n v="10"/>
    <n v="18.399999999999999"/>
    <m/>
    <n v="18.399999999999999"/>
    <n v="1.321093714128E-3"/>
    <n v="18.399999999999999"/>
    <n v="1.321093714128E-3"/>
    <s v="Microcystis spp._x000a_"/>
  </r>
  <r>
    <s v="5808.2"/>
    <x v="1"/>
    <x v="2"/>
    <x v="3"/>
    <s v="20A"/>
    <s v="Whole Plate"/>
    <s v="Dolichospermum lemmermannii"/>
    <b v="1"/>
    <n v="10"/>
    <n v="17.899999999999999"/>
    <n v="12"/>
    <n v="57.28"/>
    <n v="6.3007999999999996E-3"/>
    <n v="57.28"/>
    <n v="6.3007999999999996E-3"/>
    <m/>
  </r>
  <r>
    <s v="5808.3"/>
    <x v="1"/>
    <x v="2"/>
    <x v="3"/>
    <s v="20A"/>
    <s v="Whole Plate"/>
    <s v="Oscillatoria sp"/>
    <b v="1"/>
    <n v="10"/>
    <n v="28"/>
    <m/>
    <n v="2.8"/>
    <n v="7.5725999999999996E-3"/>
    <n v="2.8"/>
    <n v="7.5725999999999996E-3"/>
    <m/>
  </r>
  <r>
    <s v="5808.4"/>
    <x v="1"/>
    <x v="2"/>
    <x v="3"/>
    <s v="20A"/>
    <s v="Whole Plate"/>
    <s v="Dolichospermum planctonicum "/>
    <b v="1"/>
    <n v="10"/>
    <n v="18"/>
    <m/>
    <n v="5.4"/>
    <n v="1.9980000000000002E-3"/>
    <n v="5.4"/>
    <n v="1.9980000000000002E-3"/>
    <m/>
  </r>
  <r>
    <s v="5808.5"/>
    <x v="1"/>
    <x v="2"/>
    <x v="3"/>
    <s v="20A"/>
    <s v="Whole Plate"/>
    <s v="Pseudanabaena limnetica (cylinder)"/>
    <b v="1"/>
    <n v="10"/>
    <n v="15.8571428571429"/>
    <m/>
    <n v="11.1"/>
    <n v="8.7690000000000001E-4"/>
    <n v="11.1"/>
    <n v="8.7690000000000001E-4"/>
    <m/>
  </r>
  <r>
    <s v="5808.6"/>
    <x v="1"/>
    <x v="2"/>
    <x v="3"/>
    <s v="20A"/>
    <s v="Whole Plate"/>
    <s v="Anabaena torulosa"/>
    <b v="1"/>
    <n v="10"/>
    <n v="24"/>
    <m/>
    <n v="4.8"/>
    <n v="1.0608E-3"/>
    <n v="4.8"/>
    <n v="1.0608E-3"/>
    <m/>
  </r>
  <r>
    <s v="5808.7"/>
    <x v="1"/>
    <x v="2"/>
    <x v="3"/>
    <s v="20A"/>
    <s v="Whole Plate"/>
    <s v="Merismopedia sp"/>
    <b v="0"/>
    <n v="10"/>
    <n v="32"/>
    <m/>
    <n v="3.2"/>
    <n v="7.0400000000000004E-5"/>
    <n v="0"/>
    <n v="0"/>
    <m/>
  </r>
  <r>
    <s v="5809.1"/>
    <x v="2"/>
    <x v="3"/>
    <x v="3"/>
    <s v="20A"/>
    <s v="Whole Plate"/>
    <s v="Limnococcus limneticus_x000a_"/>
    <b v="0"/>
    <n v="10"/>
    <n v="28.6666666666667"/>
    <m/>
    <n v="17.2"/>
    <n v="7.7400000000000004E-3"/>
    <n v="0"/>
    <n v="0"/>
    <m/>
  </r>
  <r>
    <s v="5809.2"/>
    <x v="2"/>
    <x v="3"/>
    <x v="3"/>
    <s v="20A"/>
    <s v="Whole Plate"/>
    <s v="Dolichospermum sp"/>
    <b v="1"/>
    <n v="10"/>
    <n v="20.350000000000001"/>
    <n v="47"/>
    <n v="136.345"/>
    <n v="2.5905549999999999E-2"/>
    <n v="136.345"/>
    <n v="2.5905549999999999E-2"/>
    <m/>
  </r>
  <r>
    <s v="5809.3"/>
    <x v="2"/>
    <x v="3"/>
    <x v="3"/>
    <s v="20A"/>
    <s v="Whole Plate"/>
    <s v="Woronichinia naegeliana"/>
    <b v="1"/>
    <n v="10"/>
    <n v="178"/>
    <m/>
    <n v="17.8"/>
    <n v="0"/>
    <n v="17.8"/>
    <n v="0"/>
    <m/>
  </r>
  <r>
    <s v="5809.4"/>
    <x v="2"/>
    <x v="3"/>
    <x v="3"/>
    <s v="20A"/>
    <s v="Whole Plate"/>
    <s v="Anabaena torulosa"/>
    <b v="1"/>
    <n v="10"/>
    <n v="22"/>
    <m/>
    <n v="2.2000000000000002"/>
    <n v="4.862E-4"/>
    <n v="2.2000000000000002"/>
    <n v="4.862E-4"/>
    <m/>
  </r>
  <r>
    <s v="5804.1"/>
    <x v="2"/>
    <x v="4"/>
    <x v="3"/>
    <s v="20A"/>
    <s v="160"/>
    <s v="Woronichinia naegeliana"/>
    <b v="1"/>
    <n v="10"/>
    <n v="144"/>
    <m/>
    <n v="904.78"/>
    <n v="0"/>
    <n v="904.78"/>
    <n v="0"/>
    <m/>
  </r>
  <r>
    <s v="5804.2"/>
    <x v="2"/>
    <x v="4"/>
    <x v="3"/>
    <s v="20A"/>
    <s v="160"/>
    <s v="Dolichospermum sp"/>
    <b v="1"/>
    <n v="10"/>
    <n v="19.1428571428571"/>
    <m/>
    <n v="420.97402777777802"/>
    <n v="7.9985065277777795E-2"/>
    <n v="420.97402777777802"/>
    <n v="7.9985065277777795E-2"/>
    <m/>
  </r>
  <r>
    <s v="5804.3"/>
    <x v="2"/>
    <x v="4"/>
    <x v="3"/>
    <s v="20A"/>
    <s v="160"/>
    <s v="Dolichospermum planctonicum "/>
    <b v="1"/>
    <n v="10"/>
    <n v="12.25"/>
    <m/>
    <n v="153.938263888889"/>
    <n v="5.6957157638888901E-2"/>
    <n v="153.938263888889"/>
    <n v="5.6957157638888901E-2"/>
    <m/>
  </r>
  <r>
    <s v="5804.4"/>
    <x v="2"/>
    <x v="4"/>
    <x v="3"/>
    <s v="20A"/>
    <s v="160"/>
    <s v="Dolichospermum spiroides"/>
    <b v="1"/>
    <n v="10"/>
    <n v="24"/>
    <m/>
    <n v="75.398333333333298"/>
    <n v="1.96035666666667E-2"/>
    <n v="75.398333333333298"/>
    <n v="1.96035666666667E-2"/>
    <m/>
  </r>
  <r>
    <s v="5804.5"/>
    <x v="2"/>
    <x v="4"/>
    <x v="3"/>
    <s v="20A"/>
    <s v="160"/>
    <s v="Microcystis sp"/>
    <b v="1"/>
    <n v="10"/>
    <n v="22"/>
    <m/>
    <n v="69.115138888888893"/>
    <n v="4.9623682357171099E-3"/>
    <n v="69.115138888888893"/>
    <n v="4.9623682357171099E-3"/>
    <s v="Microcystis spp._x000a_"/>
  </r>
  <r>
    <s v="5804.6"/>
    <x v="2"/>
    <x v="4"/>
    <x v="3"/>
    <s v="20A"/>
    <s v="160"/>
    <s v="Dolichospermum circinale"/>
    <b v="1"/>
    <n v="10"/>
    <n v="20.8571428571429"/>
    <m/>
    <n v="458.67319444444399"/>
    <n v="0.26403063765000001"/>
    <n v="458.67319444444399"/>
    <n v="0.26403063765000001"/>
    <m/>
  </r>
  <r>
    <s v="5804.7"/>
    <x v="2"/>
    <x v="4"/>
    <x v="3"/>
    <s v="20A"/>
    <s v="160"/>
    <s v="Coelosphaerium kuetzingianum"/>
    <b v="0"/>
    <n v="10"/>
    <n v="44"/>
    <m/>
    <n v="138.23027777777801"/>
    <n v="1.22886716944445E-3"/>
    <n v="0"/>
    <n v="0"/>
    <m/>
  </r>
  <r>
    <s v="5802.1"/>
    <x v="2"/>
    <x v="5"/>
    <x v="3"/>
    <s v="20A"/>
    <s v="160"/>
    <s v="Limnococcus limneticus_x000a_"/>
    <b v="0"/>
    <n v="10"/>
    <n v="30"/>
    <m/>
    <n v="94.247916666666697"/>
    <n v="4.24115625E-2"/>
    <n v="0"/>
    <n v="0"/>
    <m/>
  </r>
  <r>
    <s v="5802.2"/>
    <x v="2"/>
    <x v="5"/>
    <x v="3"/>
    <s v="20A"/>
    <s v="160"/>
    <s v="Dolichospermum circinale"/>
    <b v="1"/>
    <n v="10"/>
    <n v="31.75"/>
    <m/>
    <n v="797.96569444444401"/>
    <n v="0.45934097234999999"/>
    <n v="797.96569444444401"/>
    <n v="0.45934097234999999"/>
    <m/>
  </r>
  <r>
    <s v="5802.3"/>
    <x v="2"/>
    <x v="5"/>
    <x v="3"/>
    <s v="20A"/>
    <s v="160"/>
    <s v="Dolichospermum planctonicum "/>
    <b v="1"/>
    <n v="10"/>
    <n v="29.3333333333333"/>
    <m/>
    <n v="276.46055555555603"/>
    <n v="0.102290405555556"/>
    <n v="276.46055555555603"/>
    <n v="0.102290405555556"/>
    <m/>
  </r>
  <r>
    <s v="5802.4"/>
    <x v="2"/>
    <x v="5"/>
    <x v="3"/>
    <s v="20A"/>
    <s v="160"/>
    <s v="Microcystis sp"/>
    <b v="1"/>
    <n v="10"/>
    <n v="47"/>
    <m/>
    <n v="295.31013888888901"/>
    <n v="2.1202846098063999E-2"/>
    <n v="295.31013888888901"/>
    <n v="2.1202846098063999E-2"/>
    <s v="Microcystis spp._x000a_"/>
  </r>
  <r>
    <s v="5810.1"/>
    <x v="2"/>
    <x v="6"/>
    <x v="3"/>
    <s v="20A"/>
    <s v="Whole Plate"/>
    <s v="Dolichospermum sp"/>
    <b v="1"/>
    <n v="10"/>
    <n v="16.7"/>
    <n v="25"/>
    <n v="75.150000000000006"/>
    <n v="1.42785E-2"/>
    <n v="75.150000000000006"/>
    <n v="1.42785E-2"/>
    <m/>
  </r>
  <r>
    <s v="5810.2"/>
    <x v="2"/>
    <x v="6"/>
    <x v="3"/>
    <s v="20A"/>
    <s v="Whole Plate"/>
    <s v="Dolichospermum planctonicum "/>
    <b v="1"/>
    <n v="10"/>
    <n v="14.6"/>
    <m/>
    <n v="7.3"/>
    <n v="2.7009999999999998E-3"/>
    <n v="7.3"/>
    <n v="2.7009999999999998E-3"/>
    <m/>
  </r>
  <r>
    <s v="5810.3"/>
    <x v="2"/>
    <x v="6"/>
    <x v="3"/>
    <s v="20A"/>
    <s v="Whole Plate"/>
    <s v="Dolichospermum spiroides"/>
    <b v="1"/>
    <n v="10"/>
    <n v="20"/>
    <m/>
    <n v="2"/>
    <n v="5.1999999999999995E-4"/>
    <n v="2"/>
    <n v="5.1999999999999995E-4"/>
    <m/>
  </r>
  <r>
    <s v="5810.4"/>
    <x v="2"/>
    <x v="6"/>
    <x v="3"/>
    <s v="20A"/>
    <s v="Whole Plate"/>
    <s v="Anabaena torulosa"/>
    <b v="1"/>
    <n v="10"/>
    <n v="20"/>
    <m/>
    <n v="2"/>
    <n v="4.4200000000000001E-4"/>
    <n v="2"/>
    <n v="4.4200000000000001E-4"/>
    <m/>
  </r>
  <r>
    <s v="5811.1"/>
    <x v="2"/>
    <x v="7"/>
    <x v="3"/>
    <s v="20A"/>
    <s v="Whole Plate"/>
    <s v="Dolichospermum sp"/>
    <b v="1"/>
    <n v="10"/>
    <n v="20.399999999999999"/>
    <n v="45"/>
    <n v="132.6"/>
    <n v="2.5194000000000001E-2"/>
    <n v="132.6"/>
    <n v="2.5194000000000001E-2"/>
    <m/>
  </r>
  <r>
    <s v="5811.2"/>
    <x v="2"/>
    <x v="7"/>
    <x v="3"/>
    <s v="20A"/>
    <s v="Whole Plate"/>
    <s v="Dolichospermum planctonicum "/>
    <b v="1"/>
    <n v="10"/>
    <n v="30"/>
    <m/>
    <n v="15"/>
    <n v="5.5500000000000002E-3"/>
    <n v="15"/>
    <n v="5.5500000000000002E-3"/>
    <m/>
  </r>
  <r>
    <s v="5811.3"/>
    <x v="2"/>
    <x v="7"/>
    <x v="3"/>
    <s v="20A"/>
    <s v="Whole Plate"/>
    <s v="Microcystis wesenbergii"/>
    <b v="1"/>
    <n v="10"/>
    <n v="42"/>
    <m/>
    <n v="4.2"/>
    <n v="7.9938600000000002E-4"/>
    <n v="4.2"/>
    <n v="7.9938600000000002E-4"/>
    <s v="Microcystis spp._x000a_"/>
  </r>
  <r>
    <s v="5811.4"/>
    <x v="2"/>
    <x v="7"/>
    <x v="3"/>
    <s v="20A"/>
    <s v="Whole Plate"/>
    <s v="Phormidium sp"/>
    <b v="1"/>
    <n v="10"/>
    <n v="18"/>
    <m/>
    <n v="1.8"/>
    <n v="1.6801199999999999E-4"/>
    <n v="1.8"/>
    <n v="1.6801199999999999E-4"/>
    <m/>
  </r>
  <r>
    <s v="5805.1"/>
    <x v="3"/>
    <x v="8"/>
    <x v="3"/>
    <s v="20A"/>
    <s v="Whole Plate"/>
    <s v="Dolichospermum sp"/>
    <b v="1"/>
    <n v="10"/>
    <n v="13.6"/>
    <m/>
    <n v="6.8"/>
    <n v="1.292E-3"/>
    <n v="6.8"/>
    <n v="1.292E-3"/>
    <m/>
  </r>
  <r>
    <s v="5805.2"/>
    <x v="3"/>
    <x v="8"/>
    <x v="3"/>
    <s v="20A"/>
    <s v="Whole Plate"/>
    <s v="Dolichospermum circinale"/>
    <b v="1"/>
    <n v="10"/>
    <n v="38.6666666666667"/>
    <m/>
    <n v="23.2"/>
    <n v="1.3354848000000001E-2"/>
    <n v="23.2"/>
    <n v="1.3354848000000001E-2"/>
    <m/>
  </r>
  <r>
    <s v="5805.3"/>
    <x v="3"/>
    <x v="8"/>
    <x v="3"/>
    <s v="20A"/>
    <s v="Whole Plate"/>
    <s v="Pseudanabaena limnetica (cylinder)"/>
    <b v="1"/>
    <n v="10"/>
    <n v="15"/>
    <m/>
    <n v="3"/>
    <n v="2.3699999999999999E-4"/>
    <n v="3"/>
    <n v="2.3699999999999999E-4"/>
    <m/>
  </r>
  <r>
    <s v="5805.4"/>
    <x v="3"/>
    <x v="8"/>
    <x v="3"/>
    <s v="20A"/>
    <s v="Whole Plate"/>
    <s v="Planktothrix sp"/>
    <b v="1"/>
    <n v="10"/>
    <n v="34"/>
    <m/>
    <n v="3.4"/>
    <n v="1.0675999999999999E-3"/>
    <n v="3.4"/>
    <n v="1.0675999999999999E-3"/>
    <m/>
  </r>
  <r>
    <s v="5805.5"/>
    <x v="3"/>
    <x v="8"/>
    <x v="3"/>
    <s v="20A"/>
    <s v="Whole Plate"/>
    <s v="Dolichospermum planctonicum "/>
    <b v="1"/>
    <n v="10"/>
    <n v="10"/>
    <m/>
    <n v="1"/>
    <n v="3.6999999999999999E-4"/>
    <n v="1"/>
    <n v="3.6999999999999999E-4"/>
    <m/>
  </r>
  <r>
    <s v="5805.6"/>
    <x v="3"/>
    <x v="8"/>
    <x v="3"/>
    <s v="20A"/>
    <s v="Whole Plate"/>
    <s v="Oscillatoria sp"/>
    <b v="1"/>
    <n v="10"/>
    <n v="18"/>
    <m/>
    <n v="1.8"/>
    <n v="4.8681000000000002E-3"/>
    <n v="1.8"/>
    <n v="4.8681000000000002E-3"/>
    <m/>
  </r>
  <r>
    <s v="5800.1"/>
    <x v="3"/>
    <x v="9"/>
    <x v="3"/>
    <s v="20A"/>
    <s v="160"/>
    <s v="Dolichospermum sp"/>
    <b v="1"/>
    <n v="10"/>
    <n v="7.3333333333333304"/>
    <m/>
    <n v="69.115138888888893"/>
    <n v="1.3131876388888899E-2"/>
    <n v="69.115138888888893"/>
    <n v="1.3131876388888899E-2"/>
    <m/>
  </r>
  <r>
    <s v="5800.2"/>
    <x v="3"/>
    <x v="9"/>
    <x v="3"/>
    <s v="20A"/>
    <s v="160"/>
    <s v="Dolichospermum spiroides"/>
    <b v="1"/>
    <n v="10"/>
    <n v="31"/>
    <m/>
    <n v="194.779027777778"/>
    <n v="5.0642547222222299E-2"/>
    <n v="194.779027777778"/>
    <n v="5.0642547222222299E-2"/>
    <m/>
  </r>
  <r>
    <s v="5800.3"/>
    <x v="3"/>
    <x v="9"/>
    <x v="3"/>
    <s v="20A"/>
    <s v="160"/>
    <s v="Pseudanabaena limnetica (cylinder)"/>
    <b v="1"/>
    <n v="10"/>
    <n v="14.6666666666667"/>
    <m/>
    <n v="276.46055555555603"/>
    <n v="2.1840383888888901E-2"/>
    <n v="276.46055555555603"/>
    <n v="2.1840383888888901E-2"/>
    <m/>
  </r>
  <r>
    <s v="5800.4"/>
    <x v="3"/>
    <x v="9"/>
    <x v="3"/>
    <s v="20A"/>
    <s v="160"/>
    <s v="Dolichospermum circinale"/>
    <b v="1"/>
    <n v="10"/>
    <n v="43.8"/>
    <m/>
    <n v="688.00979166666696"/>
    <n v="0.39604595647500002"/>
    <n v="688.00979166666696"/>
    <n v="0.39604595647500002"/>
    <m/>
  </r>
  <r>
    <s v="5800.5"/>
    <x v="3"/>
    <x v="9"/>
    <x v="3"/>
    <s v="20A"/>
    <s v="160"/>
    <s v="Phormidium sp"/>
    <b v="1"/>
    <n v="10"/>
    <n v="192"/>
    <m/>
    <n v="603.18666666666695"/>
    <n v="5.6301443466666698E-2"/>
    <n v="603.18666666666695"/>
    <n v="5.6301443466666698E-2"/>
    <m/>
  </r>
  <r>
    <s v="5806.1"/>
    <x v="3"/>
    <x v="10"/>
    <x v="3"/>
    <s v="20A"/>
    <s v="Whole Plate"/>
    <s v="Dolichospermum planctonicum "/>
    <b v="1"/>
    <n v="10"/>
    <n v="14.6666666666667"/>
    <m/>
    <n v="8.8000000000000007"/>
    <n v="3.2560000000000002E-3"/>
    <n v="8.8000000000000007"/>
    <n v="3.2560000000000002E-3"/>
    <m/>
  </r>
  <r>
    <s v="5806.2"/>
    <x v="3"/>
    <x v="10"/>
    <x v="3"/>
    <s v="20A"/>
    <s v="Whole Plate"/>
    <s v="Oscillatoria sp"/>
    <b v="1"/>
    <n v="10"/>
    <n v="44"/>
    <m/>
    <n v="8.8000000000000007"/>
    <n v="2.3799600000000001E-2"/>
    <n v="8.8000000000000007"/>
    <n v="2.3799600000000001E-2"/>
    <m/>
  </r>
  <r>
    <s v="5806.3"/>
    <x v="3"/>
    <x v="10"/>
    <x v="3"/>
    <s v="20A"/>
    <s v="Whole Plate"/>
    <s v="Pseudanabaena limnetica (cylinder)"/>
    <b v="1"/>
    <n v="10"/>
    <n v="8.8461538461538503"/>
    <m/>
    <n v="11.5"/>
    <n v="9.0850000000000002E-4"/>
    <n v="11.5"/>
    <n v="9.0850000000000002E-4"/>
    <m/>
  </r>
  <r>
    <s v="5806.4"/>
    <x v="3"/>
    <x v="10"/>
    <x v="3"/>
    <s v="20A"/>
    <s v="Whole Plate"/>
    <s v="Dolichospermum circinale"/>
    <b v="1"/>
    <n v="10"/>
    <n v="33.5"/>
    <m/>
    <n v="13.4"/>
    <n v="7.7135759999999998E-3"/>
    <n v="13.4"/>
    <n v="7.7135759999999998E-3"/>
    <m/>
  </r>
  <r>
    <s v="5799.1"/>
    <x v="3"/>
    <x v="11"/>
    <x v="3"/>
    <s v="20A"/>
    <s v="160"/>
    <s v="Dolichospermum circinale"/>
    <b v="1"/>
    <n v="10"/>
    <n v="32.200000000000003"/>
    <n v="2"/>
    <n v="2225.5074722222198"/>
    <n v="1.28109112131"/>
    <n v="2225.5074722222198"/>
    <n v="1.28109112131"/>
    <m/>
  </r>
  <r>
    <s v="5799.2"/>
    <x v="3"/>
    <x v="11"/>
    <x v="3"/>
    <s v="20A"/>
    <s v="160"/>
    <s v="Dolichospermum planctonicum "/>
    <b v="1"/>
    <n v="10"/>
    <n v="17.05"/>
    <n v="5"/>
    <n v="1339.1058159722199"/>
    <n v="0.49546915190972102"/>
    <n v="1339.1058159722199"/>
    <n v="0.49546915190972102"/>
    <m/>
  </r>
  <r>
    <s v="5799.3"/>
    <x v="3"/>
    <x v="11"/>
    <x v="3"/>
    <s v="20A"/>
    <s v="160"/>
    <s v="Dolichospermum spiroides"/>
    <b v="1"/>
    <n v="10"/>
    <n v="27"/>
    <m/>
    <n v="169.64625000000001"/>
    <n v="4.4108025000000002E-2"/>
    <n v="169.64625000000001"/>
    <n v="4.4108025000000002E-2"/>
    <m/>
  </r>
  <r>
    <s v="5799.4"/>
    <x v="3"/>
    <x v="11"/>
    <x v="3"/>
    <s v="20A"/>
    <s v="160"/>
    <s v="Microcystis sp"/>
    <b v="1"/>
    <n v="10"/>
    <n v="50"/>
    <m/>
    <n v="157.079861111111"/>
    <n v="1.12781096266298E-2"/>
    <n v="157.079861111111"/>
    <n v="1.12781096266298E-2"/>
    <s v="Microcystis spp._x000a_"/>
  </r>
  <r>
    <s v="5801.1"/>
    <x v="4"/>
    <x v="12"/>
    <x v="3"/>
    <s v="20A"/>
    <s v="160"/>
    <s v="Dolichospermum circinale"/>
    <b v="1"/>
    <n v="10"/>
    <n v="30.4"/>
    <n v="244"/>
    <n v="25213.202666666701"/>
    <n v="14.513727983040001"/>
    <n v="25213.202666666701"/>
    <n v="14.513727983040001"/>
    <m/>
  </r>
  <r>
    <s v="5801.2"/>
    <x v="4"/>
    <x v="12"/>
    <x v="3"/>
    <s v="20A"/>
    <s v="160"/>
    <s v="Dolichospermum planctonicum "/>
    <b v="1"/>
    <n v="10"/>
    <n v="17.6666666666667"/>
    <m/>
    <n v="333.00930555555499"/>
    <n v="0.123213443055556"/>
    <n v="333.00930555555601"/>
    <n v="0.123213443055556"/>
    <m/>
  </r>
  <r>
    <s v="5801.3"/>
    <x v="4"/>
    <x v="12"/>
    <x v="3"/>
    <s v="20A"/>
    <s v="160"/>
    <s v="Aphanocapsa sp"/>
    <b v="0"/>
    <n v="10"/>
    <n v="152"/>
    <m/>
    <n v="955.04555555555498"/>
    <n v="2.1488524999999999E-3"/>
    <n v="0"/>
    <n v="0"/>
    <m/>
  </r>
  <r>
    <s v="5801.4"/>
    <x v="4"/>
    <x v="12"/>
    <x v="3"/>
    <s v="20A"/>
    <s v="160"/>
    <s v="Dolichospermum spiroides"/>
    <b v="1"/>
    <n v="10"/>
    <n v="33.4"/>
    <m/>
    <n v="1049.2934722222201"/>
    <n v="0.27281630277777702"/>
    <n v="1049.2934722222201"/>
    <n v="0.27281630277777702"/>
    <m/>
  </r>
  <r>
    <s v="5801.5"/>
    <x v="4"/>
    <x v="12"/>
    <x v="3"/>
    <s v="20A"/>
    <s v="160"/>
    <s v="Pseudanabaena limnetica (cylinder)"/>
    <b v="1"/>
    <n v="10"/>
    <n v="12.5"/>
    <m/>
    <n v="78.5399305555555"/>
    <n v="6.2046545138888902E-3"/>
    <n v="78.5399305555556"/>
    <n v="6.2046545138888902E-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5842.3"/>
    <x v="0"/>
    <x v="0"/>
    <x v="0"/>
    <s v="20A"/>
    <s v="160"/>
    <s v="Microcystis sp"/>
    <b v="1"/>
    <n v="10"/>
    <n v="6"/>
    <m/>
    <n v="18.8495833333333"/>
    <n v="1.3533731551955701E-3"/>
    <n v="18.8495833333333"/>
    <n v="1.3533731551955701E-3"/>
    <x v="0"/>
  </r>
  <r>
    <s v="5846.3"/>
    <x v="1"/>
    <x v="1"/>
    <x v="0"/>
    <s v="20A"/>
    <s v="Whole Plate"/>
    <s v="Microcystis aeruginosa"/>
    <b v="1"/>
    <n v="10"/>
    <n v="27"/>
    <m/>
    <n v="16.2"/>
    <n v="1.4094000000000001E-3"/>
    <n v="16.2"/>
    <n v="1.4094000000000001E-3"/>
    <x v="0"/>
  </r>
  <r>
    <s v="5847.3"/>
    <x v="1"/>
    <x v="2"/>
    <x v="0"/>
    <s v="20A"/>
    <s v="Whole Plate"/>
    <s v="Microcystis aeruginosa"/>
    <b v="1"/>
    <n v="10"/>
    <n v="19.25"/>
    <m/>
    <n v="30.8"/>
    <n v="2.6795999999999999E-3"/>
    <n v="30.8"/>
    <n v="2.6795999999999999E-3"/>
    <x v="0"/>
  </r>
  <r>
    <s v="5847.10"/>
    <x v="1"/>
    <x v="2"/>
    <x v="0"/>
    <s v="20A"/>
    <s v="Whole Plate"/>
    <s v="Microcystis wesenbergii"/>
    <b v="1"/>
    <n v="10"/>
    <n v="64"/>
    <m/>
    <n v="6.4"/>
    <n v="1.2181119999999999E-3"/>
    <n v="6.4"/>
    <n v="1.2181119999999999E-3"/>
    <x v="0"/>
  </r>
  <r>
    <s v="5840.3"/>
    <x v="2"/>
    <x v="3"/>
    <x v="0"/>
    <s v="20A"/>
    <s v="160"/>
    <s v="Microcystis wesenbergii"/>
    <b v="1"/>
    <n v="10"/>
    <n v="20"/>
    <m/>
    <n v="62.831944444444403"/>
    <n v="1.19588039861111E-2"/>
    <n v="62.831944444444403"/>
    <n v="1.19588039861111E-2"/>
    <x v="0"/>
  </r>
  <r>
    <s v="5839.4"/>
    <x v="3"/>
    <x v="4"/>
    <x v="0"/>
    <s v="20A"/>
    <s v="160"/>
    <s v="Microcystis wesenbergii"/>
    <b v="1"/>
    <n v="10"/>
    <n v="52"/>
    <m/>
    <n v="163.363055555556"/>
    <n v="3.1092890363889E-2"/>
    <n v="163.363055555556"/>
    <n v="3.1092890363889E-2"/>
    <x v="0"/>
  </r>
  <r>
    <s v="5830.2"/>
    <x v="0"/>
    <x v="0"/>
    <x v="1"/>
    <s v="20A"/>
    <s v="160"/>
    <s v="Microcystis wesenbergii"/>
    <b v="1"/>
    <n v="10"/>
    <n v="37"/>
    <m/>
    <n v="232.478194444444"/>
    <n v="4.4247574748610997E-2"/>
    <n v="232.478194444444"/>
    <n v="4.4247574748610997E-2"/>
    <x v="0"/>
  </r>
  <r>
    <s v="5831.1"/>
    <x v="1"/>
    <x v="1"/>
    <x v="1"/>
    <s v="20A"/>
    <s v="Whole Plate"/>
    <s v="Microcystis aeruginosa"/>
    <b v="1"/>
    <n v="10"/>
    <n v="27.8"/>
    <m/>
    <n v="27.8"/>
    <n v="2.4185999999999999E-3"/>
    <n v="27.8"/>
    <n v="2.4185999999999999E-3"/>
    <x v="0"/>
  </r>
  <r>
    <s v="5831.7"/>
    <x v="1"/>
    <x v="1"/>
    <x v="1"/>
    <s v="20A"/>
    <s v="Whole Plate"/>
    <s v="Microcystis wesenbergii"/>
    <b v="1"/>
    <n v="10"/>
    <n v="28"/>
    <m/>
    <n v="2.8"/>
    <n v="5.3292400000000005E-4"/>
    <n v="2.8"/>
    <n v="5.3292400000000005E-4"/>
    <x v="0"/>
  </r>
  <r>
    <s v="5835.1"/>
    <x v="1"/>
    <x v="2"/>
    <x v="1"/>
    <s v="20A"/>
    <s v="160"/>
    <s v="Microcystis flos-aquae"/>
    <b v="1"/>
    <n v="10"/>
    <n v="61"/>
    <m/>
    <n v="383.27486111111102"/>
    <n v="8.4320469444444397E-3"/>
    <n v="383.27486111111102"/>
    <n v="8.4320469444444397E-3"/>
    <x v="0"/>
  </r>
  <r>
    <s v="5829.4"/>
    <x v="2"/>
    <x v="3"/>
    <x v="1"/>
    <s v="20A"/>
    <s v="160"/>
    <s v="Microcystis sp"/>
    <b v="1"/>
    <n v="10"/>
    <n v="18"/>
    <m/>
    <n v="56.548749999999998"/>
    <n v="4.0601194655867203E-3"/>
    <n v="56.548749999999998"/>
    <n v="4.0601194655867203E-3"/>
    <x v="0"/>
  </r>
  <r>
    <s v="5837.4"/>
    <x v="2"/>
    <x v="5"/>
    <x v="1"/>
    <s v="20A"/>
    <s v="Whole Plate"/>
    <s v="Microcystis wesenbergii"/>
    <b v="1"/>
    <n v="10"/>
    <n v="70"/>
    <m/>
    <n v="7"/>
    <n v="1.33231E-3"/>
    <n v="7"/>
    <n v="1.33231E-3"/>
    <x v="0"/>
  </r>
  <r>
    <s v="5819.2"/>
    <x v="0"/>
    <x v="0"/>
    <x v="2"/>
    <s v="20A"/>
    <s v="160"/>
    <s v="Microcystis sp"/>
    <b v="1"/>
    <n v="10"/>
    <n v="30"/>
    <m/>
    <n v="188.495833333333"/>
    <n v="1.35337315519557E-2"/>
    <n v="188.495833333333"/>
    <n v="1.35337315519557E-2"/>
    <x v="0"/>
  </r>
  <r>
    <s v="5815.1"/>
    <x v="1"/>
    <x v="1"/>
    <x v="2"/>
    <s v="20A"/>
    <s v="160"/>
    <s v="Microcystis wesenbergii"/>
    <b v="1"/>
    <n v="10"/>
    <n v="34.6666666666667"/>
    <m/>
    <n v="326.72611111111098"/>
    <n v="6.2185780727777799E-2"/>
    <n v="326.72611111111098"/>
    <n v="6.2185780727777799E-2"/>
    <x v="0"/>
  </r>
  <r>
    <s v="5824.1"/>
    <x v="1"/>
    <x v="2"/>
    <x v="2"/>
    <s v="20A"/>
    <s v="Whole Plate"/>
    <s v="Microcystis sp"/>
    <b v="1"/>
    <n v="10"/>
    <n v="21.1"/>
    <m/>
    <n v="21.1"/>
    <n v="1.5149498569620001E-3"/>
    <n v="21.1"/>
    <n v="1.5149498569620001E-3"/>
    <x v="0"/>
  </r>
  <r>
    <s v="5814.3"/>
    <x v="3"/>
    <x v="6"/>
    <x v="2"/>
    <s v="20A"/>
    <s v="160"/>
    <s v="Microcystis wesenbergii"/>
    <b v="1"/>
    <n v="10"/>
    <n v="18"/>
    <m/>
    <n v="56.548749999999998"/>
    <n v="1.0762923587500001E-2"/>
    <n v="56.548749999999998"/>
    <n v="1.0762923587500001E-2"/>
    <x v="0"/>
  </r>
  <r>
    <s v="5803.4"/>
    <x v="0"/>
    <x v="0"/>
    <x v="3"/>
    <s v="20A"/>
    <s v="160"/>
    <s v="Microcystis sp"/>
    <b v="1"/>
    <n v="10"/>
    <n v="22"/>
    <m/>
    <n v="69.115138888888893"/>
    <n v="4.9623682357171099E-3"/>
    <n v="69.115138888888893"/>
    <n v="4.9623682357171099E-3"/>
    <x v="0"/>
  </r>
  <r>
    <s v="5807.1"/>
    <x v="1"/>
    <x v="1"/>
    <x v="3"/>
    <s v="20A"/>
    <s v="Whole Plate"/>
    <s v="Microcystis sp"/>
    <b v="1"/>
    <n v="10"/>
    <n v="22"/>
    <m/>
    <n v="11"/>
    <n v="7.8978428561999995E-4"/>
    <n v="11"/>
    <n v="7.8978428561999995E-4"/>
    <x v="0"/>
  </r>
  <r>
    <s v="5807.5"/>
    <x v="1"/>
    <x v="1"/>
    <x v="3"/>
    <s v="20A"/>
    <s v="Whole Plate"/>
    <s v="Microcystis flos-aquae"/>
    <b v="1"/>
    <n v="10"/>
    <n v="108"/>
    <m/>
    <n v="21.6"/>
    <n v="4.752E-4"/>
    <n v="21.6"/>
    <n v="4.752E-4"/>
    <x v="0"/>
  </r>
  <r>
    <s v="5808.1"/>
    <x v="1"/>
    <x v="2"/>
    <x v="3"/>
    <s v="20A"/>
    <s v="Whole Plate"/>
    <s v="Microcystis sp"/>
    <b v="1"/>
    <n v="10"/>
    <n v="18.399999999999999"/>
    <m/>
    <n v="18.399999999999999"/>
    <n v="1.321093714128E-3"/>
    <n v="18.399999999999999"/>
    <n v="1.321093714128E-3"/>
    <x v="0"/>
  </r>
  <r>
    <s v="5804.5"/>
    <x v="2"/>
    <x v="7"/>
    <x v="3"/>
    <s v="20A"/>
    <s v="160"/>
    <s v="Microcystis sp"/>
    <b v="1"/>
    <n v="10"/>
    <n v="22"/>
    <m/>
    <n v="69.115138888888893"/>
    <n v="4.9623682357171099E-3"/>
    <n v="69.115138888888893"/>
    <n v="4.9623682357171099E-3"/>
    <x v="0"/>
  </r>
  <r>
    <s v="5802.4"/>
    <x v="2"/>
    <x v="3"/>
    <x v="3"/>
    <s v="20A"/>
    <s v="160"/>
    <s v="Microcystis sp"/>
    <b v="1"/>
    <n v="10"/>
    <n v="47"/>
    <m/>
    <n v="295.31013888888901"/>
    <n v="2.1202846098063999E-2"/>
    <n v="295.31013888888901"/>
    <n v="2.1202846098063999E-2"/>
    <x v="0"/>
  </r>
  <r>
    <s v="5811.3"/>
    <x v="2"/>
    <x v="8"/>
    <x v="3"/>
    <s v="20A"/>
    <s v="Whole Plate"/>
    <s v="Microcystis wesenbergii"/>
    <b v="1"/>
    <n v="10"/>
    <n v="42"/>
    <m/>
    <n v="4.2"/>
    <n v="7.9938600000000002E-4"/>
    <n v="4.2"/>
    <n v="7.9938600000000002E-4"/>
    <x v="0"/>
  </r>
  <r>
    <s v="5799.4"/>
    <x v="3"/>
    <x v="9"/>
    <x v="3"/>
    <s v="20A"/>
    <s v="160"/>
    <s v="Microcystis sp"/>
    <b v="1"/>
    <n v="10"/>
    <n v="50"/>
    <m/>
    <n v="157.079861111111"/>
    <n v="1.12781096266298E-2"/>
    <n v="157.079861111111"/>
    <n v="1.12781096266298E-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s v="5842.1"/>
    <x v="0"/>
    <x v="0"/>
    <x v="0"/>
    <s v="20A"/>
    <s v="160"/>
    <s v="Dolichospermum circinale"/>
    <b v="1"/>
    <n v="10"/>
    <n v="31.714285714285701"/>
    <m/>
    <n v="697.43458333333297"/>
    <n v="0.40147124355000002"/>
    <n v="697.43458333333297"/>
    <n v="0.40147124355000002"/>
    <m/>
  </r>
  <r>
    <s v="5842.2"/>
    <x v="0"/>
    <x v="0"/>
    <x v="0"/>
    <s v="20A"/>
    <s v="160"/>
    <s v="Dolichospermum planctonicum "/>
    <b v="1"/>
    <n v="10"/>
    <n v="16"/>
    <m/>
    <n v="100.531111111111"/>
    <n v="3.7196511111111101E-2"/>
    <n v="100.531111111111"/>
    <n v="3.7196511111111101E-2"/>
    <m/>
  </r>
  <r>
    <s v="5842.3"/>
    <x v="0"/>
    <x v="0"/>
    <x v="0"/>
    <s v="20A"/>
    <s v="160"/>
    <s v="Microcystis sp"/>
    <b v="1"/>
    <n v="10"/>
    <n v="6"/>
    <m/>
    <n v="18.8495833333333"/>
    <n v="1.3533731551955701E-3"/>
    <n v="18.8495833333333"/>
    <n v="1.3533731551955701E-3"/>
    <s v="Microcystis spp._x000a_"/>
  </r>
  <r>
    <s v="5842.4"/>
    <x v="0"/>
    <x v="0"/>
    <x v="0"/>
    <s v="20A"/>
    <s v="160"/>
    <s v="Aphanocapsa sp"/>
    <b v="0"/>
    <n v="10"/>
    <n v="18"/>
    <m/>
    <n v="113.0975"/>
    <n v="2.5446937500000003E-4"/>
    <n v="0"/>
    <n v="0"/>
    <m/>
  </r>
  <r>
    <s v="5842.5"/>
    <x v="0"/>
    <x v="0"/>
    <x v="0"/>
    <s v="20A"/>
    <s v="160"/>
    <s v="Limnococcus limneticus_x000a_"/>
    <b v="0"/>
    <n v="10"/>
    <n v="15"/>
    <m/>
    <n v="94.247916666666697"/>
    <n v="4.24115625E-2"/>
    <n v="0"/>
    <n v="0"/>
    <m/>
  </r>
  <r>
    <s v="5842.6"/>
    <x v="0"/>
    <x v="0"/>
    <x v="0"/>
    <s v="20A"/>
    <s v="160"/>
    <s v="Pseudanabaena sp."/>
    <b v="1"/>
    <n v="10"/>
    <n v="8"/>
    <m/>
    <n v="25.1327777777778"/>
    <n v="9.8017833333333398E-4"/>
    <n v="25.1327777777778"/>
    <n v="9.8017833333333398E-4"/>
    <m/>
  </r>
  <r>
    <s v="5846.1"/>
    <x v="1"/>
    <x v="1"/>
    <x v="0"/>
    <s v="20A"/>
    <s v="Whole Plate"/>
    <s v="Aphanocapsa sp"/>
    <b v="0"/>
    <n v="10"/>
    <n v="32"/>
    <m/>
    <n v="25.6"/>
    <n v="5.7599999999999997E-5"/>
    <n v="0"/>
    <n v="0"/>
    <m/>
  </r>
  <r>
    <s v="5846.2"/>
    <x v="1"/>
    <x v="1"/>
    <x v="0"/>
    <s v="20A"/>
    <s v="Whole Plate"/>
    <s v="Dolichospermum lemmermannii"/>
    <b v="1"/>
    <n v="10"/>
    <n v="21.1666666666667"/>
    <m/>
    <n v="12.7"/>
    <n v="1.397E-3"/>
    <n v="12.7"/>
    <n v="1.397E-3"/>
    <m/>
  </r>
  <r>
    <s v="5846.3"/>
    <x v="1"/>
    <x v="1"/>
    <x v="0"/>
    <s v="20A"/>
    <s v="Whole Plate"/>
    <s v="Microcystis aeruginosa"/>
    <b v="1"/>
    <n v="10"/>
    <n v="27"/>
    <m/>
    <n v="16.2"/>
    <n v="1.4094000000000001E-3"/>
    <n v="16.2"/>
    <n v="1.4094000000000001E-3"/>
    <s v="Microcystis spp._x000a_"/>
  </r>
  <r>
    <s v="5846.4"/>
    <x v="1"/>
    <x v="1"/>
    <x v="0"/>
    <s v="20A"/>
    <s v="Whole Plate"/>
    <s v="Dolichospermum planctonicum "/>
    <b v="1"/>
    <n v="10"/>
    <n v="10.1666666666667"/>
    <m/>
    <n v="6.1"/>
    <n v="2.2569999999999999E-3"/>
    <n v="6.1"/>
    <n v="2.2569999999999999E-3"/>
    <m/>
  </r>
  <r>
    <s v="5846.5"/>
    <x v="1"/>
    <x v="1"/>
    <x v="0"/>
    <s v="20A"/>
    <s v="Whole Plate"/>
    <s v="Anabaena torulosa"/>
    <b v="1"/>
    <n v="10"/>
    <n v="28.5"/>
    <m/>
    <n v="5.7"/>
    <n v="1.2597000000000001E-3"/>
    <n v="5.7"/>
    <n v="1.2597000000000001E-3"/>
    <m/>
  </r>
  <r>
    <s v="5846.6"/>
    <x v="1"/>
    <x v="1"/>
    <x v="0"/>
    <s v="20A"/>
    <s v="Whole Plate"/>
    <s v="Pseudanabaena sp."/>
    <b v="1"/>
    <n v="10"/>
    <n v="15"/>
    <m/>
    <n v="3"/>
    <n v="1.17E-4"/>
    <n v="3"/>
    <n v="1.17E-4"/>
    <m/>
  </r>
  <r>
    <s v="5846.7"/>
    <x v="1"/>
    <x v="1"/>
    <x v="0"/>
    <s v="20A"/>
    <s v="Whole Plate"/>
    <s v="Planktothrix sp"/>
    <b v="1"/>
    <n v="10"/>
    <n v="40"/>
    <m/>
    <n v="4"/>
    <n v="1.256E-3"/>
    <n v="4"/>
    <n v="1.256E-3"/>
    <m/>
  </r>
  <r>
    <s v="5847.1"/>
    <x v="1"/>
    <x v="2"/>
    <x v="0"/>
    <s v="20A"/>
    <s v="Whole Plate"/>
    <s v="Oscillatoria sp"/>
    <b v="1"/>
    <n v="10"/>
    <n v="152.5"/>
    <m/>
    <n v="30.5"/>
    <n v="8.2487249999999998E-2"/>
    <n v="30.5"/>
    <n v="8.2487249999999998E-2"/>
    <m/>
  </r>
  <r>
    <s v="5847.2"/>
    <x v="1"/>
    <x v="2"/>
    <x v="0"/>
    <s v="20A"/>
    <s v="Whole Plate"/>
    <s v="Phormidium sp"/>
    <b v="1"/>
    <n v="10"/>
    <n v="115"/>
    <m/>
    <n v="11.5"/>
    <n v="1.0734099999999999E-3"/>
    <n v="11.5"/>
    <n v="1.0734099999999999E-3"/>
    <m/>
  </r>
  <r>
    <s v="5847.3"/>
    <x v="1"/>
    <x v="2"/>
    <x v="0"/>
    <s v="20A"/>
    <s v="Whole Plate"/>
    <s v="Microcystis aeruginosa"/>
    <b v="1"/>
    <n v="10"/>
    <n v="19.25"/>
    <m/>
    <n v="30.8"/>
    <n v="2.6795999999999999E-3"/>
    <n v="30.8"/>
    <n v="2.6795999999999999E-3"/>
    <s v="Microcystis spp._x000a_"/>
  </r>
  <r>
    <s v="5847.4"/>
    <x v="1"/>
    <x v="2"/>
    <x v="0"/>
    <s v="20A"/>
    <s v="Whole Plate"/>
    <s v="Anabaena torulosa"/>
    <b v="1"/>
    <n v="10"/>
    <n v="18"/>
    <m/>
    <n v="19.8"/>
    <n v="4.3758E-3"/>
    <n v="19.8"/>
    <n v="4.3758E-3"/>
    <m/>
  </r>
  <r>
    <s v="5847.5"/>
    <x v="1"/>
    <x v="2"/>
    <x v="0"/>
    <s v="20A"/>
    <s v="Whole Plate"/>
    <s v="Pseudanabaena sp."/>
    <b v="1"/>
    <n v="10"/>
    <n v="19.600000000000001"/>
    <m/>
    <n v="9.8000000000000007"/>
    <n v="3.8220000000000002E-4"/>
    <n v="9.8000000000000007"/>
    <n v="3.8220000000000002E-4"/>
    <m/>
  </r>
  <r>
    <s v="5847.6"/>
    <x v="1"/>
    <x v="2"/>
    <x v="0"/>
    <s v="20A"/>
    <s v="Whole Plate"/>
    <s v="Dolichospermum planctonicum "/>
    <b v="1"/>
    <n v="10"/>
    <n v="12"/>
    <m/>
    <n v="1.2"/>
    <n v="4.44E-4"/>
    <n v="1.2"/>
    <n v="4.44E-4"/>
    <m/>
  </r>
  <r>
    <s v="5847.7"/>
    <x v="1"/>
    <x v="2"/>
    <x v="0"/>
    <s v="20A"/>
    <s v="Whole Plate"/>
    <s v="Dolichospermum lemmermannii"/>
    <b v="1"/>
    <n v="10"/>
    <n v="5"/>
    <m/>
    <n v="0.5"/>
    <n v="5.5000000000000002E-5"/>
    <n v="0.5"/>
    <n v="5.5000000000000002E-5"/>
    <m/>
  </r>
  <r>
    <s v="5847.8"/>
    <x v="1"/>
    <x v="2"/>
    <x v="0"/>
    <s v="20A"/>
    <s v="Whole Plate"/>
    <s v="Limnococcus limneticus_x000a_"/>
    <b v="0"/>
    <n v="10"/>
    <n v="33"/>
    <m/>
    <n v="6.6"/>
    <n v="2.97E-3"/>
    <n v="0"/>
    <n v="0"/>
    <m/>
  </r>
  <r>
    <s v="5847.9"/>
    <x v="1"/>
    <x v="2"/>
    <x v="0"/>
    <s v="20A"/>
    <s v="Whole Plate"/>
    <s v="Merismopedia sp"/>
    <b v="0"/>
    <n v="10"/>
    <n v="24"/>
    <m/>
    <n v="4.8"/>
    <n v="1.0560000000000001E-4"/>
    <n v="0"/>
    <n v="0"/>
    <m/>
  </r>
  <r>
    <s v="5847.10"/>
    <x v="1"/>
    <x v="2"/>
    <x v="0"/>
    <s v="20A"/>
    <s v="Whole Plate"/>
    <s v="Microcystis wesenbergii"/>
    <b v="1"/>
    <n v="10"/>
    <n v="64"/>
    <m/>
    <n v="6.4"/>
    <n v="1.2181119999999999E-3"/>
    <n v="6.4"/>
    <n v="1.2181119999999999E-3"/>
    <s v="Microcystis spp._x000a_"/>
  </r>
  <r>
    <s v="5848.1"/>
    <x v="2"/>
    <x v="3"/>
    <x v="0"/>
    <s v="20A"/>
    <s v="Whole Plate"/>
    <s v="Dolichospermum planctonicum "/>
    <b v="1"/>
    <n v="10"/>
    <n v="12.8"/>
    <m/>
    <n v="12.8"/>
    <n v="4.7359999999999998E-3"/>
    <n v="12.8"/>
    <n v="4.7359999999999998E-3"/>
    <m/>
  </r>
  <r>
    <s v="5848.2"/>
    <x v="2"/>
    <x v="3"/>
    <x v="0"/>
    <s v="20A"/>
    <s v="Whole Plate"/>
    <s v="Dolichospermum circinale"/>
    <b v="1"/>
    <n v="10"/>
    <n v="20.149999999999999"/>
    <n v="13"/>
    <n v="66.495000000000005"/>
    <n v="3.8277181799999997E-2"/>
    <n v="66.495000000000005"/>
    <n v="3.8277181799999997E-2"/>
    <m/>
  </r>
  <r>
    <s v="5848.3"/>
    <x v="2"/>
    <x v="3"/>
    <x v="0"/>
    <s v="20A"/>
    <s v="Whole Plate"/>
    <s v="Limnococcus limneticus_x000a_"/>
    <b v="0"/>
    <n v="10"/>
    <n v="19.6666666666667"/>
    <m/>
    <n v="23.6"/>
    <n v="1.0619999999999999E-2"/>
    <n v="0"/>
    <n v="0"/>
    <m/>
  </r>
  <r>
    <s v="5841.1"/>
    <x v="2"/>
    <x v="4"/>
    <x v="0"/>
    <s v="20A"/>
    <s v="160"/>
    <s v="Dolichospermum planctonicum "/>
    <b v="1"/>
    <n v="10"/>
    <n v="17.2"/>
    <n v="17"/>
    <n v="1999.3124722222201"/>
    <n v="0.739745614722221"/>
    <n v="1999.3124722222201"/>
    <n v="0.739745614722221"/>
    <m/>
  </r>
  <r>
    <s v="5841.2"/>
    <x v="2"/>
    <x v="4"/>
    <x v="0"/>
    <s v="20A"/>
    <s v="160"/>
    <s v="Dolichospermum circinale"/>
    <b v="1"/>
    <n v="10"/>
    <n v="32"/>
    <m/>
    <n v="100.531111111111"/>
    <n v="5.7869728799999902E-2"/>
    <n v="100.531111111111"/>
    <n v="5.7869728799999902E-2"/>
    <m/>
  </r>
  <r>
    <s v="5841.3"/>
    <x v="2"/>
    <x v="4"/>
    <x v="0"/>
    <s v="20A"/>
    <s v="160"/>
    <s v="Coelosphaerium kuetzingianum"/>
    <b v="0"/>
    <n v="10"/>
    <n v="32"/>
    <m/>
    <n v="100.531111111111"/>
    <n v="8.93721577777777E-4"/>
    <n v="0"/>
    <n v="0"/>
    <m/>
  </r>
  <r>
    <s v="5841.4"/>
    <x v="2"/>
    <x v="4"/>
    <x v="0"/>
    <s v="20A"/>
    <s v="160"/>
    <s v="Planktothrix sp"/>
    <b v="1"/>
    <n v="10"/>
    <n v="28"/>
    <m/>
    <n v="87.964722222222207"/>
    <n v="2.76209227777778E-2"/>
    <n v="87.964722222222207"/>
    <n v="2.76209227777778E-2"/>
    <m/>
  </r>
  <r>
    <s v="5840.1"/>
    <x v="2"/>
    <x v="5"/>
    <x v="0"/>
    <s v="20A"/>
    <s v="160"/>
    <s v="Dolichospermum planctonicum "/>
    <b v="1"/>
    <n v="10"/>
    <n v="17.3333333333333"/>
    <m/>
    <n v="163.363055555556"/>
    <n v="6.0444330555555703E-2"/>
    <n v="163.363055555556"/>
    <n v="6.0444330555555703E-2"/>
    <m/>
  </r>
  <r>
    <s v="5840.2"/>
    <x v="2"/>
    <x v="5"/>
    <x v="0"/>
    <s v="20A"/>
    <s v="160"/>
    <s v="Dolichospermum circinale"/>
    <b v="1"/>
    <n v="10"/>
    <n v="24.6"/>
    <m/>
    <n v="772.83291666666696"/>
    <n v="0.44487354015000002"/>
    <n v="772.83291666666605"/>
    <n v="0.44487354015000002"/>
    <m/>
  </r>
  <r>
    <s v="5840.3"/>
    <x v="2"/>
    <x v="5"/>
    <x v="0"/>
    <s v="20A"/>
    <s v="160"/>
    <s v="Microcystis wesenbergii"/>
    <b v="1"/>
    <n v="10"/>
    <n v="20"/>
    <m/>
    <n v="62.831944444444403"/>
    <n v="1.19588039861111E-2"/>
    <n v="62.831944444444403"/>
    <n v="1.19588039861111E-2"/>
    <s v="Microcystis spp._x000a_"/>
  </r>
  <r>
    <s v="5840.4"/>
    <x v="2"/>
    <x v="5"/>
    <x v="0"/>
    <s v="20A"/>
    <s v="160"/>
    <s v="Limnococcus limneticus_x000a_"/>
    <b v="0"/>
    <n v="10"/>
    <n v="44"/>
    <m/>
    <n v="138.23027777777801"/>
    <n v="6.2203625000000103E-2"/>
    <n v="0"/>
    <n v="0"/>
    <m/>
  </r>
  <r>
    <s v="5850.1"/>
    <x v="2"/>
    <x v="6"/>
    <x v="0"/>
    <s v="20A"/>
    <s v="Whole Plate"/>
    <s v="Dolichospermum planctonicum "/>
    <b v="1"/>
    <n v="10"/>
    <n v="14.65"/>
    <n v="19"/>
    <n v="57.134999999999998"/>
    <n v="2.1139950000000001E-2"/>
    <n v="57.134999999999998"/>
    <n v="2.1139950000000001E-2"/>
    <m/>
  </r>
  <r>
    <s v="5850.2"/>
    <x v="2"/>
    <x v="6"/>
    <x v="0"/>
    <s v="20A"/>
    <s v="Whole Plate"/>
    <s v="Dolichospermum circinale"/>
    <b v="1"/>
    <n v="10"/>
    <n v="19.9411764705882"/>
    <m/>
    <n v="33.9"/>
    <n v="1.9514196000000001E-2"/>
    <n v="33.9"/>
    <n v="1.9514196000000001E-2"/>
    <m/>
  </r>
  <r>
    <s v="5850.3"/>
    <x v="2"/>
    <x v="6"/>
    <x v="0"/>
    <s v="20A"/>
    <s v="Whole Plate"/>
    <s v="Phormidium sp"/>
    <b v="1"/>
    <n v="10"/>
    <n v="48"/>
    <m/>
    <n v="4.8"/>
    <n v="4.4803200000000001E-4"/>
    <n v="4.8"/>
    <n v="4.4803200000000001E-4"/>
    <m/>
  </r>
  <r>
    <s v="5850.4"/>
    <x v="2"/>
    <x v="6"/>
    <x v="0"/>
    <s v="20A"/>
    <s v="Whole Plate"/>
    <s v="Limnococcus limneticus_x000a_"/>
    <b v="0"/>
    <n v="10"/>
    <n v="31"/>
    <m/>
    <n v="6.2"/>
    <n v="2.7899999999999999E-3"/>
    <n v="0"/>
    <n v="0"/>
    <m/>
  </r>
  <r>
    <s v="5850.5"/>
    <x v="2"/>
    <x v="6"/>
    <x v="0"/>
    <s v="20A"/>
    <s v="Whole Plate"/>
    <s v="Anabaena torulosa"/>
    <b v="1"/>
    <n v="10"/>
    <n v="18"/>
    <m/>
    <n v="1.8"/>
    <n v="3.9780000000000002E-4"/>
    <n v="1.8"/>
    <n v="3.9780000000000002E-4"/>
    <m/>
  </r>
  <r>
    <s v="5849.1"/>
    <x v="2"/>
    <x v="7"/>
    <x v="0"/>
    <s v="20A"/>
    <s v="160"/>
    <s v="Dolichospermum circinale"/>
    <b v="1"/>
    <n v="10"/>
    <n v="15"/>
    <m/>
    <n v="141.37187499999999"/>
    <n v="8.1379306124999995E-2"/>
    <n v="141.37187499999999"/>
    <n v="8.1379306124999995E-2"/>
    <m/>
  </r>
  <r>
    <s v="5849.2"/>
    <x v="2"/>
    <x v="7"/>
    <x v="0"/>
    <s v="20A"/>
    <s v="160"/>
    <s v="Dolichospermum planctonicum "/>
    <b v="1"/>
    <n v="10"/>
    <n v="24.9"/>
    <m/>
    <n v="782.25770833333297"/>
    <n v="0.28943535208333299"/>
    <n v="782.25770833333297"/>
    <n v="0.28943535208333299"/>
    <m/>
  </r>
  <r>
    <s v="5849.3"/>
    <x v="2"/>
    <x v="7"/>
    <x v="0"/>
    <s v="20A"/>
    <s v="160"/>
    <s v="Limnococcus limneticus_x000a_"/>
    <b v="0"/>
    <n v="10"/>
    <n v="9.6666666666666696"/>
    <m/>
    <n v="182.21263888888899"/>
    <n v="8.1995687500000095E-2"/>
    <n v="0"/>
    <n v="0"/>
    <m/>
  </r>
  <r>
    <s v="5849.4"/>
    <x v="2"/>
    <x v="7"/>
    <x v="0"/>
    <s v="20A"/>
    <s v="160"/>
    <s v="Pseudanabaena sp."/>
    <b v="1"/>
    <n v="10"/>
    <n v="8"/>
    <m/>
    <n v="25.1327777777778"/>
    <n v="9.8017833333333398E-4"/>
    <n v="25.1327777777778"/>
    <n v="9.8017833333333398E-4"/>
    <m/>
  </r>
  <r>
    <s v="5844.1"/>
    <x v="3"/>
    <x v="8"/>
    <x v="0"/>
    <s v="20A"/>
    <s v="Whole Plate"/>
    <s v="Phormidium sp"/>
    <b v="1"/>
    <n v="10"/>
    <n v="40"/>
    <m/>
    <n v="16"/>
    <n v="1.49344E-3"/>
    <n v="16"/>
    <n v="1.49344E-3"/>
    <m/>
  </r>
  <r>
    <s v="5844.2"/>
    <x v="3"/>
    <x v="8"/>
    <x v="0"/>
    <s v="20A"/>
    <s v="Whole Plate"/>
    <s v="Planktothrix sp"/>
    <b v="1"/>
    <n v="10"/>
    <n v="48"/>
    <m/>
    <n v="4.8"/>
    <n v="1.5072E-3"/>
    <n v="4.8"/>
    <n v="1.5072E-3"/>
    <m/>
  </r>
  <r>
    <s v="5844.3"/>
    <x v="3"/>
    <x v="8"/>
    <x v="0"/>
    <s v="20A"/>
    <s v="Whole Plate"/>
    <s v="Dolichospermum circinale"/>
    <b v="1"/>
    <n v="10"/>
    <n v="21"/>
    <n v="1"/>
    <n v="44.1"/>
    <n v="2.5385723999999998E-2"/>
    <n v="44.1"/>
    <n v="2.5385723999999998E-2"/>
    <m/>
  </r>
  <r>
    <s v="5844.4"/>
    <x v="3"/>
    <x v="8"/>
    <x v="0"/>
    <s v="20A"/>
    <s v="Whole Plate"/>
    <s v="Pseudanabaena sp."/>
    <b v="1"/>
    <n v="10"/>
    <n v="16.5"/>
    <n v="6"/>
    <n v="42.9"/>
    <n v="1.6731000000000001E-3"/>
    <n v="42.9"/>
    <n v="1.6731000000000001E-3"/>
    <m/>
  </r>
  <r>
    <s v="5844.5"/>
    <x v="3"/>
    <x v="8"/>
    <x v="0"/>
    <s v="20A"/>
    <s v="Whole Plate"/>
    <s v="Dolichospermum planctonicum "/>
    <b v="1"/>
    <n v="10"/>
    <n v="23.65"/>
    <n v="12"/>
    <n v="75.680000000000007"/>
    <n v="2.8001600000000001E-2"/>
    <n v="75.680000000000007"/>
    <n v="2.8001600000000001E-2"/>
    <m/>
  </r>
  <r>
    <s v="5839.1"/>
    <x v="3"/>
    <x v="9"/>
    <x v="0"/>
    <s v="20A"/>
    <s v="160"/>
    <s v="Dolichospermum circinale"/>
    <b v="1"/>
    <n v="10"/>
    <n v="23.3333333333333"/>
    <m/>
    <n v="879.64722222222201"/>
    <n v="0.50636012699999999"/>
    <n v="879.64722222222201"/>
    <n v="0.50636012699999999"/>
    <m/>
  </r>
  <r>
    <s v="5839.2"/>
    <x v="3"/>
    <x v="9"/>
    <x v="0"/>
    <s v="20A"/>
    <s v="160"/>
    <s v="Dolichospermum planctonicum "/>
    <b v="1"/>
    <n v="10"/>
    <n v="40.6666666666667"/>
    <m/>
    <n v="383.27486111111102"/>
    <n v="0.14181169861111101"/>
    <n v="383.27486111111102"/>
    <n v="0.14181169861111101"/>
    <m/>
  </r>
  <r>
    <s v="5839.3"/>
    <x v="3"/>
    <x v="9"/>
    <x v="0"/>
    <s v="20A"/>
    <s v="160"/>
    <s v="Pseudanabaena sp."/>
    <b v="1"/>
    <n v="10"/>
    <n v="15.6"/>
    <m/>
    <n v="245.04458333333301"/>
    <n v="9.5567387499999896E-3"/>
    <n v="245.04458333333301"/>
    <n v="9.5567387499999896E-3"/>
    <m/>
  </r>
  <r>
    <s v="5839.4"/>
    <x v="3"/>
    <x v="9"/>
    <x v="0"/>
    <s v="20A"/>
    <s v="160"/>
    <s v="Microcystis wesenbergii"/>
    <b v="1"/>
    <n v="10"/>
    <n v="52"/>
    <m/>
    <n v="163.363055555556"/>
    <n v="3.1092890363889E-2"/>
    <n v="163.363055555556"/>
    <n v="3.1092890363889E-2"/>
    <s v="Microcystis spp._x000a_"/>
  </r>
  <r>
    <s v="5845.1"/>
    <x v="3"/>
    <x v="10"/>
    <x v="0"/>
    <s v="20A"/>
    <s v="160"/>
    <s v="Oscillatoria sp"/>
    <b v="1"/>
    <n v="10"/>
    <n v="63"/>
    <m/>
    <n v="593.76187500000003"/>
    <n v="1.6058289909375001"/>
    <n v="593.76187500000003"/>
    <n v="1.6058289909375001"/>
    <m/>
  </r>
  <r>
    <s v="5845.2"/>
    <x v="3"/>
    <x v="10"/>
    <x v="0"/>
    <s v="20A"/>
    <s v="160"/>
    <s v="Pseudanabaena sp."/>
    <b v="1"/>
    <n v="10"/>
    <n v="12.55"/>
    <n v="16"/>
    <n v="1419.3736249999999"/>
    <n v="5.5355571375000003E-2"/>
    <n v="1419.3736249999999"/>
    <n v="5.5355571375000003E-2"/>
    <m/>
  </r>
  <r>
    <s v="5838.1"/>
    <x v="3"/>
    <x v="11"/>
    <x v="0"/>
    <s v="20A"/>
    <s v="160"/>
    <s v="Dolichospermum planctonicum "/>
    <b v="1"/>
    <n v="10"/>
    <n v="9.28571428571429"/>
    <m/>
    <n v="204.20381944444401"/>
    <n v="7.5555413194444296E-2"/>
    <n v="204.20381944444401"/>
    <n v="7.5555413194444296E-2"/>
    <m/>
  </r>
  <r>
    <s v="5838.2"/>
    <x v="3"/>
    <x v="11"/>
    <x v="0"/>
    <s v="20A"/>
    <s v="160"/>
    <s v="Dolichospermum circinale"/>
    <b v="1"/>
    <n v="10"/>
    <n v="19.3333333333333"/>
    <m/>
    <n v="364.42527777777798"/>
    <n v="0.2097777669"/>
    <n v="364.42527777777798"/>
    <n v="0.2097777669"/>
    <m/>
  </r>
  <r>
    <s v="5843.1"/>
    <x v="4"/>
    <x v="12"/>
    <x v="0"/>
    <s v="20A"/>
    <s v="160"/>
    <s v="Dolichospermum planctonicum "/>
    <b v="1"/>
    <n v="10"/>
    <n v="31.6"/>
    <m/>
    <n v="496.37236111111099"/>
    <n v="0.18365777361111099"/>
    <n v="496.37236111111099"/>
    <n v="0.18365777361111099"/>
    <m/>
  </r>
  <r>
    <s v="5843.2"/>
    <x v="4"/>
    <x v="12"/>
    <x v="0"/>
    <s v="20A"/>
    <s v="160"/>
    <s v="Aphanocapsa sp"/>
    <b v="0"/>
    <n v="10"/>
    <n v="85.071428571428598"/>
    <m/>
    <n v="3741.6422916666702"/>
    <n v="8.4186951562500098E-3"/>
    <n v="0"/>
    <n v="0"/>
    <m/>
  </r>
  <r>
    <s v="5843.3"/>
    <x v="4"/>
    <x v="12"/>
    <x v="0"/>
    <s v="20A"/>
    <s v="160"/>
    <s v="Dolichospermum circinale"/>
    <b v="1"/>
    <n v="10"/>
    <n v="16.8"/>
    <n v="71"/>
    <n v="4802.8738333333304"/>
    <n v="2.7647262934199999"/>
    <n v="4802.8738333333304"/>
    <n v="2.7647262934199999"/>
    <m/>
  </r>
  <r>
    <s v="5843.4"/>
    <x v="4"/>
    <x v="12"/>
    <x v="0"/>
    <s v="20A"/>
    <s v="160"/>
    <s v="Planktothrix sp"/>
    <b v="1"/>
    <n v="10"/>
    <n v="104"/>
    <m/>
    <n v="326.72611111111098"/>
    <n v="0.10259199888888899"/>
    <n v="326.72611111111098"/>
    <n v="0.10259199888888899"/>
    <m/>
  </r>
  <r>
    <s v="5843.5"/>
    <x v="4"/>
    <x v="12"/>
    <x v="0"/>
    <s v="20A"/>
    <s v="160"/>
    <s v="Dolichospermum spiroides"/>
    <b v="1"/>
    <n v="10"/>
    <n v="27"/>
    <m/>
    <n v="169.64625000000001"/>
    <n v="4.4108025000000002E-2"/>
    <n v="169.64625000000001"/>
    <n v="4.4108025000000002E-2"/>
    <m/>
  </r>
  <r>
    <s v="5843.6"/>
    <x v="4"/>
    <x v="12"/>
    <x v="0"/>
    <s v="20A"/>
    <s v="160"/>
    <s v="Woronichinia naegeliana"/>
    <b v="1"/>
    <n v="10"/>
    <n v="456"/>
    <m/>
    <n v="1432.56833333333"/>
    <n v="0"/>
    <n v="1432.56833333333"/>
    <n v="0"/>
    <m/>
  </r>
  <r>
    <s v="5843.7"/>
    <x v="4"/>
    <x v="12"/>
    <x v="0"/>
    <s v="20A"/>
    <s v="160"/>
    <s v="Pseudanabaena sp."/>
    <b v="1"/>
    <n v="10"/>
    <n v="11"/>
    <m/>
    <n v="69.115138888888893"/>
    <n v="2.69549041666667E-3"/>
    <n v="69.115138888888893"/>
    <n v="2.69549041666667E-3"/>
    <m/>
  </r>
  <r>
    <s v="5830.1"/>
    <x v="0"/>
    <x v="0"/>
    <x v="1"/>
    <s v="20A"/>
    <s v="160"/>
    <s v="Dolichospermum circinale"/>
    <b v="1"/>
    <n v="10"/>
    <n v="25.5"/>
    <m/>
    <n v="640.88583333333304"/>
    <n v="0.36891952109999998"/>
    <n v="640.88583333333304"/>
    <n v="0.36891952109999998"/>
    <m/>
  </r>
  <r>
    <s v="5830.2"/>
    <x v="0"/>
    <x v="0"/>
    <x v="1"/>
    <s v="20A"/>
    <s v="160"/>
    <s v="Microcystis wesenbergii"/>
    <b v="1"/>
    <n v="10"/>
    <n v="37"/>
    <m/>
    <n v="232.478194444444"/>
    <n v="4.4247574748610997E-2"/>
    <n v="232.478194444444"/>
    <n v="4.4247574748610997E-2"/>
    <s v="Microcystis spp._x000a_"/>
  </r>
  <r>
    <s v="5830.3"/>
    <x v="0"/>
    <x v="0"/>
    <x v="1"/>
    <s v="20A"/>
    <s v="160"/>
    <s v="Dolichospermum planctonicum "/>
    <b v="1"/>
    <n v="10"/>
    <n v="12.4"/>
    <m/>
    <n v="194.779027777778"/>
    <n v="7.2068240277777904E-2"/>
    <n v="194.779027777778"/>
    <n v="7.2068240277777904E-2"/>
    <m/>
  </r>
  <r>
    <s v="5830.4"/>
    <x v="0"/>
    <x v="0"/>
    <x v="1"/>
    <s v="20A"/>
    <s v="160"/>
    <s v="Oscillatoria sp"/>
    <b v="1"/>
    <n v="10"/>
    <n v="62"/>
    <m/>
    <n v="389.558055555556"/>
    <n v="1.0535597612500001"/>
    <n v="389.558055555556"/>
    <n v="1.0535597612500001"/>
    <m/>
  </r>
  <r>
    <s v="5831.1"/>
    <x v="1"/>
    <x v="1"/>
    <x v="1"/>
    <s v="20A"/>
    <s v="Whole Plate"/>
    <s v="Microcystis aeruginosa"/>
    <b v="1"/>
    <n v="10"/>
    <n v="27.8"/>
    <m/>
    <n v="27.8"/>
    <n v="2.4185999999999999E-3"/>
    <n v="27.8"/>
    <n v="2.4185999999999999E-3"/>
    <s v="Microcystis spp._x000a_"/>
  </r>
  <r>
    <s v="5831.2"/>
    <x v="1"/>
    <x v="1"/>
    <x v="1"/>
    <s v="20A"/>
    <s v="Whole Plate"/>
    <s v="Dolichospermum spiroides"/>
    <b v="1"/>
    <n v="10"/>
    <n v="20.6666666666667"/>
    <m/>
    <n v="6.2"/>
    <n v="1.6119999999999999E-3"/>
    <n v="6.2"/>
    <n v="1.6119999999999999E-3"/>
    <m/>
  </r>
  <r>
    <s v="5831.3"/>
    <x v="1"/>
    <x v="1"/>
    <x v="1"/>
    <s v="20A"/>
    <s v="Whole Plate"/>
    <s v="Pseudanabaena sp."/>
    <b v="1"/>
    <n v="10"/>
    <n v="10.6666666666667"/>
    <m/>
    <n v="12.8"/>
    <n v="4.9919999999999999E-4"/>
    <n v="12.8"/>
    <n v="4.9919999999999999E-4"/>
    <m/>
  </r>
  <r>
    <s v="5831.4"/>
    <x v="1"/>
    <x v="1"/>
    <x v="1"/>
    <s v="20A"/>
    <s v="Whole Plate"/>
    <s v="Anabaena torulosa"/>
    <b v="1"/>
    <n v="10"/>
    <n v="16"/>
    <m/>
    <n v="1.6"/>
    <n v="3.5359999999999998E-4"/>
    <n v="1.6"/>
    <n v="3.5359999999999998E-4"/>
    <m/>
  </r>
  <r>
    <s v="5831.5"/>
    <x v="1"/>
    <x v="1"/>
    <x v="1"/>
    <s v="20A"/>
    <s v="Whole Plate"/>
    <s v="Dolichospermum lemmermannii"/>
    <b v="1"/>
    <n v="10"/>
    <n v="15.636363636363599"/>
    <m/>
    <n v="17.2"/>
    <n v="1.892E-3"/>
    <n v="17.2"/>
    <n v="1.892E-3"/>
    <m/>
  </r>
  <r>
    <s v="5831.6"/>
    <x v="1"/>
    <x v="1"/>
    <x v="1"/>
    <s v="20A"/>
    <s v="Whole Plate"/>
    <s v="Aphanocapsa sp"/>
    <b v="0"/>
    <n v="10"/>
    <n v="20"/>
    <m/>
    <n v="2"/>
    <n v="4.5000000000000001E-6"/>
    <n v="0"/>
    <n v="0"/>
    <m/>
  </r>
  <r>
    <s v="5831.7"/>
    <x v="1"/>
    <x v="1"/>
    <x v="1"/>
    <s v="20A"/>
    <s v="Whole Plate"/>
    <s v="Microcystis wesenbergii"/>
    <b v="1"/>
    <n v="10"/>
    <n v="28"/>
    <m/>
    <n v="2.8"/>
    <n v="5.3292400000000005E-4"/>
    <n v="2.8"/>
    <n v="5.3292400000000005E-4"/>
    <s v="Microcystis spp._x000a_"/>
  </r>
  <r>
    <s v="5835.1"/>
    <x v="1"/>
    <x v="2"/>
    <x v="1"/>
    <s v="20A"/>
    <s v="160"/>
    <s v="Microcystis flos-aquae"/>
    <b v="1"/>
    <n v="10"/>
    <n v="61"/>
    <m/>
    <n v="383.27486111111102"/>
    <n v="8.4320469444444397E-3"/>
    <n v="383.27486111111102"/>
    <n v="8.4320469444444397E-3"/>
    <s v="Microcystis spp._x000a_"/>
  </r>
  <r>
    <s v="5835.2"/>
    <x v="1"/>
    <x v="2"/>
    <x v="1"/>
    <s v="20A"/>
    <s v="160"/>
    <s v="Dolichospermum lemmermannii"/>
    <b v="1"/>
    <n v="10"/>
    <n v="29.75"/>
    <m/>
    <n v="1121.5502083333299"/>
    <n v="0.123370522916666"/>
    <n v="1121.5502083333299"/>
    <n v="0.123370522916666"/>
    <m/>
  </r>
  <r>
    <s v="5835.3"/>
    <x v="1"/>
    <x v="2"/>
    <x v="1"/>
    <s v="20A"/>
    <s v="160"/>
    <s v="Anabaena torulosa"/>
    <b v="1"/>
    <n v="10"/>
    <n v="18.399999999999999"/>
    <m/>
    <n v="289.02694444444398"/>
    <n v="6.3874954722222099E-2"/>
    <n v="289.02694444444398"/>
    <n v="6.3874954722222099E-2"/>
    <m/>
  </r>
  <r>
    <s v="5835.4"/>
    <x v="1"/>
    <x v="2"/>
    <x v="1"/>
    <s v="20A"/>
    <s v="160"/>
    <s v="Dolichospermum planctonicum "/>
    <b v="1"/>
    <n v="10"/>
    <n v="23"/>
    <m/>
    <n v="144.51347222222199"/>
    <n v="5.34699847222221E-2"/>
    <n v="144.51347222222199"/>
    <n v="5.34699847222221E-2"/>
    <m/>
  </r>
  <r>
    <s v="5835.5"/>
    <x v="1"/>
    <x v="2"/>
    <x v="1"/>
    <s v="20A"/>
    <s v="160"/>
    <s v="Aphanocapsa sp"/>
    <b v="0"/>
    <n v="10"/>
    <n v="38"/>
    <m/>
    <n v="119.380694444444"/>
    <n v="2.6860656249999901E-4"/>
    <n v="0"/>
    <n v="0"/>
    <m/>
  </r>
  <r>
    <s v="5835.6"/>
    <x v="1"/>
    <x v="2"/>
    <x v="1"/>
    <s v="20A"/>
    <s v="160"/>
    <s v="Merismopedia sp"/>
    <b v="0"/>
    <n v="10"/>
    <n v="8"/>
    <m/>
    <n v="25.1327777777778"/>
    <n v="5.5292111111111201E-4"/>
    <n v="0"/>
    <n v="0"/>
    <m/>
  </r>
  <r>
    <s v="5835.7"/>
    <x v="1"/>
    <x v="2"/>
    <x v="1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34.1"/>
    <x v="2"/>
    <x v="3"/>
    <x v="1"/>
    <s v="20A"/>
    <s v="Whole Plate"/>
    <s v="Dolichospermum circinale"/>
    <b v="1"/>
    <n v="10"/>
    <n v="20"/>
    <m/>
    <n v="10"/>
    <n v="5.7564000000000001E-3"/>
    <n v="10"/>
    <n v="5.7564000000000001E-3"/>
    <m/>
  </r>
  <r>
    <s v="5834.2"/>
    <x v="2"/>
    <x v="3"/>
    <x v="1"/>
    <s v="20A"/>
    <s v="Whole Plate"/>
    <s v="Dolichospermum planctonicum "/>
    <b v="1"/>
    <n v="10"/>
    <n v="21"/>
    <m/>
    <n v="23.1"/>
    <n v="8.5470000000000008E-3"/>
    <n v="23.1"/>
    <n v="8.5470000000000008E-3"/>
    <m/>
  </r>
  <r>
    <s v="5834.3"/>
    <x v="2"/>
    <x v="3"/>
    <x v="1"/>
    <s v="20A"/>
    <s v="Whole Plate"/>
    <s v="Dolichospermum lemmermannii"/>
    <b v="1"/>
    <n v="10"/>
    <n v="12"/>
    <m/>
    <n v="14.4"/>
    <n v="1.5839999999999999E-3"/>
    <n v="14.4"/>
    <n v="1.5839999999999999E-3"/>
    <m/>
  </r>
  <r>
    <s v="5834.4"/>
    <x v="2"/>
    <x v="3"/>
    <x v="1"/>
    <s v="20A"/>
    <s v="Whole Plate"/>
    <s v="Pseudanabaena limnetica (cylinder)"/>
    <b v="1"/>
    <n v="10"/>
    <n v="10.1428571428571"/>
    <m/>
    <n v="7.1"/>
    <n v="5.6090000000000003E-4"/>
    <n v="7.1"/>
    <n v="5.6090000000000003E-4"/>
    <m/>
  </r>
  <r>
    <s v="5834.5"/>
    <x v="2"/>
    <x v="3"/>
    <x v="1"/>
    <s v="20A"/>
    <s v="Whole Plate"/>
    <s v="Aphanocapsa sp"/>
    <b v="0"/>
    <n v="10"/>
    <n v="23"/>
    <m/>
    <n v="13.8"/>
    <n v="3.1050000000000003E-5"/>
    <n v="0"/>
    <n v="0"/>
    <m/>
  </r>
  <r>
    <s v="5826.1"/>
    <x v="2"/>
    <x v="4"/>
    <x v="1"/>
    <s v="20A"/>
    <s v="160"/>
    <s v="Dolichospermum planctonicum "/>
    <b v="1"/>
    <n v="10"/>
    <n v="10.8"/>
    <n v="48"/>
    <n v="2307.1889999999999"/>
    <n v="0.85365992999999996"/>
    <n v="2307.1889999999999"/>
    <n v="0.85365992999999996"/>
    <m/>
  </r>
  <r>
    <s v="5826.2"/>
    <x v="2"/>
    <x v="4"/>
    <x v="1"/>
    <s v="20A"/>
    <s v="160"/>
    <s v="Dolichospermum lemmermannii"/>
    <b v="1"/>
    <n v="10"/>
    <n v="34"/>
    <m/>
    <n v="213.62861111111101"/>
    <n v="2.34991472222222E-2"/>
    <n v="213.62861111111101"/>
    <n v="2.34991472222222E-2"/>
    <m/>
  </r>
  <r>
    <s v="5826.3"/>
    <x v="2"/>
    <x v="4"/>
    <x v="1"/>
    <s v="20A"/>
    <s v="160"/>
    <s v="Dolichospermum smithii"/>
    <b v="1"/>
    <n v="10"/>
    <n v="45"/>
    <m/>
    <n v="424.11562500000002"/>
    <n v="0.18364206562499999"/>
    <n v="424.11562500000002"/>
    <n v="0.18364206562499999"/>
    <m/>
  </r>
  <r>
    <s v="5826.4"/>
    <x v="2"/>
    <x v="4"/>
    <x v="1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26.5"/>
    <x v="2"/>
    <x v="4"/>
    <x v="1"/>
    <s v="20A"/>
    <s v="160"/>
    <s v="Aphanocapsa sp"/>
    <b v="0"/>
    <n v="10"/>
    <n v="228"/>
    <m/>
    <n v="716.28416666666703"/>
    <n v="1.611639375E-3"/>
    <n v="0"/>
    <n v="0"/>
    <m/>
  </r>
  <r>
    <s v="5829.1"/>
    <x v="2"/>
    <x v="5"/>
    <x v="1"/>
    <s v="20A"/>
    <s v="160"/>
    <s v="Dolichospermum circinale"/>
    <b v="1"/>
    <n v="10"/>
    <n v="21.733333333333299"/>
    <m/>
    <n v="1024.16069444444"/>
    <n v="0.58954786214999699"/>
    <n v="1024.16069444444"/>
    <n v="0.58954786214999699"/>
    <m/>
  </r>
  <r>
    <s v="5829.2"/>
    <x v="2"/>
    <x v="5"/>
    <x v="1"/>
    <s v="20A"/>
    <s v="160"/>
    <s v="Dolichospermum planctonicum "/>
    <b v="1"/>
    <n v="10"/>
    <n v="23.6666666666667"/>
    <m/>
    <n v="223.05340277777799"/>
    <n v="8.2529759027777899E-2"/>
    <n v="223.05340277777799"/>
    <n v="8.2529759027777899E-2"/>
    <m/>
  </r>
  <r>
    <s v="5829.3"/>
    <x v="2"/>
    <x v="5"/>
    <x v="1"/>
    <s v="20A"/>
    <s v="160"/>
    <s v="Dolichospermum spiroides"/>
    <b v="1"/>
    <n v="10"/>
    <n v="42"/>
    <m/>
    <n v="131.94708333333301"/>
    <n v="3.4306241666666598E-2"/>
    <n v="131.94708333333301"/>
    <n v="3.4306241666666598E-2"/>
    <m/>
  </r>
  <r>
    <s v="5829.4"/>
    <x v="2"/>
    <x v="5"/>
    <x v="1"/>
    <s v="20A"/>
    <s v="160"/>
    <s v="Microcystis sp"/>
    <b v="1"/>
    <n v="10"/>
    <n v="18"/>
    <m/>
    <n v="56.548749999999998"/>
    <n v="4.0601194655867203E-3"/>
    <n v="56.548749999999998"/>
    <n v="4.0601194655867203E-3"/>
    <s v="Microcystis spp._x000a_"/>
  </r>
  <r>
    <s v="5829.5"/>
    <x v="2"/>
    <x v="5"/>
    <x v="1"/>
    <s v="20A"/>
    <s v="160"/>
    <s v="Aphanocapsa sp"/>
    <b v="0"/>
    <n v="10"/>
    <n v="22"/>
    <m/>
    <n v="69.115138888888893"/>
    <n v="1.5550906250000001E-4"/>
    <n v="0"/>
    <n v="0"/>
    <m/>
  </r>
  <r>
    <s v="5837.1"/>
    <x v="2"/>
    <x v="6"/>
    <x v="1"/>
    <s v="20A"/>
    <s v="Whole Plate"/>
    <s v="Dolichospermum planctonicum "/>
    <b v="1"/>
    <n v="10"/>
    <n v="21.45"/>
    <n v="2"/>
    <n v="47.19"/>
    <n v="1.7460300000000002E-2"/>
    <n v="47.19"/>
    <n v="1.7460300000000002E-2"/>
    <m/>
  </r>
  <r>
    <s v="5837.2"/>
    <x v="2"/>
    <x v="6"/>
    <x v="1"/>
    <s v="20A"/>
    <s v="Whole Plate"/>
    <s v="Dolichospermum circinale"/>
    <b v="1"/>
    <n v="10"/>
    <n v="19.466666666666701"/>
    <m/>
    <n v="29.2"/>
    <n v="1.6808687999999999E-2"/>
    <n v="29.2"/>
    <n v="1.6808687999999999E-2"/>
    <m/>
  </r>
  <r>
    <s v="5837.3"/>
    <x v="2"/>
    <x v="6"/>
    <x v="1"/>
    <s v="20A"/>
    <s v="Whole Plate"/>
    <s v="Aphanocapsa sp"/>
    <b v="0"/>
    <n v="10"/>
    <n v="24.3333333333333"/>
    <m/>
    <n v="14.6"/>
    <n v="3.2849999999999999E-5"/>
    <n v="0"/>
    <n v="0"/>
    <m/>
  </r>
  <r>
    <s v="5837.4"/>
    <x v="2"/>
    <x v="6"/>
    <x v="1"/>
    <s v="20A"/>
    <s v="Whole Plate"/>
    <s v="Microcystis wesenbergii"/>
    <b v="1"/>
    <n v="10"/>
    <n v="70"/>
    <m/>
    <n v="7"/>
    <n v="1.33231E-3"/>
    <n v="7"/>
    <n v="1.33231E-3"/>
    <s v="Microcystis spp._x000a_"/>
  </r>
  <r>
    <s v="5836.1"/>
    <x v="2"/>
    <x v="7"/>
    <x v="1"/>
    <s v="20A"/>
    <s v="160"/>
    <s v="Dolichospermum planctonicum "/>
    <b v="1"/>
    <n v="10"/>
    <n v="17.25"/>
    <m/>
    <n v="650.31062499999996"/>
    <n v="0.24061493125"/>
    <n v="650.31062499999996"/>
    <n v="0.24061493125"/>
    <m/>
  </r>
  <r>
    <s v="5836.2"/>
    <x v="2"/>
    <x v="7"/>
    <x v="1"/>
    <s v="20A"/>
    <s v="160"/>
    <s v="Dolichospermum circinale"/>
    <b v="1"/>
    <n v="10"/>
    <n v="21.6666666666667"/>
    <m/>
    <n v="408.40763888888898"/>
    <n v="0.23509577325"/>
    <n v="408.40763888888898"/>
    <n v="0.23509577325"/>
    <m/>
  </r>
  <r>
    <s v="5833.1"/>
    <x v="3"/>
    <x v="8"/>
    <x v="1"/>
    <s v="20A"/>
    <s v="Whole Plate"/>
    <s v="Dolichospermum planctonicum "/>
    <b v="1"/>
    <n v="10"/>
    <n v="21.15"/>
    <n v="4"/>
    <n v="50.76"/>
    <n v="1.8781200000000001E-2"/>
    <n v="50.76"/>
    <n v="1.8781200000000001E-2"/>
    <m/>
  </r>
  <r>
    <s v="5833.2"/>
    <x v="3"/>
    <x v="8"/>
    <x v="1"/>
    <s v="20A"/>
    <s v="Whole Plate"/>
    <s v="Dolichospermum circinale"/>
    <b v="1"/>
    <n v="10"/>
    <n v="45.6"/>
    <m/>
    <n v="68.400000000000006"/>
    <n v="3.9373775999999999E-2"/>
    <n v="68.400000000000006"/>
    <n v="3.9373775999999999E-2"/>
    <m/>
  </r>
  <r>
    <s v="5828.1"/>
    <x v="3"/>
    <x v="9"/>
    <x v="1"/>
    <s v="20A"/>
    <s v="Whole Plate"/>
    <s v="Pseudanabaena sp."/>
    <b v="1"/>
    <n v="10"/>
    <n v="11.4"/>
    <n v="137"/>
    <n v="178.98"/>
    <n v="6.9802199999999997E-3"/>
    <n v="178.98"/>
    <n v="6.9802199999999997E-3"/>
    <m/>
  </r>
  <r>
    <s v="5828.2"/>
    <x v="3"/>
    <x v="9"/>
    <x v="1"/>
    <s v="20A"/>
    <s v="Whole Plate"/>
    <s v="Oscillatoria sp"/>
    <b v="1"/>
    <n v="10"/>
    <n v="22"/>
    <m/>
    <n v="6.6"/>
    <n v="1.78497E-2"/>
    <n v="6.6"/>
    <n v="1.78497E-2"/>
    <m/>
  </r>
  <r>
    <s v="5828.3"/>
    <x v="3"/>
    <x v="9"/>
    <x v="1"/>
    <s v="20A"/>
    <s v="Whole Plate"/>
    <s v="Dolichospermum circinale"/>
    <b v="1"/>
    <n v="10"/>
    <n v="14.875"/>
    <m/>
    <n v="11.9"/>
    <n v="6.8501159999999998E-3"/>
    <n v="11.9"/>
    <n v="6.8501159999999998E-3"/>
    <m/>
  </r>
  <r>
    <s v="5828.4"/>
    <x v="3"/>
    <x v="9"/>
    <x v="1"/>
    <s v="20A"/>
    <s v="Whole Plate"/>
    <s v="Dolichospermum planctonicum "/>
    <b v="1"/>
    <n v="10"/>
    <n v="47"/>
    <m/>
    <n v="9.4"/>
    <n v="3.4780000000000002E-3"/>
    <n v="9.4"/>
    <n v="3.4780000000000002E-3"/>
    <m/>
  </r>
  <r>
    <s v="5825.1"/>
    <x v="3"/>
    <x v="10"/>
    <x v="1"/>
    <s v="20A"/>
    <s v="Whole Plate"/>
    <s v="Pseudanabaena galeata (cylinder)"/>
    <b v="1"/>
    <n v="10"/>
    <n v="9.3333333333333304"/>
    <m/>
    <n v="2.8"/>
    <n v="1.6799999999999999E-4"/>
    <n v="2.8"/>
    <n v="1.6799999999999999E-4"/>
    <m/>
  </r>
  <r>
    <s v="5825.2"/>
    <x v="3"/>
    <x v="10"/>
    <x v="1"/>
    <s v="20A"/>
    <s v="Whole Plate"/>
    <s v="Pseudanabaena limnetica (cylinder)"/>
    <b v="1"/>
    <n v="10"/>
    <n v="16.071428571428601"/>
    <m/>
    <n v="22.5"/>
    <n v="1.7775E-3"/>
    <n v="22.5"/>
    <n v="1.7775E-3"/>
    <m/>
  </r>
  <r>
    <s v="5825.3"/>
    <x v="3"/>
    <x v="10"/>
    <x v="1"/>
    <s v="20A"/>
    <s v="Whole Plate"/>
    <s v="Dolichospermum circinale"/>
    <b v="1"/>
    <n v="10"/>
    <n v="33.3333333333333"/>
    <m/>
    <n v="40"/>
    <n v="2.30256E-2"/>
    <n v="40"/>
    <n v="2.30256E-2"/>
    <m/>
  </r>
  <r>
    <s v="5825.4"/>
    <x v="3"/>
    <x v="10"/>
    <x v="1"/>
    <s v="20A"/>
    <s v="Whole Plate"/>
    <s v="Dolichospermum spiroides"/>
    <b v="1"/>
    <n v="10"/>
    <n v="32"/>
    <m/>
    <n v="3.2"/>
    <n v="8.3199999999999995E-4"/>
    <n v="3.2"/>
    <n v="8.3199999999999995E-4"/>
    <m/>
  </r>
  <r>
    <s v="5825.5"/>
    <x v="3"/>
    <x v="10"/>
    <x v="1"/>
    <s v="20A"/>
    <s v="Whole Plate"/>
    <s v="Oscillatoria sp"/>
    <b v="1"/>
    <n v="10"/>
    <n v="16"/>
    <m/>
    <n v="3.2"/>
    <n v="8.6543999999999996E-3"/>
    <n v="3.2"/>
    <n v="8.6543999999999996E-3"/>
    <m/>
  </r>
  <r>
    <s v="5825.6"/>
    <x v="3"/>
    <x v="10"/>
    <x v="1"/>
    <s v="20A"/>
    <s v="Whole Plate"/>
    <s v="Dolichospermum planctonicum "/>
    <b v="1"/>
    <n v="10"/>
    <n v="22.6666666666667"/>
    <m/>
    <n v="6.8"/>
    <n v="2.516E-3"/>
    <n v="6.8"/>
    <n v="2.516E-3"/>
    <m/>
  </r>
  <r>
    <s v="5827.1"/>
    <x v="3"/>
    <x v="11"/>
    <x v="1"/>
    <s v="20A"/>
    <s v="160"/>
    <s v="Dolichospermum circinale"/>
    <b v="1"/>
    <n v="10"/>
    <n v="22.6"/>
    <n v="7"/>
    <n v="1917.0026250000001"/>
    <n v="1.1035033910550001"/>
    <n v="1917.0026250000001"/>
    <n v="1.1035033910550001"/>
    <m/>
  </r>
  <r>
    <s v="5827.2"/>
    <x v="3"/>
    <x v="11"/>
    <x v="1"/>
    <s v="20A"/>
    <s v="160"/>
    <s v="Dolichospermum planctonicum "/>
    <b v="1"/>
    <n v="10"/>
    <n v="27"/>
    <m/>
    <n v="339.29250000000002"/>
    <n v="0.125538225"/>
    <n v="339.29250000000002"/>
    <n v="0.125538225"/>
    <m/>
  </r>
  <r>
    <s v="5827.3"/>
    <x v="3"/>
    <x v="11"/>
    <x v="1"/>
    <s v="20A"/>
    <s v="160"/>
    <s v="Pseudanabaena limnetica (cylinder)"/>
    <b v="1"/>
    <n v="10"/>
    <n v="12"/>
    <m/>
    <n v="37.699166666666699"/>
    <n v="2.9782341666666698E-3"/>
    <n v="37.699166666666699"/>
    <n v="2.9782341666666698E-3"/>
    <m/>
  </r>
  <r>
    <s v="5827.4"/>
    <x v="3"/>
    <x v="11"/>
    <x v="1"/>
    <s v="20A"/>
    <s v="160"/>
    <s v="Dolichospermum spiroides"/>
    <b v="1"/>
    <n v="10"/>
    <n v="34.5"/>
    <m/>
    <n v="216.77020833333299"/>
    <n v="5.6360254166666603E-2"/>
    <n v="216.77020833333299"/>
    <n v="5.6360254166666603E-2"/>
    <m/>
  </r>
  <r>
    <s v="5832.1"/>
    <x v="4"/>
    <x v="12"/>
    <x v="1"/>
    <s v="20A"/>
    <s v="160"/>
    <s v="Aphanocapsa sp"/>
    <b v="0"/>
    <n v="10"/>
    <n v="52.65"/>
    <n v="144"/>
    <n v="27126.435375000001"/>
    <n v="6.1034479593750003E-2"/>
    <n v="0"/>
    <n v="0"/>
    <m/>
  </r>
  <r>
    <s v="5832.2"/>
    <x v="4"/>
    <x v="12"/>
    <x v="1"/>
    <s v="20A"/>
    <s v="160"/>
    <s v="Dolichospermum circinale"/>
    <b v="1"/>
    <n v="10"/>
    <n v="24.25"/>
    <n v="49"/>
    <n v="5256.6775520833298"/>
    <n v="3.0259538660812502"/>
    <n v="5256.6775520833298"/>
    <n v="3.0259538660812502"/>
    <m/>
  </r>
  <r>
    <s v="5832.3"/>
    <x v="4"/>
    <x v="12"/>
    <x v="1"/>
    <s v="20A"/>
    <s v="160"/>
    <s v="Dolichospermum spiroides"/>
    <b v="1"/>
    <n v="10"/>
    <n v="22.6666666666667"/>
    <m/>
    <n v="213.62861111111101"/>
    <n v="5.5543438888888901E-2"/>
    <n v="213.62861111111101"/>
    <n v="5.5543438888888901E-2"/>
    <m/>
  </r>
  <r>
    <s v="5832.4"/>
    <x v="4"/>
    <x v="12"/>
    <x v="1"/>
    <s v="20A"/>
    <s v="160"/>
    <s v="Phormidium sp"/>
    <b v="1"/>
    <n v="10"/>
    <n v="40"/>
    <m/>
    <n v="125.66388888888901"/>
    <n v="1.1729467388888901E-2"/>
    <n v="125.66388888888901"/>
    <n v="1.1729467388888901E-2"/>
    <m/>
  </r>
  <r>
    <s v="5832.5"/>
    <x v="4"/>
    <x v="12"/>
    <x v="1"/>
    <s v="20A"/>
    <s v="160"/>
    <s v="Dolichospermum planctonicum "/>
    <b v="1"/>
    <n v="10"/>
    <n v="38"/>
    <m/>
    <n v="119.380694444444"/>
    <n v="4.4170856944444302E-2"/>
    <n v="119.380694444444"/>
    <n v="4.4170856944444302E-2"/>
    <m/>
  </r>
  <r>
    <s v="5819.1"/>
    <x v="0"/>
    <x v="0"/>
    <x v="2"/>
    <s v="20A"/>
    <s v="160"/>
    <s v="Dolichospermum circinale"/>
    <b v="1"/>
    <n v="10"/>
    <n v="28.6666666666667"/>
    <m/>
    <n v="1080.7094444444399"/>
    <n v="0.62209958459999704"/>
    <n v="1080.7094444444399"/>
    <n v="0.62209958459999704"/>
    <m/>
  </r>
  <r>
    <s v="5819.2"/>
    <x v="0"/>
    <x v="0"/>
    <x v="2"/>
    <s v="20A"/>
    <s v="160"/>
    <s v="Microcystis sp"/>
    <b v="1"/>
    <n v="10"/>
    <n v="30"/>
    <m/>
    <n v="188.495833333333"/>
    <n v="1.35337315519557E-2"/>
    <n v="188.495833333333"/>
    <n v="1.35337315519557E-2"/>
    <s v="Microcystis spp._x000a_"/>
  </r>
  <r>
    <s v="5819.3"/>
    <x v="0"/>
    <x v="0"/>
    <x v="2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815.1"/>
    <x v="1"/>
    <x v="1"/>
    <x v="2"/>
    <s v="20A"/>
    <s v="160"/>
    <s v="Microcystis wesenbergii"/>
    <b v="1"/>
    <n v="10"/>
    <n v="34.6666666666667"/>
    <m/>
    <n v="326.72611111111098"/>
    <n v="6.2185780727777799E-2"/>
    <n v="326.72611111111098"/>
    <n v="6.2185780727777799E-2"/>
    <s v="Microcystis spp._x000a_"/>
  </r>
  <r>
    <s v="5815.2"/>
    <x v="1"/>
    <x v="1"/>
    <x v="2"/>
    <s v="20A"/>
    <s v="160"/>
    <s v="Dolichospermum sp"/>
    <b v="1"/>
    <n v="10"/>
    <n v="24.3"/>
    <n v="8"/>
    <n v="2137.5427500000001"/>
    <n v="0.4061331225"/>
    <n v="2137.5427500000001"/>
    <n v="0.4061331225"/>
    <m/>
  </r>
  <r>
    <s v="5815.3"/>
    <x v="1"/>
    <x v="1"/>
    <x v="2"/>
    <s v="20A"/>
    <s v="160"/>
    <s v="Anabaena torulosa"/>
    <b v="1"/>
    <n v="10"/>
    <n v="10"/>
    <m/>
    <n v="31.415972222222202"/>
    <n v="6.94292986111111E-3"/>
    <n v="31.415972222222202"/>
    <n v="6.94292986111111E-3"/>
    <m/>
  </r>
  <r>
    <s v="5815.4"/>
    <x v="1"/>
    <x v="1"/>
    <x v="2"/>
    <s v="20A"/>
    <s v="160"/>
    <s v="Picocyanobacteria"/>
    <b v="1"/>
    <n v="10"/>
    <n v="46.6666666666667"/>
    <m/>
    <n v="439.82361111111101"/>
    <n v="2.2870827777777801E-4"/>
    <n v="439.82361111111101"/>
    <n v="2.2870827777777801E-4"/>
    <m/>
  </r>
  <r>
    <s v="5815.5"/>
    <x v="1"/>
    <x v="1"/>
    <x v="2"/>
    <s v="20A"/>
    <s v="160"/>
    <s v="Dolichospermum spiroides"/>
    <b v="1"/>
    <n v="10"/>
    <n v="16"/>
    <m/>
    <n v="50.265555555555601"/>
    <n v="1.30690444444445E-2"/>
    <n v="50.265555555555601"/>
    <n v="1.30690444444445E-2"/>
    <m/>
  </r>
  <r>
    <s v="5815.6"/>
    <x v="1"/>
    <x v="1"/>
    <x v="2"/>
    <s v="20A"/>
    <s v="160"/>
    <s v="Dolichospermum planctonicum "/>
    <b v="1"/>
    <n v="10"/>
    <n v="22.3333333333333"/>
    <m/>
    <n v="210.48701388888901"/>
    <n v="7.78801951388889E-2"/>
    <n v="210.48701388888901"/>
    <n v="7.78801951388889E-2"/>
    <m/>
  </r>
  <r>
    <s v="5824.1"/>
    <x v="1"/>
    <x v="2"/>
    <x v="2"/>
    <s v="20A"/>
    <s v="Whole Plate"/>
    <s v="Microcystis sp"/>
    <b v="1"/>
    <n v="10"/>
    <n v="21.1"/>
    <m/>
    <n v="21.1"/>
    <n v="1.5149498569620001E-3"/>
    <n v="21.1"/>
    <n v="1.5149498569620001E-3"/>
    <s v="Microcystis spp._x000a_"/>
  </r>
  <r>
    <s v="5824.2"/>
    <x v="1"/>
    <x v="2"/>
    <x v="2"/>
    <s v="20A"/>
    <s v="Whole Plate"/>
    <s v="Oscillatoria sp"/>
    <b v="1"/>
    <n v="10"/>
    <n v="162"/>
    <m/>
    <n v="32.4"/>
    <n v="8.7625800000000004E-2"/>
    <n v="32.4"/>
    <n v="8.7625800000000004E-2"/>
    <m/>
  </r>
  <r>
    <s v="5824.3"/>
    <x v="1"/>
    <x v="2"/>
    <x v="2"/>
    <s v="20A"/>
    <s v="Whole Plate"/>
    <s v="Merismopedia sp"/>
    <b v="0"/>
    <n v="10"/>
    <n v="24"/>
    <m/>
    <n v="4.8"/>
    <n v="1.0560000000000001E-4"/>
    <n v="0"/>
    <n v="0"/>
    <m/>
  </r>
  <r>
    <s v="5824.4"/>
    <x v="1"/>
    <x v="2"/>
    <x v="2"/>
    <s v="20A"/>
    <s v="Whole Plate"/>
    <s v="Pseudanabaena limnetica (cylinder)"/>
    <b v="1"/>
    <n v="10"/>
    <n v="12.6666666666667"/>
    <m/>
    <n v="7.6"/>
    <n v="6.0039999999999996E-4"/>
    <n v="7.6"/>
    <n v="6.0039999999999996E-4"/>
    <m/>
  </r>
  <r>
    <s v="5824.5"/>
    <x v="1"/>
    <x v="2"/>
    <x v="2"/>
    <s v="20A"/>
    <s v="Whole Plate"/>
    <s v="Dolichospermum sp"/>
    <b v="1"/>
    <n v="10"/>
    <n v="13.3333333333333"/>
    <m/>
    <n v="4"/>
    <n v="7.6000000000000004E-4"/>
    <n v="4"/>
    <n v="7.6000000000000004E-4"/>
    <m/>
  </r>
  <r>
    <s v="5824.6"/>
    <x v="1"/>
    <x v="2"/>
    <x v="2"/>
    <s v="20A"/>
    <s v="Whole Plate"/>
    <s v="Anabaena torulosa"/>
    <b v="1"/>
    <n v="10"/>
    <n v="16"/>
    <m/>
    <n v="1.6"/>
    <n v="3.5359999999999998E-4"/>
    <n v="1.6"/>
    <n v="3.5359999999999998E-4"/>
    <m/>
  </r>
  <r>
    <s v="5824.7"/>
    <x v="1"/>
    <x v="2"/>
    <x v="2"/>
    <s v="20A"/>
    <s v="Whole Plate"/>
    <s v="Coelosphaerium kuetzingianum"/>
    <b v="0"/>
    <n v="10"/>
    <n v="44"/>
    <m/>
    <n v="8.8000000000000007"/>
    <n v="7.8232000000000006E-5"/>
    <n v="0"/>
    <n v="0"/>
    <m/>
  </r>
  <r>
    <s v="5821.1"/>
    <x v="2"/>
    <x v="3"/>
    <x v="2"/>
    <s v="20A"/>
    <s v="Whole Plate"/>
    <s v="Dolichospermum sp"/>
    <b v="1"/>
    <n v="10"/>
    <n v="20.75"/>
    <n v="20"/>
    <n v="83"/>
    <n v="1.5769999999999999E-2"/>
    <n v="83"/>
    <n v="1.5769999999999999E-2"/>
    <m/>
  </r>
  <r>
    <s v="5821.2"/>
    <x v="2"/>
    <x v="3"/>
    <x v="2"/>
    <s v="20A"/>
    <s v="Whole Plate"/>
    <s v="Dolichospermum sp"/>
    <b v="1"/>
    <n v="10"/>
    <n v="20.75"/>
    <n v="20"/>
    <n v="83"/>
    <n v="1.5769999999999999E-2"/>
    <n v="83"/>
    <n v="1.5769999999999999E-2"/>
    <m/>
  </r>
  <r>
    <s v="5821.3"/>
    <x v="2"/>
    <x v="3"/>
    <x v="2"/>
    <s v="20A"/>
    <s v="Whole Plate"/>
    <s v="Dolichospermum planctonicum "/>
    <b v="1"/>
    <n v="10"/>
    <n v="10.6666666666667"/>
    <m/>
    <n v="3.2"/>
    <n v="1.1839999999999999E-3"/>
    <n v="3.2"/>
    <n v="1.1839999999999999E-3"/>
    <m/>
  </r>
  <r>
    <s v="5821.4"/>
    <x v="2"/>
    <x v="3"/>
    <x v="2"/>
    <s v="20A"/>
    <s v="Whole Plate"/>
    <s v="Pseudanabaena limnetica (cylinder)"/>
    <b v="1"/>
    <n v="10"/>
    <n v="15"/>
    <m/>
    <n v="3"/>
    <n v="2.3699999999999999E-4"/>
    <n v="3"/>
    <n v="2.3699999999999999E-4"/>
    <m/>
  </r>
  <r>
    <s v="5813.1"/>
    <x v="2"/>
    <x v="4"/>
    <x v="2"/>
    <s v="20A"/>
    <s v="160"/>
    <s v="Dolichospermum planctonicum "/>
    <b v="1"/>
    <n v="10"/>
    <n v="14.4285714285714"/>
    <m/>
    <n v="634.60263888888903"/>
    <n v="0.234802976388889"/>
    <n v="634.60263888888903"/>
    <n v="0.234802976388889"/>
    <m/>
  </r>
  <r>
    <s v="5813.2"/>
    <x v="2"/>
    <x v="4"/>
    <x v="2"/>
    <s v="20A"/>
    <s v="160"/>
    <s v="Dolichospermum circinale"/>
    <b v="1"/>
    <n v="10"/>
    <n v="12.6666666666667"/>
    <m/>
    <n v="238.761388888889"/>
    <n v="0.13744060590000001"/>
    <n v="238.761388888889"/>
    <n v="0.13744060590000001"/>
    <m/>
  </r>
  <r>
    <s v="5813.3"/>
    <x v="2"/>
    <x v="4"/>
    <x v="2"/>
    <s v="20A"/>
    <s v="160"/>
    <s v="Pseudanabaena limnetica (cylinder)"/>
    <b v="1"/>
    <n v="10"/>
    <n v="8"/>
    <m/>
    <n v="25.1327777777778"/>
    <n v="1.98548944444445E-3"/>
    <n v="25.1327777777778"/>
    <n v="1.98548944444445E-3"/>
    <m/>
  </r>
  <r>
    <s v="5812.1"/>
    <x v="2"/>
    <x v="5"/>
    <x v="2"/>
    <s v="20A"/>
    <s v="160"/>
    <s v="Merismopedia sp"/>
    <b v="0"/>
    <n v="10"/>
    <n v="32"/>
    <m/>
    <n v="100.531111111111"/>
    <n v="2.2116844444444398E-3"/>
    <n v="0"/>
    <n v="0"/>
    <m/>
  </r>
  <r>
    <s v="5812.2"/>
    <x v="2"/>
    <x v="5"/>
    <x v="2"/>
    <s v="20A"/>
    <s v="160"/>
    <s v="Dolichospermum circinale"/>
    <b v="1"/>
    <n v="10"/>
    <n v="19.923076923076898"/>
    <m/>
    <n v="813.67368055555596"/>
    <n v="0.468383117475"/>
    <n v="813.67368055555596"/>
    <n v="0.468383117475"/>
    <m/>
  </r>
  <r>
    <s v="5812.3"/>
    <x v="2"/>
    <x v="5"/>
    <x v="2"/>
    <s v="20A"/>
    <s v="160"/>
    <s v="Dolichospermum planctonicum "/>
    <b v="1"/>
    <n v="10"/>
    <n v="35"/>
    <m/>
    <n v="219.91180555555599"/>
    <n v="8.1367368055555694E-2"/>
    <n v="219.91180555555599"/>
    <n v="8.1367368055555694E-2"/>
    <m/>
  </r>
  <r>
    <s v="5823.1"/>
    <x v="2"/>
    <x v="6"/>
    <x v="2"/>
    <s v="20A"/>
    <s v="Whole Plate"/>
    <s v="Dolichospermum sp"/>
    <b v="1"/>
    <n v="10"/>
    <n v="17.7"/>
    <n v="4"/>
    <n v="42.48"/>
    <n v="8.0712000000000006E-3"/>
    <n v="42.48"/>
    <n v="8.0712000000000006E-3"/>
    <m/>
  </r>
  <r>
    <s v="5823.2"/>
    <x v="2"/>
    <x v="6"/>
    <x v="2"/>
    <s v="20A"/>
    <s v="Whole Plate"/>
    <s v="Dolichospermum planctonicum "/>
    <b v="1"/>
    <n v="10"/>
    <n v="9"/>
    <m/>
    <n v="2.7"/>
    <n v="9.990000000000001E-4"/>
    <n v="2.7"/>
    <n v="9.990000000000001E-4"/>
    <m/>
  </r>
  <r>
    <s v="5822.1"/>
    <x v="2"/>
    <x v="7"/>
    <x v="2"/>
    <s v="20A"/>
    <s v="Whole Plate"/>
    <s v="Dolichospermum planctonicum "/>
    <b v="1"/>
    <n v="10"/>
    <n v="23.25"/>
    <n v="34"/>
    <n v="125.55"/>
    <n v="4.6453500000000002E-2"/>
    <n v="125.55"/>
    <n v="4.6453500000000002E-2"/>
    <m/>
  </r>
  <r>
    <s v="5822.2"/>
    <x v="2"/>
    <x v="7"/>
    <x v="2"/>
    <s v="20A"/>
    <s v="Whole Plate"/>
    <s v="Dolichospermum spiroides"/>
    <b v="1"/>
    <n v="10"/>
    <n v="12"/>
    <m/>
    <n v="1.2"/>
    <n v="3.1199999999999999E-4"/>
    <n v="1.2"/>
    <n v="3.1199999999999999E-4"/>
    <m/>
  </r>
  <r>
    <s v="5822.3"/>
    <x v="2"/>
    <x v="7"/>
    <x v="2"/>
    <s v="20A"/>
    <s v="Whole Plate"/>
    <s v="Dolichospermum sp"/>
    <b v="1"/>
    <n v="10"/>
    <n v="20.2"/>
    <n v="29"/>
    <n v="98.98"/>
    <n v="1.8806199999999999E-2"/>
    <n v="98.98"/>
    <n v="1.8806199999999999E-2"/>
    <m/>
  </r>
  <r>
    <s v="5820.1"/>
    <x v="3"/>
    <x v="8"/>
    <x v="2"/>
    <s v="20A"/>
    <s v="160"/>
    <s v="Pseudanabaena limnetica (cylinder)"/>
    <b v="1"/>
    <n v="10"/>
    <n v="15.2"/>
    <m/>
    <n v="238.761388888889"/>
    <n v="1.88621497222222E-2"/>
    <n v="238.761388888889"/>
    <n v="1.88621497222222E-2"/>
    <m/>
  </r>
  <r>
    <s v="5820.2"/>
    <x v="3"/>
    <x v="8"/>
    <x v="2"/>
    <s v="20A"/>
    <s v="160"/>
    <s v="Dolichospermum circinale"/>
    <b v="1"/>
    <n v="10"/>
    <n v="23"/>
    <m/>
    <n v="1011.59430555556"/>
    <n v="0.58231414605000298"/>
    <n v="1011.59430555556"/>
    <n v="0.58231414605000298"/>
    <m/>
  </r>
  <r>
    <s v="5820.3"/>
    <x v="3"/>
    <x v="8"/>
    <x v="2"/>
    <s v="20A"/>
    <s v="160"/>
    <s v="Dolichospermum planctonicum "/>
    <b v="1"/>
    <n v="10"/>
    <n v="26.6666666666667"/>
    <m/>
    <n v="251.32777777777801"/>
    <n v="9.2991277777777895E-2"/>
    <n v="251.32777777777801"/>
    <n v="9.2991277777777895E-2"/>
    <m/>
  </r>
  <r>
    <s v="5816.1"/>
    <x v="3"/>
    <x v="9"/>
    <x v="2"/>
    <s v="20A"/>
    <s v="160"/>
    <s v="Pseudanabaena limnetica (cylinder)"/>
    <b v="1"/>
    <n v="10"/>
    <n v="14"/>
    <m/>
    <n v="351.858888888889"/>
    <n v="2.7796852222222199E-2"/>
    <n v="351.858888888889"/>
    <n v="2.7796852222222199E-2"/>
    <m/>
  </r>
  <r>
    <s v="5816.2"/>
    <x v="3"/>
    <x v="9"/>
    <x v="2"/>
    <s v="20A"/>
    <s v="160"/>
    <s v="Dolichospermum circinale"/>
    <b v="1"/>
    <n v="10"/>
    <n v="32.266666666666701"/>
    <m/>
    <n v="1520.5330555555599"/>
    <n v="0.87527964810000303"/>
    <n v="1520.5330555555599"/>
    <n v="0.87527964810000303"/>
    <m/>
  </r>
  <r>
    <s v="5814.1"/>
    <x v="3"/>
    <x v="10"/>
    <x v="2"/>
    <s v="20A"/>
    <s v="160"/>
    <s v="Dolichospermum circinale"/>
    <b v="1"/>
    <n v="10"/>
    <n v="35.714285714285701"/>
    <m/>
    <n v="1570.7986111111099"/>
    <n v="0.90421451249999896"/>
    <n v="1570.7986111111099"/>
    <n v="0.90421451249999896"/>
    <m/>
  </r>
  <r>
    <s v="5814.2"/>
    <x v="3"/>
    <x v="10"/>
    <x v="2"/>
    <s v="20A"/>
    <s v="160"/>
    <s v="Dolichospermum planctonicum "/>
    <b v="1"/>
    <n v="10"/>
    <n v="30.052631578947398"/>
    <m/>
    <n v="1793.85201388889"/>
    <n v="0.66372524513888898"/>
    <n v="1793.85201388889"/>
    <n v="0.66372524513888898"/>
    <m/>
  </r>
  <r>
    <s v="5814.3"/>
    <x v="3"/>
    <x v="10"/>
    <x v="2"/>
    <s v="20A"/>
    <s v="160"/>
    <s v="Microcystis wesenbergii"/>
    <b v="1"/>
    <n v="10"/>
    <n v="18"/>
    <m/>
    <n v="56.548749999999998"/>
    <n v="1.0762923587500001E-2"/>
    <n v="56.548749999999998"/>
    <n v="1.0762923587500001E-2"/>
    <s v="Microcystis spp._x000a_"/>
  </r>
  <r>
    <s v="5817.1"/>
    <x v="3"/>
    <x v="11"/>
    <x v="2"/>
    <s v="20A"/>
    <s v="160"/>
    <s v="Dolichospermum circinale"/>
    <b v="1"/>
    <n v="10"/>
    <n v="25.428571428571399"/>
    <m/>
    <n v="1118.4086111111101"/>
    <n v="0.64380073289999895"/>
    <n v="1118.4086111111101"/>
    <n v="0.64380073289999895"/>
    <m/>
  </r>
  <r>
    <s v="5817.2"/>
    <x v="3"/>
    <x v="11"/>
    <x v="2"/>
    <s v="20A"/>
    <s v="160"/>
    <s v="Dolichospermum planctonicum "/>
    <b v="1"/>
    <n v="10"/>
    <n v="15.3333333333333"/>
    <m/>
    <n v="144.51347222222199"/>
    <n v="5.34699847222221E-2"/>
    <n v="144.51347222222199"/>
    <n v="5.34699847222221E-2"/>
    <m/>
  </r>
  <r>
    <s v="5818.1"/>
    <x v="4"/>
    <x v="12"/>
    <x v="2"/>
    <s v="20A"/>
    <s v="160"/>
    <s v="Dolichospermum spiroides"/>
    <b v="1"/>
    <n v="10"/>
    <n v="29.6666666666667"/>
    <m/>
    <n v="559.20430555555504"/>
    <n v="0.145393119444445"/>
    <n v="559.20430555555595"/>
    <n v="0.145393119444445"/>
    <m/>
  </r>
  <r>
    <s v="5818.2"/>
    <x v="4"/>
    <x v="12"/>
    <x v="2"/>
    <s v="20A"/>
    <s v="160"/>
    <s v="Dolichospermum circinale"/>
    <b v="1"/>
    <n v="10"/>
    <n v="22.75"/>
    <n v="75"/>
    <n v="6789.7769965277803"/>
    <n v="3.90846723028125"/>
    <n v="6789.7769965277803"/>
    <n v="3.90846723028125"/>
    <m/>
  </r>
  <r>
    <s v="5818.3"/>
    <x v="4"/>
    <x v="12"/>
    <x v="2"/>
    <s v="20A"/>
    <s v="160"/>
    <s v="Dolichospermum planctonicum "/>
    <b v="1"/>
    <n v="10"/>
    <n v="14.5"/>
    <m/>
    <n v="182.21263888888899"/>
    <n v="6.7418676388888904E-2"/>
    <n v="182.21263888888899"/>
    <n v="6.7418676388888904E-2"/>
    <m/>
  </r>
  <r>
    <s v="5803.1"/>
    <x v="0"/>
    <x v="0"/>
    <x v="3"/>
    <s v="20A"/>
    <s v="160"/>
    <s v="Dolichospermum circinale"/>
    <b v="1"/>
    <n v="10"/>
    <n v="28.647058823529399"/>
    <m/>
    <n v="1529.9578472222199"/>
    <n v="0.88070493517499904"/>
    <n v="1529.9578472222199"/>
    <n v="0.88070493517499904"/>
    <m/>
  </r>
  <r>
    <s v="5803.2"/>
    <x v="0"/>
    <x v="0"/>
    <x v="3"/>
    <s v="20A"/>
    <s v="160"/>
    <s v="Limnococcus limneticus_x000a_"/>
    <b v="0"/>
    <n v="10"/>
    <n v="15"/>
    <m/>
    <n v="94.247916666666697"/>
    <n v="4.24115625E-2"/>
    <n v="0"/>
    <n v="0"/>
    <m/>
  </r>
  <r>
    <s v="5803.3"/>
    <x v="0"/>
    <x v="0"/>
    <x v="3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803.4"/>
    <x v="0"/>
    <x v="0"/>
    <x v="3"/>
    <s v="20A"/>
    <s v="160"/>
    <s v="Microcystis sp"/>
    <b v="1"/>
    <n v="10"/>
    <n v="22"/>
    <m/>
    <n v="69.115138888888893"/>
    <n v="4.9623682357171099E-3"/>
    <n v="69.115138888888893"/>
    <n v="4.9623682357171099E-3"/>
    <s v="Microcystis spp._x000a_"/>
  </r>
  <r>
    <s v="5807.1"/>
    <x v="1"/>
    <x v="1"/>
    <x v="3"/>
    <s v="20A"/>
    <s v="Whole Plate"/>
    <s v="Microcystis sp"/>
    <b v="1"/>
    <n v="10"/>
    <n v="22"/>
    <m/>
    <n v="11"/>
    <n v="7.8978428561999995E-4"/>
    <n v="11"/>
    <n v="7.8978428561999995E-4"/>
    <s v="Microcystis spp._x000a_"/>
  </r>
  <r>
    <s v="5807.2"/>
    <x v="1"/>
    <x v="1"/>
    <x v="3"/>
    <s v="20A"/>
    <s v="Whole Plate"/>
    <s v="Anabaena torulosa"/>
    <b v="1"/>
    <n v="10"/>
    <n v="14.7272727272727"/>
    <m/>
    <n v="16.2"/>
    <n v="3.5802E-3"/>
    <n v="16.2"/>
    <n v="3.5802E-3"/>
    <m/>
  </r>
  <r>
    <s v="5807.3"/>
    <x v="1"/>
    <x v="1"/>
    <x v="3"/>
    <s v="20A"/>
    <s v="Whole Plate"/>
    <s v="Pseudanabaena limnetica (cylinder)"/>
    <b v="1"/>
    <n v="10"/>
    <n v="13"/>
    <m/>
    <n v="5.2"/>
    <n v="4.1080000000000001E-4"/>
    <n v="5.2"/>
    <n v="4.1080000000000001E-4"/>
    <m/>
  </r>
  <r>
    <s v="5807.4"/>
    <x v="1"/>
    <x v="1"/>
    <x v="3"/>
    <s v="20A"/>
    <s v="Whole Plate"/>
    <s v="Dolichospermum lemmermannii"/>
    <b v="1"/>
    <n v="10"/>
    <n v="24.5"/>
    <m/>
    <n v="9.8000000000000007"/>
    <n v="1.078E-3"/>
    <n v="9.8000000000000007"/>
    <n v="1.078E-3"/>
    <m/>
  </r>
  <r>
    <s v="5807.5"/>
    <x v="1"/>
    <x v="1"/>
    <x v="3"/>
    <s v="20A"/>
    <s v="Whole Plate"/>
    <s v="Microcystis flos-aquae"/>
    <b v="1"/>
    <n v="10"/>
    <n v="108"/>
    <m/>
    <n v="21.6"/>
    <n v="4.752E-4"/>
    <n v="21.6"/>
    <n v="4.752E-4"/>
    <s v="Microcystis spp._x000a_"/>
  </r>
  <r>
    <s v="5807.6"/>
    <x v="1"/>
    <x v="1"/>
    <x v="3"/>
    <s v="20A"/>
    <s v="Whole Plate"/>
    <s v="Aphanocapsa holsatica"/>
    <b v="0"/>
    <n v="10"/>
    <n v="120"/>
    <m/>
    <n v="12"/>
    <n v="6.0000000000000002E-6"/>
    <n v="0"/>
    <n v="0"/>
    <m/>
  </r>
  <r>
    <s v="5808.1"/>
    <x v="1"/>
    <x v="2"/>
    <x v="3"/>
    <s v="20A"/>
    <s v="Whole Plate"/>
    <s v="Microcystis sp"/>
    <b v="1"/>
    <n v="10"/>
    <n v="18.399999999999999"/>
    <m/>
    <n v="18.399999999999999"/>
    <n v="1.321093714128E-3"/>
    <n v="18.399999999999999"/>
    <n v="1.321093714128E-3"/>
    <s v="Microcystis spp._x000a_"/>
  </r>
  <r>
    <s v="5808.2"/>
    <x v="1"/>
    <x v="2"/>
    <x v="3"/>
    <s v="20A"/>
    <s v="Whole Plate"/>
    <s v="Dolichospermum lemmermannii"/>
    <b v="1"/>
    <n v="10"/>
    <n v="17.899999999999999"/>
    <n v="12"/>
    <n v="57.28"/>
    <n v="6.3007999999999996E-3"/>
    <n v="57.28"/>
    <n v="6.3007999999999996E-3"/>
    <m/>
  </r>
  <r>
    <s v="5808.3"/>
    <x v="1"/>
    <x v="2"/>
    <x v="3"/>
    <s v="20A"/>
    <s v="Whole Plate"/>
    <s v="Oscillatoria sp"/>
    <b v="1"/>
    <n v="10"/>
    <n v="28"/>
    <m/>
    <n v="2.8"/>
    <n v="7.5725999999999996E-3"/>
    <n v="2.8"/>
    <n v="7.5725999999999996E-3"/>
    <m/>
  </r>
  <r>
    <s v="5808.4"/>
    <x v="1"/>
    <x v="2"/>
    <x v="3"/>
    <s v="20A"/>
    <s v="Whole Plate"/>
    <s v="Dolichospermum planctonicum "/>
    <b v="1"/>
    <n v="10"/>
    <n v="18"/>
    <m/>
    <n v="5.4"/>
    <n v="1.9980000000000002E-3"/>
    <n v="5.4"/>
    <n v="1.9980000000000002E-3"/>
    <m/>
  </r>
  <r>
    <s v="5808.5"/>
    <x v="1"/>
    <x v="2"/>
    <x v="3"/>
    <s v="20A"/>
    <s v="Whole Plate"/>
    <s v="Pseudanabaena limnetica (cylinder)"/>
    <b v="1"/>
    <n v="10"/>
    <n v="15.8571428571429"/>
    <m/>
    <n v="11.1"/>
    <n v="8.7690000000000001E-4"/>
    <n v="11.1"/>
    <n v="8.7690000000000001E-4"/>
    <m/>
  </r>
  <r>
    <s v="5808.6"/>
    <x v="1"/>
    <x v="2"/>
    <x v="3"/>
    <s v="20A"/>
    <s v="Whole Plate"/>
    <s v="Anabaena torulosa"/>
    <b v="1"/>
    <n v="10"/>
    <n v="24"/>
    <m/>
    <n v="4.8"/>
    <n v="1.0608E-3"/>
    <n v="4.8"/>
    <n v="1.0608E-3"/>
    <m/>
  </r>
  <r>
    <s v="5808.7"/>
    <x v="1"/>
    <x v="2"/>
    <x v="3"/>
    <s v="20A"/>
    <s v="Whole Plate"/>
    <s v="Merismopedia sp"/>
    <b v="0"/>
    <n v="10"/>
    <n v="32"/>
    <m/>
    <n v="3.2"/>
    <n v="7.0400000000000004E-5"/>
    <n v="0"/>
    <n v="0"/>
    <m/>
  </r>
  <r>
    <s v="5809.1"/>
    <x v="2"/>
    <x v="3"/>
    <x v="3"/>
    <s v="20A"/>
    <s v="Whole Plate"/>
    <s v="Limnococcus limneticus_x000a_"/>
    <b v="0"/>
    <n v="10"/>
    <n v="28.6666666666667"/>
    <m/>
    <n v="17.2"/>
    <n v="7.7400000000000004E-3"/>
    <n v="0"/>
    <n v="0"/>
    <m/>
  </r>
  <r>
    <s v="5809.2"/>
    <x v="2"/>
    <x v="3"/>
    <x v="3"/>
    <s v="20A"/>
    <s v="Whole Plate"/>
    <s v="Dolichospermum sp"/>
    <b v="1"/>
    <n v="10"/>
    <n v="20.350000000000001"/>
    <n v="47"/>
    <n v="136.345"/>
    <n v="2.5905549999999999E-2"/>
    <n v="136.345"/>
    <n v="2.5905549999999999E-2"/>
    <m/>
  </r>
  <r>
    <s v="5809.3"/>
    <x v="2"/>
    <x v="3"/>
    <x v="3"/>
    <s v="20A"/>
    <s v="Whole Plate"/>
    <s v="Woronichinia naegeliana"/>
    <b v="1"/>
    <n v="10"/>
    <n v="178"/>
    <m/>
    <n v="17.8"/>
    <n v="0"/>
    <n v="17.8"/>
    <n v="0"/>
    <m/>
  </r>
  <r>
    <s v="5809.4"/>
    <x v="2"/>
    <x v="3"/>
    <x v="3"/>
    <s v="20A"/>
    <s v="Whole Plate"/>
    <s v="Anabaena torulosa"/>
    <b v="1"/>
    <n v="10"/>
    <n v="22"/>
    <m/>
    <n v="2.2000000000000002"/>
    <n v="4.862E-4"/>
    <n v="2.2000000000000002"/>
    <n v="4.862E-4"/>
    <m/>
  </r>
  <r>
    <s v="5804.1"/>
    <x v="2"/>
    <x v="4"/>
    <x v="3"/>
    <s v="20A"/>
    <s v="160"/>
    <s v="Woronichinia naegeliana"/>
    <b v="1"/>
    <n v="10"/>
    <n v="144"/>
    <m/>
    <n v="904.78"/>
    <n v="0"/>
    <n v="904.78"/>
    <n v="0"/>
    <m/>
  </r>
  <r>
    <s v="5804.2"/>
    <x v="2"/>
    <x v="4"/>
    <x v="3"/>
    <s v="20A"/>
    <s v="160"/>
    <s v="Dolichospermum sp"/>
    <b v="1"/>
    <n v="10"/>
    <n v="19.1428571428571"/>
    <m/>
    <n v="420.97402777777802"/>
    <n v="7.9985065277777795E-2"/>
    <n v="420.97402777777802"/>
    <n v="7.9985065277777795E-2"/>
    <m/>
  </r>
  <r>
    <s v="5804.3"/>
    <x v="2"/>
    <x v="4"/>
    <x v="3"/>
    <s v="20A"/>
    <s v="160"/>
    <s v="Dolichospermum planctonicum "/>
    <b v="1"/>
    <n v="10"/>
    <n v="12.25"/>
    <m/>
    <n v="153.938263888889"/>
    <n v="5.6957157638888901E-2"/>
    <n v="153.938263888889"/>
    <n v="5.6957157638888901E-2"/>
    <m/>
  </r>
  <r>
    <s v="5804.4"/>
    <x v="2"/>
    <x v="4"/>
    <x v="3"/>
    <s v="20A"/>
    <s v="160"/>
    <s v="Dolichospermum spiroides"/>
    <b v="1"/>
    <n v="10"/>
    <n v="24"/>
    <m/>
    <n v="75.398333333333298"/>
    <n v="1.96035666666667E-2"/>
    <n v="75.398333333333298"/>
    <n v="1.96035666666667E-2"/>
    <m/>
  </r>
  <r>
    <s v="5804.5"/>
    <x v="2"/>
    <x v="4"/>
    <x v="3"/>
    <s v="20A"/>
    <s v="160"/>
    <s v="Microcystis sp"/>
    <b v="1"/>
    <n v="10"/>
    <n v="22"/>
    <m/>
    <n v="69.115138888888893"/>
    <n v="4.9623682357171099E-3"/>
    <n v="69.115138888888893"/>
    <n v="4.9623682357171099E-3"/>
    <s v="Microcystis spp._x000a_"/>
  </r>
  <r>
    <s v="5804.6"/>
    <x v="2"/>
    <x v="4"/>
    <x v="3"/>
    <s v="20A"/>
    <s v="160"/>
    <s v="Dolichospermum circinale"/>
    <b v="1"/>
    <n v="10"/>
    <n v="20.8571428571429"/>
    <m/>
    <n v="458.67319444444399"/>
    <n v="0.26403063765000001"/>
    <n v="458.67319444444399"/>
    <n v="0.26403063765000001"/>
    <m/>
  </r>
  <r>
    <s v="5804.7"/>
    <x v="2"/>
    <x v="4"/>
    <x v="3"/>
    <s v="20A"/>
    <s v="160"/>
    <s v="Coelosphaerium kuetzingianum"/>
    <b v="0"/>
    <n v="10"/>
    <n v="44"/>
    <m/>
    <n v="138.23027777777801"/>
    <n v="1.22886716944445E-3"/>
    <n v="0"/>
    <n v="0"/>
    <m/>
  </r>
  <r>
    <s v="5802.1"/>
    <x v="2"/>
    <x v="5"/>
    <x v="3"/>
    <s v="20A"/>
    <s v="160"/>
    <s v="Limnococcus limneticus_x000a_"/>
    <b v="0"/>
    <n v="10"/>
    <n v="30"/>
    <m/>
    <n v="94.247916666666697"/>
    <n v="4.24115625E-2"/>
    <n v="0"/>
    <n v="0"/>
    <m/>
  </r>
  <r>
    <s v="5802.2"/>
    <x v="2"/>
    <x v="5"/>
    <x v="3"/>
    <s v="20A"/>
    <s v="160"/>
    <s v="Dolichospermum circinale"/>
    <b v="1"/>
    <n v="10"/>
    <n v="31.75"/>
    <m/>
    <n v="797.96569444444401"/>
    <n v="0.45934097234999999"/>
    <n v="797.96569444444401"/>
    <n v="0.45934097234999999"/>
    <m/>
  </r>
  <r>
    <s v="5802.3"/>
    <x v="2"/>
    <x v="5"/>
    <x v="3"/>
    <s v="20A"/>
    <s v="160"/>
    <s v="Dolichospermum planctonicum "/>
    <b v="1"/>
    <n v="10"/>
    <n v="29.3333333333333"/>
    <m/>
    <n v="276.46055555555603"/>
    <n v="0.102290405555556"/>
    <n v="276.46055555555603"/>
    <n v="0.102290405555556"/>
    <m/>
  </r>
  <r>
    <s v="5802.4"/>
    <x v="2"/>
    <x v="5"/>
    <x v="3"/>
    <s v="20A"/>
    <s v="160"/>
    <s v="Microcystis sp"/>
    <b v="1"/>
    <n v="10"/>
    <n v="47"/>
    <m/>
    <n v="295.31013888888901"/>
    <n v="2.1202846098063999E-2"/>
    <n v="295.31013888888901"/>
    <n v="2.1202846098063999E-2"/>
    <s v="Microcystis spp._x000a_"/>
  </r>
  <r>
    <s v="5810.1"/>
    <x v="2"/>
    <x v="6"/>
    <x v="3"/>
    <s v="20A"/>
    <s v="Whole Plate"/>
    <s v="Dolichospermum sp"/>
    <b v="1"/>
    <n v="10"/>
    <n v="16.7"/>
    <n v="25"/>
    <n v="75.150000000000006"/>
    <n v="1.42785E-2"/>
    <n v="75.150000000000006"/>
    <n v="1.42785E-2"/>
    <m/>
  </r>
  <r>
    <s v="5810.2"/>
    <x v="2"/>
    <x v="6"/>
    <x v="3"/>
    <s v="20A"/>
    <s v="Whole Plate"/>
    <s v="Dolichospermum planctonicum "/>
    <b v="1"/>
    <n v="10"/>
    <n v="14.6"/>
    <m/>
    <n v="7.3"/>
    <n v="2.7009999999999998E-3"/>
    <n v="7.3"/>
    <n v="2.7009999999999998E-3"/>
    <m/>
  </r>
  <r>
    <s v="5810.3"/>
    <x v="2"/>
    <x v="6"/>
    <x v="3"/>
    <s v="20A"/>
    <s v="Whole Plate"/>
    <s v="Dolichospermum spiroides"/>
    <b v="1"/>
    <n v="10"/>
    <n v="20"/>
    <m/>
    <n v="2"/>
    <n v="5.1999999999999995E-4"/>
    <n v="2"/>
    <n v="5.1999999999999995E-4"/>
    <m/>
  </r>
  <r>
    <s v="5810.4"/>
    <x v="2"/>
    <x v="6"/>
    <x v="3"/>
    <s v="20A"/>
    <s v="Whole Plate"/>
    <s v="Anabaena torulosa"/>
    <b v="1"/>
    <n v="10"/>
    <n v="20"/>
    <m/>
    <n v="2"/>
    <n v="4.4200000000000001E-4"/>
    <n v="2"/>
    <n v="4.4200000000000001E-4"/>
    <m/>
  </r>
  <r>
    <s v="5811.1"/>
    <x v="2"/>
    <x v="7"/>
    <x v="3"/>
    <s v="20A"/>
    <s v="Whole Plate"/>
    <s v="Dolichospermum sp"/>
    <b v="1"/>
    <n v="10"/>
    <n v="20.399999999999999"/>
    <n v="45"/>
    <n v="132.6"/>
    <n v="2.5194000000000001E-2"/>
    <n v="132.6"/>
    <n v="2.5194000000000001E-2"/>
    <m/>
  </r>
  <r>
    <s v="5811.2"/>
    <x v="2"/>
    <x v="7"/>
    <x v="3"/>
    <s v="20A"/>
    <s v="Whole Plate"/>
    <s v="Dolichospermum planctonicum "/>
    <b v="1"/>
    <n v="10"/>
    <n v="30"/>
    <m/>
    <n v="15"/>
    <n v="5.5500000000000002E-3"/>
    <n v="15"/>
    <n v="5.5500000000000002E-3"/>
    <m/>
  </r>
  <r>
    <s v="5811.3"/>
    <x v="2"/>
    <x v="7"/>
    <x v="3"/>
    <s v="20A"/>
    <s v="Whole Plate"/>
    <s v="Microcystis wesenbergii"/>
    <b v="1"/>
    <n v="10"/>
    <n v="42"/>
    <m/>
    <n v="4.2"/>
    <n v="7.9938600000000002E-4"/>
    <n v="4.2"/>
    <n v="7.9938600000000002E-4"/>
    <s v="Microcystis spp._x000a_"/>
  </r>
  <r>
    <s v="5811.4"/>
    <x v="2"/>
    <x v="7"/>
    <x v="3"/>
    <s v="20A"/>
    <s v="Whole Plate"/>
    <s v="Phormidium sp"/>
    <b v="1"/>
    <n v="10"/>
    <n v="18"/>
    <m/>
    <n v="1.8"/>
    <n v="1.6801199999999999E-4"/>
    <n v="1.8"/>
    <n v="1.6801199999999999E-4"/>
    <m/>
  </r>
  <r>
    <s v="5805.1"/>
    <x v="3"/>
    <x v="8"/>
    <x v="3"/>
    <s v="20A"/>
    <s v="Whole Plate"/>
    <s v="Dolichospermum sp"/>
    <b v="1"/>
    <n v="10"/>
    <n v="13.6"/>
    <m/>
    <n v="6.8"/>
    <n v="1.292E-3"/>
    <n v="6.8"/>
    <n v="1.292E-3"/>
    <m/>
  </r>
  <r>
    <s v="5805.2"/>
    <x v="3"/>
    <x v="8"/>
    <x v="3"/>
    <s v="20A"/>
    <s v="Whole Plate"/>
    <s v="Dolichospermum circinale"/>
    <b v="1"/>
    <n v="10"/>
    <n v="38.6666666666667"/>
    <m/>
    <n v="23.2"/>
    <n v="1.3354848000000001E-2"/>
    <n v="23.2"/>
    <n v="1.3354848000000001E-2"/>
    <m/>
  </r>
  <r>
    <s v="5805.3"/>
    <x v="3"/>
    <x v="8"/>
    <x v="3"/>
    <s v="20A"/>
    <s v="Whole Plate"/>
    <s v="Pseudanabaena limnetica (cylinder)"/>
    <b v="1"/>
    <n v="10"/>
    <n v="15"/>
    <m/>
    <n v="3"/>
    <n v="2.3699999999999999E-4"/>
    <n v="3"/>
    <n v="2.3699999999999999E-4"/>
    <m/>
  </r>
  <r>
    <s v="5805.4"/>
    <x v="3"/>
    <x v="8"/>
    <x v="3"/>
    <s v="20A"/>
    <s v="Whole Plate"/>
    <s v="Planktothrix sp"/>
    <b v="1"/>
    <n v="10"/>
    <n v="34"/>
    <m/>
    <n v="3.4"/>
    <n v="1.0675999999999999E-3"/>
    <n v="3.4"/>
    <n v="1.0675999999999999E-3"/>
    <m/>
  </r>
  <r>
    <s v="5805.5"/>
    <x v="3"/>
    <x v="8"/>
    <x v="3"/>
    <s v="20A"/>
    <s v="Whole Plate"/>
    <s v="Dolichospermum planctonicum "/>
    <b v="1"/>
    <n v="10"/>
    <n v="10"/>
    <m/>
    <n v="1"/>
    <n v="3.6999999999999999E-4"/>
    <n v="1"/>
    <n v="3.6999999999999999E-4"/>
    <m/>
  </r>
  <r>
    <s v="5805.6"/>
    <x v="3"/>
    <x v="8"/>
    <x v="3"/>
    <s v="20A"/>
    <s v="Whole Plate"/>
    <s v="Oscillatoria sp"/>
    <b v="1"/>
    <n v="10"/>
    <n v="18"/>
    <m/>
    <n v="1.8"/>
    <n v="4.8681000000000002E-3"/>
    <n v="1.8"/>
    <n v="4.8681000000000002E-3"/>
    <m/>
  </r>
  <r>
    <s v="5800.1"/>
    <x v="3"/>
    <x v="9"/>
    <x v="3"/>
    <s v="20A"/>
    <s v="160"/>
    <s v="Dolichospermum sp"/>
    <b v="1"/>
    <n v="10"/>
    <n v="7.3333333333333304"/>
    <m/>
    <n v="69.115138888888893"/>
    <n v="1.3131876388888899E-2"/>
    <n v="69.115138888888893"/>
    <n v="1.3131876388888899E-2"/>
    <m/>
  </r>
  <r>
    <s v="5800.2"/>
    <x v="3"/>
    <x v="9"/>
    <x v="3"/>
    <s v="20A"/>
    <s v="160"/>
    <s v="Dolichospermum spiroides"/>
    <b v="1"/>
    <n v="10"/>
    <n v="31"/>
    <m/>
    <n v="194.779027777778"/>
    <n v="5.0642547222222299E-2"/>
    <n v="194.779027777778"/>
    <n v="5.0642547222222299E-2"/>
    <m/>
  </r>
  <r>
    <s v="5800.3"/>
    <x v="3"/>
    <x v="9"/>
    <x v="3"/>
    <s v="20A"/>
    <s v="160"/>
    <s v="Pseudanabaena limnetica (cylinder)"/>
    <b v="1"/>
    <n v="10"/>
    <n v="14.6666666666667"/>
    <m/>
    <n v="276.46055555555603"/>
    <n v="2.1840383888888901E-2"/>
    <n v="276.46055555555603"/>
    <n v="2.1840383888888901E-2"/>
    <m/>
  </r>
  <r>
    <s v="5800.4"/>
    <x v="3"/>
    <x v="9"/>
    <x v="3"/>
    <s v="20A"/>
    <s v="160"/>
    <s v="Dolichospermum circinale"/>
    <b v="1"/>
    <n v="10"/>
    <n v="43.8"/>
    <m/>
    <n v="688.00979166666696"/>
    <n v="0.39604595647500002"/>
    <n v="688.00979166666696"/>
    <n v="0.39604595647500002"/>
    <m/>
  </r>
  <r>
    <s v="5800.5"/>
    <x v="3"/>
    <x v="9"/>
    <x v="3"/>
    <s v="20A"/>
    <s v="160"/>
    <s v="Phormidium sp"/>
    <b v="1"/>
    <n v="10"/>
    <n v="192"/>
    <m/>
    <n v="603.18666666666695"/>
    <n v="5.6301443466666698E-2"/>
    <n v="603.18666666666695"/>
    <n v="5.6301443466666698E-2"/>
    <m/>
  </r>
  <r>
    <s v="5806.1"/>
    <x v="3"/>
    <x v="10"/>
    <x v="3"/>
    <s v="20A"/>
    <s v="Whole Plate"/>
    <s v="Dolichospermum planctonicum "/>
    <b v="1"/>
    <n v="10"/>
    <n v="14.6666666666667"/>
    <m/>
    <n v="8.8000000000000007"/>
    <n v="3.2560000000000002E-3"/>
    <n v="8.8000000000000007"/>
    <n v="3.2560000000000002E-3"/>
    <m/>
  </r>
  <r>
    <s v="5806.2"/>
    <x v="3"/>
    <x v="10"/>
    <x v="3"/>
    <s v="20A"/>
    <s v="Whole Plate"/>
    <s v="Oscillatoria sp"/>
    <b v="1"/>
    <n v="10"/>
    <n v="44"/>
    <m/>
    <n v="8.8000000000000007"/>
    <n v="2.3799600000000001E-2"/>
    <n v="8.8000000000000007"/>
    <n v="2.3799600000000001E-2"/>
    <m/>
  </r>
  <r>
    <s v="5806.3"/>
    <x v="3"/>
    <x v="10"/>
    <x v="3"/>
    <s v="20A"/>
    <s v="Whole Plate"/>
    <s v="Pseudanabaena limnetica (cylinder)"/>
    <b v="1"/>
    <n v="10"/>
    <n v="8.8461538461538503"/>
    <m/>
    <n v="11.5"/>
    <n v="9.0850000000000002E-4"/>
    <n v="11.5"/>
    <n v="9.0850000000000002E-4"/>
    <m/>
  </r>
  <r>
    <s v="5806.4"/>
    <x v="3"/>
    <x v="10"/>
    <x v="3"/>
    <s v="20A"/>
    <s v="Whole Plate"/>
    <s v="Dolichospermum circinale"/>
    <b v="1"/>
    <n v="10"/>
    <n v="33.5"/>
    <m/>
    <n v="13.4"/>
    <n v="7.7135759999999998E-3"/>
    <n v="13.4"/>
    <n v="7.7135759999999998E-3"/>
    <m/>
  </r>
  <r>
    <s v="5799.1"/>
    <x v="3"/>
    <x v="11"/>
    <x v="3"/>
    <s v="20A"/>
    <s v="160"/>
    <s v="Dolichospermum circinale"/>
    <b v="1"/>
    <n v="10"/>
    <n v="32.200000000000003"/>
    <n v="2"/>
    <n v="2225.5074722222198"/>
    <n v="1.28109112131"/>
    <n v="2225.5074722222198"/>
    <n v="1.28109112131"/>
    <m/>
  </r>
  <r>
    <s v="5799.2"/>
    <x v="3"/>
    <x v="11"/>
    <x v="3"/>
    <s v="20A"/>
    <s v="160"/>
    <s v="Dolichospermum planctonicum "/>
    <b v="1"/>
    <n v="10"/>
    <n v="17.05"/>
    <n v="5"/>
    <n v="1339.1058159722199"/>
    <n v="0.49546915190972102"/>
    <n v="1339.1058159722199"/>
    <n v="0.49546915190972102"/>
    <m/>
  </r>
  <r>
    <s v="5799.3"/>
    <x v="3"/>
    <x v="11"/>
    <x v="3"/>
    <s v="20A"/>
    <s v="160"/>
    <s v="Dolichospermum spiroides"/>
    <b v="1"/>
    <n v="10"/>
    <n v="27"/>
    <m/>
    <n v="169.64625000000001"/>
    <n v="4.4108025000000002E-2"/>
    <n v="169.64625000000001"/>
    <n v="4.4108025000000002E-2"/>
    <m/>
  </r>
  <r>
    <s v="5799.4"/>
    <x v="3"/>
    <x v="11"/>
    <x v="3"/>
    <s v="20A"/>
    <s v="160"/>
    <s v="Microcystis sp"/>
    <b v="1"/>
    <n v="10"/>
    <n v="50"/>
    <m/>
    <n v="157.079861111111"/>
    <n v="1.12781096266298E-2"/>
    <n v="157.079861111111"/>
    <n v="1.12781096266298E-2"/>
    <s v="Microcystis spp._x000a_"/>
  </r>
  <r>
    <s v="5801.1"/>
    <x v="4"/>
    <x v="12"/>
    <x v="3"/>
    <s v="20A"/>
    <s v="160"/>
    <s v="Dolichospermum circinale"/>
    <b v="1"/>
    <n v="10"/>
    <n v="30.4"/>
    <n v="244"/>
    <n v="25213.202666666701"/>
    <n v="14.513727983040001"/>
    <n v="25213.202666666701"/>
    <n v="14.513727983040001"/>
    <m/>
  </r>
  <r>
    <s v="5801.2"/>
    <x v="4"/>
    <x v="12"/>
    <x v="3"/>
    <s v="20A"/>
    <s v="160"/>
    <s v="Dolichospermum planctonicum "/>
    <b v="1"/>
    <n v="10"/>
    <n v="17.6666666666667"/>
    <m/>
    <n v="333.00930555555499"/>
    <n v="0.123213443055556"/>
    <n v="333.00930555555601"/>
    <n v="0.123213443055556"/>
    <m/>
  </r>
  <r>
    <s v="5801.3"/>
    <x v="4"/>
    <x v="12"/>
    <x v="3"/>
    <s v="20A"/>
    <s v="160"/>
    <s v="Aphanocapsa sp"/>
    <b v="0"/>
    <n v="10"/>
    <n v="152"/>
    <m/>
    <n v="955.04555555555498"/>
    <n v="2.1488524999999999E-3"/>
    <n v="0"/>
    <n v="0"/>
    <m/>
  </r>
  <r>
    <s v="5801.4"/>
    <x v="4"/>
    <x v="12"/>
    <x v="3"/>
    <s v="20A"/>
    <s v="160"/>
    <s v="Dolichospermum spiroides"/>
    <b v="1"/>
    <n v="10"/>
    <n v="33.4"/>
    <m/>
    <n v="1049.2934722222201"/>
    <n v="0.27281630277777702"/>
    <n v="1049.2934722222201"/>
    <n v="0.27281630277777702"/>
    <m/>
  </r>
  <r>
    <s v="5801.5"/>
    <x v="4"/>
    <x v="12"/>
    <x v="3"/>
    <s v="20A"/>
    <s v="160"/>
    <s v="Pseudanabaena limnetica (cylinder)"/>
    <b v="1"/>
    <n v="10"/>
    <n v="12.5"/>
    <m/>
    <n v="78.5399305555555"/>
    <n v="6.2046545138888902E-3"/>
    <n v="78.5399305555556"/>
    <n v="6.2046545138888902E-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2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J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formats count="1">
    <format dxfId="0">
      <pivotArea outline="0" fieldPosition="0"/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CellsPermL" cacheId="1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F20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10">
    <i>
      <x/>
      <x/>
    </i>
    <i>
      <x v="1"/>
      <x v="1"/>
    </i>
    <i r="1">
      <x v="2"/>
    </i>
    <i>
      <x v="2"/>
      <x v="3"/>
    </i>
    <i r="1">
      <x v="5"/>
    </i>
    <i r="1">
      <x v="7"/>
    </i>
    <i r="1">
      <x v="8"/>
    </i>
    <i>
      <x v="3"/>
      <x v="4"/>
    </i>
    <i r="1">
      <x v="6"/>
    </i>
    <i r="1">
      <x v="9"/>
    </i>
  </rowItems>
  <colFields count="2">
    <field x="3"/>
    <field x="15"/>
  </colFields>
  <colItems count="4">
    <i>
      <x/>
      <x v="1"/>
    </i>
    <i>
      <x v="1"/>
      <x v="1"/>
    </i>
    <i>
      <x v="2"/>
      <x v="1"/>
    </i>
    <i>
      <x v="3"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AlertWarning" cacheId="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F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32" totalsRowShown="0">
  <autoFilter ref="A1:P232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25" totalsRowShown="0">
  <autoFilter ref="A1:P25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2"/>
  <sheetViews>
    <sheetView tabSelected="1" workbookViewId="0"/>
  </sheetViews>
  <sheetFormatPr defaultRowHeight="15" x14ac:dyDescent="0.25"/>
  <cols>
    <col min="1" max="1" width="12.42578125" customWidth="1"/>
    <col min="2" max="2" width="11.85546875" customWidth="1"/>
    <col min="3" max="3" width="13.85546875" customWidth="1"/>
    <col min="4" max="4" width="14.85546875" customWidth="1"/>
    <col min="5" max="5" width="18.5703125" customWidth="1"/>
    <col min="6" max="6" width="14.42578125" customWidth="1"/>
    <col min="7" max="7" width="32.140625" customWidth="1"/>
    <col min="8" max="8" width="16.5703125" customWidth="1"/>
    <col min="9" max="9" width="20.7109375" customWidth="1"/>
    <col min="10" max="10" width="18.28515625" customWidth="1"/>
    <col min="11" max="11" width="20.85546875" customWidth="1"/>
    <col min="12" max="12" width="18.28515625" customWidth="1"/>
    <col min="13" max="13" width="22.5703125" customWidth="1"/>
    <col min="14" max="14" width="23.42578125" customWidth="1"/>
    <col min="15" max="15" width="27.42578125" customWidth="1"/>
    <col min="16" max="16" width="1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31.714285714285701</v>
      </c>
      <c r="L2">
        <v>697.43458333333297</v>
      </c>
      <c r="M2">
        <v>0.40147124355000002</v>
      </c>
      <c r="N2">
        <v>697.43458333333297</v>
      </c>
      <c r="O2">
        <v>0.40147124355000002</v>
      </c>
    </row>
    <row r="3" spans="1:16" x14ac:dyDescent="0.2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16</v>
      </c>
      <c r="L3">
        <v>100.531111111111</v>
      </c>
      <c r="M3">
        <v>3.7196511111111101E-2</v>
      </c>
      <c r="N3">
        <v>100.531111111111</v>
      </c>
      <c r="O3">
        <v>3.7196511111111101E-2</v>
      </c>
    </row>
    <row r="4" spans="1:16" ht="30" x14ac:dyDescent="0.25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1</v>
      </c>
      <c r="I4">
        <v>10</v>
      </c>
      <c r="J4">
        <v>6</v>
      </c>
      <c r="L4">
        <v>18.8495833333333</v>
      </c>
      <c r="M4">
        <v>1.3533731551955701E-3</v>
      </c>
      <c r="N4">
        <v>18.8495833333333</v>
      </c>
      <c r="O4">
        <v>1.3533731551955701E-3</v>
      </c>
      <c r="P4" s="1" t="s">
        <v>27</v>
      </c>
    </row>
    <row r="5" spans="1:16" x14ac:dyDescent="0.25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0</v>
      </c>
      <c r="I5">
        <v>10</v>
      </c>
      <c r="J5">
        <v>18</v>
      </c>
      <c r="L5">
        <v>113.0975</v>
      </c>
      <c r="M5">
        <v>2.5446937500000003E-4</v>
      </c>
      <c r="N5">
        <v>0</v>
      </c>
      <c r="O5">
        <v>0</v>
      </c>
    </row>
    <row r="6" spans="1:16" ht="30" x14ac:dyDescent="0.25">
      <c r="A6" t="s">
        <v>30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s="1" t="s">
        <v>31</v>
      </c>
      <c r="H6" t="b">
        <v>0</v>
      </c>
      <c r="I6">
        <v>10</v>
      </c>
      <c r="J6">
        <v>15</v>
      </c>
      <c r="L6">
        <v>94.247916666666697</v>
      </c>
      <c r="M6">
        <v>4.24115625E-2</v>
      </c>
      <c r="N6">
        <v>0</v>
      </c>
      <c r="O6">
        <v>0</v>
      </c>
    </row>
    <row r="7" spans="1:16" x14ac:dyDescent="0.25">
      <c r="A7" t="s">
        <v>32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33</v>
      </c>
      <c r="H7" t="b">
        <v>1</v>
      </c>
      <c r="I7">
        <v>10</v>
      </c>
      <c r="J7">
        <v>8</v>
      </c>
      <c r="L7">
        <v>25.1327777777778</v>
      </c>
      <c r="M7">
        <v>9.8017833333333398E-4</v>
      </c>
      <c r="N7">
        <v>25.1327777777778</v>
      </c>
      <c r="O7">
        <v>9.8017833333333398E-4</v>
      </c>
    </row>
    <row r="8" spans="1:16" x14ac:dyDescent="0.25">
      <c r="A8" t="s">
        <v>34</v>
      </c>
      <c r="B8" t="s">
        <v>35</v>
      </c>
      <c r="C8" t="s">
        <v>36</v>
      </c>
      <c r="D8" t="s">
        <v>19</v>
      </c>
      <c r="E8" t="s">
        <v>20</v>
      </c>
      <c r="F8" t="s">
        <v>37</v>
      </c>
      <c r="G8" t="s">
        <v>29</v>
      </c>
      <c r="H8" t="b">
        <v>0</v>
      </c>
      <c r="I8">
        <v>10</v>
      </c>
      <c r="J8">
        <v>32</v>
      </c>
      <c r="L8">
        <v>25.6</v>
      </c>
      <c r="M8">
        <v>5.7599999999999997E-5</v>
      </c>
      <c r="N8">
        <v>0</v>
      </c>
      <c r="O8">
        <v>0</v>
      </c>
    </row>
    <row r="9" spans="1:16" x14ac:dyDescent="0.25">
      <c r="A9" t="s">
        <v>38</v>
      </c>
      <c r="B9" t="s">
        <v>35</v>
      </c>
      <c r="C9" t="s">
        <v>36</v>
      </c>
      <c r="D9" t="s">
        <v>19</v>
      </c>
      <c r="E9" t="s">
        <v>20</v>
      </c>
      <c r="F9" t="s">
        <v>37</v>
      </c>
      <c r="G9" t="s">
        <v>39</v>
      </c>
      <c r="H9" t="b">
        <v>1</v>
      </c>
      <c r="I9">
        <v>10</v>
      </c>
      <c r="J9">
        <v>21.1666666666667</v>
      </c>
      <c r="L9">
        <v>12.7</v>
      </c>
      <c r="M9">
        <v>1.397E-3</v>
      </c>
      <c r="N9">
        <v>12.7</v>
      </c>
      <c r="O9">
        <v>1.397E-3</v>
      </c>
    </row>
    <row r="10" spans="1:16" ht="30" x14ac:dyDescent="0.25">
      <c r="A10" t="s">
        <v>40</v>
      </c>
      <c r="B10" t="s">
        <v>35</v>
      </c>
      <c r="C10" t="s">
        <v>36</v>
      </c>
      <c r="D10" t="s">
        <v>19</v>
      </c>
      <c r="E10" t="s">
        <v>20</v>
      </c>
      <c r="F10" t="s">
        <v>37</v>
      </c>
      <c r="G10" t="s">
        <v>41</v>
      </c>
      <c r="H10" t="b">
        <v>1</v>
      </c>
      <c r="I10">
        <v>10</v>
      </c>
      <c r="J10">
        <v>27</v>
      </c>
      <c r="L10">
        <v>16.2</v>
      </c>
      <c r="M10">
        <v>1.4094000000000001E-3</v>
      </c>
      <c r="N10">
        <v>16.2</v>
      </c>
      <c r="O10">
        <v>1.4094000000000001E-3</v>
      </c>
      <c r="P10" s="1" t="s">
        <v>27</v>
      </c>
    </row>
    <row r="11" spans="1:16" x14ac:dyDescent="0.25">
      <c r="A11" t="s">
        <v>42</v>
      </c>
      <c r="B11" t="s">
        <v>35</v>
      </c>
      <c r="C11" t="s">
        <v>36</v>
      </c>
      <c r="D11" t="s">
        <v>19</v>
      </c>
      <c r="E11" t="s">
        <v>20</v>
      </c>
      <c r="F11" t="s">
        <v>37</v>
      </c>
      <c r="G11" t="s">
        <v>24</v>
      </c>
      <c r="H11" t="b">
        <v>1</v>
      </c>
      <c r="I11">
        <v>10</v>
      </c>
      <c r="J11">
        <v>10.1666666666667</v>
      </c>
      <c r="L11">
        <v>6.1</v>
      </c>
      <c r="M11">
        <v>2.2569999999999999E-3</v>
      </c>
      <c r="N11">
        <v>6.1</v>
      </c>
      <c r="O11">
        <v>2.2569999999999999E-3</v>
      </c>
    </row>
    <row r="12" spans="1:16" x14ac:dyDescent="0.25">
      <c r="A12" t="s">
        <v>43</v>
      </c>
      <c r="B12" t="s">
        <v>35</v>
      </c>
      <c r="C12" t="s">
        <v>36</v>
      </c>
      <c r="D12" t="s">
        <v>19</v>
      </c>
      <c r="E12" t="s">
        <v>20</v>
      </c>
      <c r="F12" t="s">
        <v>37</v>
      </c>
      <c r="G12" t="s">
        <v>44</v>
      </c>
      <c r="H12" t="b">
        <v>1</v>
      </c>
      <c r="I12">
        <v>10</v>
      </c>
      <c r="J12">
        <v>28.5</v>
      </c>
      <c r="L12">
        <v>5.7</v>
      </c>
      <c r="M12">
        <v>1.2597000000000001E-3</v>
      </c>
      <c r="N12">
        <v>5.7</v>
      </c>
      <c r="O12">
        <v>1.2597000000000001E-3</v>
      </c>
    </row>
    <row r="13" spans="1:16" x14ac:dyDescent="0.25">
      <c r="A13" t="s">
        <v>45</v>
      </c>
      <c r="B13" t="s">
        <v>35</v>
      </c>
      <c r="C13" t="s">
        <v>36</v>
      </c>
      <c r="D13" t="s">
        <v>19</v>
      </c>
      <c r="E13" t="s">
        <v>20</v>
      </c>
      <c r="F13" t="s">
        <v>37</v>
      </c>
      <c r="G13" t="s">
        <v>33</v>
      </c>
      <c r="H13" t="b">
        <v>1</v>
      </c>
      <c r="I13">
        <v>10</v>
      </c>
      <c r="J13">
        <v>15</v>
      </c>
      <c r="L13">
        <v>3</v>
      </c>
      <c r="M13">
        <v>1.17E-4</v>
      </c>
      <c r="N13">
        <v>3</v>
      </c>
      <c r="O13">
        <v>1.17E-4</v>
      </c>
    </row>
    <row r="14" spans="1:16" x14ac:dyDescent="0.25">
      <c r="A14" t="s">
        <v>46</v>
      </c>
      <c r="B14" t="s">
        <v>35</v>
      </c>
      <c r="C14" t="s">
        <v>36</v>
      </c>
      <c r="D14" t="s">
        <v>19</v>
      </c>
      <c r="E14" t="s">
        <v>20</v>
      </c>
      <c r="F14" t="s">
        <v>37</v>
      </c>
      <c r="G14" t="s">
        <v>47</v>
      </c>
      <c r="H14" t="b">
        <v>1</v>
      </c>
      <c r="I14">
        <v>10</v>
      </c>
      <c r="J14">
        <v>40</v>
      </c>
      <c r="L14">
        <v>4</v>
      </c>
      <c r="M14">
        <v>1.256E-3</v>
      </c>
      <c r="N14">
        <v>4</v>
      </c>
      <c r="O14">
        <v>1.256E-3</v>
      </c>
    </row>
    <row r="15" spans="1:16" x14ac:dyDescent="0.25">
      <c r="A15" t="s">
        <v>48</v>
      </c>
      <c r="B15" t="s">
        <v>35</v>
      </c>
      <c r="C15" t="s">
        <v>49</v>
      </c>
      <c r="D15" t="s">
        <v>19</v>
      </c>
      <c r="E15" t="s">
        <v>20</v>
      </c>
      <c r="F15" t="s">
        <v>37</v>
      </c>
      <c r="G15" t="s">
        <v>50</v>
      </c>
      <c r="H15" t="b">
        <v>1</v>
      </c>
      <c r="I15">
        <v>10</v>
      </c>
      <c r="J15">
        <v>152.5</v>
      </c>
      <c r="L15">
        <v>30.5</v>
      </c>
      <c r="M15">
        <v>8.2487249999999998E-2</v>
      </c>
      <c r="N15">
        <v>30.5</v>
      </c>
      <c r="O15">
        <v>8.2487249999999998E-2</v>
      </c>
    </row>
    <row r="16" spans="1:16" x14ac:dyDescent="0.25">
      <c r="A16" t="s">
        <v>51</v>
      </c>
      <c r="B16" t="s">
        <v>35</v>
      </c>
      <c r="C16" t="s">
        <v>49</v>
      </c>
      <c r="D16" t="s">
        <v>19</v>
      </c>
      <c r="E16" t="s">
        <v>20</v>
      </c>
      <c r="F16" t="s">
        <v>37</v>
      </c>
      <c r="G16" t="s">
        <v>52</v>
      </c>
      <c r="H16" t="b">
        <v>1</v>
      </c>
      <c r="I16">
        <v>10</v>
      </c>
      <c r="J16">
        <v>115</v>
      </c>
      <c r="L16">
        <v>11.5</v>
      </c>
      <c r="M16">
        <v>1.0734099999999999E-3</v>
      </c>
      <c r="N16">
        <v>11.5</v>
      </c>
      <c r="O16">
        <v>1.0734099999999999E-3</v>
      </c>
    </row>
    <row r="17" spans="1:16" ht="30" x14ac:dyDescent="0.25">
      <c r="A17" t="s">
        <v>53</v>
      </c>
      <c r="B17" t="s">
        <v>35</v>
      </c>
      <c r="C17" t="s">
        <v>49</v>
      </c>
      <c r="D17" t="s">
        <v>19</v>
      </c>
      <c r="E17" t="s">
        <v>20</v>
      </c>
      <c r="F17" t="s">
        <v>37</v>
      </c>
      <c r="G17" t="s">
        <v>41</v>
      </c>
      <c r="H17" t="b">
        <v>1</v>
      </c>
      <c r="I17">
        <v>10</v>
      </c>
      <c r="J17">
        <v>19.25</v>
      </c>
      <c r="L17">
        <v>30.8</v>
      </c>
      <c r="M17">
        <v>2.6795999999999999E-3</v>
      </c>
      <c r="N17">
        <v>30.8</v>
      </c>
      <c r="O17">
        <v>2.6795999999999999E-3</v>
      </c>
      <c r="P17" s="1" t="s">
        <v>27</v>
      </c>
    </row>
    <row r="18" spans="1:16" x14ac:dyDescent="0.25">
      <c r="A18" t="s">
        <v>54</v>
      </c>
      <c r="B18" t="s">
        <v>35</v>
      </c>
      <c r="C18" t="s">
        <v>49</v>
      </c>
      <c r="D18" t="s">
        <v>19</v>
      </c>
      <c r="E18" t="s">
        <v>20</v>
      </c>
      <c r="F18" t="s">
        <v>37</v>
      </c>
      <c r="G18" t="s">
        <v>44</v>
      </c>
      <c r="H18" t="b">
        <v>1</v>
      </c>
      <c r="I18">
        <v>10</v>
      </c>
      <c r="J18">
        <v>18</v>
      </c>
      <c r="L18">
        <v>19.8</v>
      </c>
      <c r="M18">
        <v>4.3758E-3</v>
      </c>
      <c r="N18">
        <v>19.8</v>
      </c>
      <c r="O18">
        <v>4.3758E-3</v>
      </c>
    </row>
    <row r="19" spans="1:16" x14ac:dyDescent="0.25">
      <c r="A19" t="s">
        <v>55</v>
      </c>
      <c r="B19" t="s">
        <v>35</v>
      </c>
      <c r="C19" t="s">
        <v>49</v>
      </c>
      <c r="D19" t="s">
        <v>19</v>
      </c>
      <c r="E19" t="s">
        <v>20</v>
      </c>
      <c r="F19" t="s">
        <v>37</v>
      </c>
      <c r="G19" t="s">
        <v>33</v>
      </c>
      <c r="H19" t="b">
        <v>1</v>
      </c>
      <c r="I19">
        <v>10</v>
      </c>
      <c r="J19">
        <v>19.600000000000001</v>
      </c>
      <c r="L19">
        <v>9.8000000000000007</v>
      </c>
      <c r="M19">
        <v>3.8220000000000002E-4</v>
      </c>
      <c r="N19">
        <v>9.8000000000000007</v>
      </c>
      <c r="O19">
        <v>3.8220000000000002E-4</v>
      </c>
    </row>
    <row r="20" spans="1:16" x14ac:dyDescent="0.25">
      <c r="A20" t="s">
        <v>56</v>
      </c>
      <c r="B20" t="s">
        <v>35</v>
      </c>
      <c r="C20" t="s">
        <v>49</v>
      </c>
      <c r="D20" t="s">
        <v>19</v>
      </c>
      <c r="E20" t="s">
        <v>20</v>
      </c>
      <c r="F20" t="s">
        <v>37</v>
      </c>
      <c r="G20" t="s">
        <v>24</v>
      </c>
      <c r="H20" t="b">
        <v>1</v>
      </c>
      <c r="I20">
        <v>10</v>
      </c>
      <c r="J20">
        <v>12</v>
      </c>
      <c r="L20">
        <v>1.2</v>
      </c>
      <c r="M20">
        <v>4.44E-4</v>
      </c>
      <c r="N20">
        <v>1.2</v>
      </c>
      <c r="O20">
        <v>4.44E-4</v>
      </c>
    </row>
    <row r="21" spans="1:16" x14ac:dyDescent="0.25">
      <c r="A21" t="s">
        <v>57</v>
      </c>
      <c r="B21" t="s">
        <v>35</v>
      </c>
      <c r="C21" t="s">
        <v>49</v>
      </c>
      <c r="D21" t="s">
        <v>19</v>
      </c>
      <c r="E21" t="s">
        <v>20</v>
      </c>
      <c r="F21" t="s">
        <v>37</v>
      </c>
      <c r="G21" t="s">
        <v>39</v>
      </c>
      <c r="H21" t="b">
        <v>1</v>
      </c>
      <c r="I21">
        <v>10</v>
      </c>
      <c r="J21">
        <v>5</v>
      </c>
      <c r="L21">
        <v>0.5</v>
      </c>
      <c r="M21">
        <v>5.5000000000000002E-5</v>
      </c>
      <c r="N21">
        <v>0.5</v>
      </c>
      <c r="O21">
        <v>5.5000000000000002E-5</v>
      </c>
    </row>
    <row r="22" spans="1:16" ht="30" x14ac:dyDescent="0.25">
      <c r="A22" t="s">
        <v>58</v>
      </c>
      <c r="B22" t="s">
        <v>35</v>
      </c>
      <c r="C22" t="s">
        <v>49</v>
      </c>
      <c r="D22" t="s">
        <v>19</v>
      </c>
      <c r="E22" t="s">
        <v>20</v>
      </c>
      <c r="F22" t="s">
        <v>37</v>
      </c>
      <c r="G22" s="1" t="s">
        <v>31</v>
      </c>
      <c r="H22" t="b">
        <v>0</v>
      </c>
      <c r="I22">
        <v>10</v>
      </c>
      <c r="J22">
        <v>33</v>
      </c>
      <c r="L22">
        <v>6.6</v>
      </c>
      <c r="M22">
        <v>2.97E-3</v>
      </c>
      <c r="N22">
        <v>0</v>
      </c>
      <c r="O22">
        <v>0</v>
      </c>
    </row>
    <row r="23" spans="1:16" x14ac:dyDescent="0.25">
      <c r="A23" t="s">
        <v>59</v>
      </c>
      <c r="B23" t="s">
        <v>35</v>
      </c>
      <c r="C23" t="s">
        <v>49</v>
      </c>
      <c r="D23" t="s">
        <v>19</v>
      </c>
      <c r="E23" t="s">
        <v>20</v>
      </c>
      <c r="F23" t="s">
        <v>37</v>
      </c>
      <c r="G23" t="s">
        <v>60</v>
      </c>
      <c r="H23" t="b">
        <v>0</v>
      </c>
      <c r="I23">
        <v>10</v>
      </c>
      <c r="J23">
        <v>24</v>
      </c>
      <c r="L23">
        <v>4.8</v>
      </c>
      <c r="M23">
        <v>1.0560000000000001E-4</v>
      </c>
      <c r="N23">
        <v>0</v>
      </c>
      <c r="O23">
        <v>0</v>
      </c>
    </row>
    <row r="24" spans="1:16" ht="30" x14ac:dyDescent="0.25">
      <c r="A24" t="s">
        <v>61</v>
      </c>
      <c r="B24" t="s">
        <v>35</v>
      </c>
      <c r="C24" t="s">
        <v>49</v>
      </c>
      <c r="D24" t="s">
        <v>19</v>
      </c>
      <c r="E24" t="s">
        <v>20</v>
      </c>
      <c r="F24" t="s">
        <v>37</v>
      </c>
      <c r="G24" t="s">
        <v>62</v>
      </c>
      <c r="H24" t="b">
        <v>1</v>
      </c>
      <c r="I24">
        <v>10</v>
      </c>
      <c r="J24">
        <v>64</v>
      </c>
      <c r="L24">
        <v>6.4</v>
      </c>
      <c r="M24">
        <v>1.2181119999999999E-3</v>
      </c>
      <c r="N24">
        <v>6.4</v>
      </c>
      <c r="O24">
        <v>1.2181119999999999E-3</v>
      </c>
      <c r="P24" s="1" t="s">
        <v>27</v>
      </c>
    </row>
    <row r="25" spans="1:16" x14ac:dyDescent="0.25">
      <c r="A25" t="s">
        <v>63</v>
      </c>
      <c r="B25" t="s">
        <v>64</v>
      </c>
      <c r="C25" t="s">
        <v>65</v>
      </c>
      <c r="D25" t="s">
        <v>19</v>
      </c>
      <c r="E25" t="s">
        <v>20</v>
      </c>
      <c r="F25" t="s">
        <v>37</v>
      </c>
      <c r="G25" t="s">
        <v>24</v>
      </c>
      <c r="H25" t="b">
        <v>1</v>
      </c>
      <c r="I25">
        <v>10</v>
      </c>
      <c r="J25">
        <v>12.8</v>
      </c>
      <c r="L25">
        <v>12.8</v>
      </c>
      <c r="M25">
        <v>4.7359999999999998E-3</v>
      </c>
      <c r="N25">
        <v>12.8</v>
      </c>
      <c r="O25">
        <v>4.7359999999999998E-3</v>
      </c>
    </row>
    <row r="26" spans="1:16" x14ac:dyDescent="0.25">
      <c r="A26" t="s">
        <v>66</v>
      </c>
      <c r="B26" t="s">
        <v>64</v>
      </c>
      <c r="C26" t="s">
        <v>65</v>
      </c>
      <c r="D26" t="s">
        <v>19</v>
      </c>
      <c r="E26" t="s">
        <v>20</v>
      </c>
      <c r="F26" t="s">
        <v>37</v>
      </c>
      <c r="G26" t="s">
        <v>22</v>
      </c>
      <c r="H26" t="b">
        <v>1</v>
      </c>
      <c r="I26">
        <v>10</v>
      </c>
      <c r="J26">
        <v>20.149999999999999</v>
      </c>
      <c r="K26">
        <v>13</v>
      </c>
      <c r="L26">
        <v>66.495000000000005</v>
      </c>
      <c r="M26">
        <v>3.8277181799999997E-2</v>
      </c>
      <c r="N26">
        <v>66.495000000000005</v>
      </c>
      <c r="O26">
        <v>3.8277181799999997E-2</v>
      </c>
    </row>
    <row r="27" spans="1:16" ht="30" x14ac:dyDescent="0.25">
      <c r="A27" t="s">
        <v>67</v>
      </c>
      <c r="B27" t="s">
        <v>64</v>
      </c>
      <c r="C27" t="s">
        <v>65</v>
      </c>
      <c r="D27" t="s">
        <v>19</v>
      </c>
      <c r="E27" t="s">
        <v>20</v>
      </c>
      <c r="F27" t="s">
        <v>37</v>
      </c>
      <c r="G27" s="1" t="s">
        <v>31</v>
      </c>
      <c r="H27" t="b">
        <v>0</v>
      </c>
      <c r="I27">
        <v>10</v>
      </c>
      <c r="J27">
        <v>19.6666666666667</v>
      </c>
      <c r="L27">
        <v>23.6</v>
      </c>
      <c r="M27">
        <v>1.0619999999999999E-2</v>
      </c>
      <c r="N27">
        <v>0</v>
      </c>
      <c r="O27">
        <v>0</v>
      </c>
    </row>
    <row r="28" spans="1:16" x14ac:dyDescent="0.25">
      <c r="A28" t="s">
        <v>68</v>
      </c>
      <c r="B28" t="s">
        <v>64</v>
      </c>
      <c r="C28" t="s">
        <v>69</v>
      </c>
      <c r="D28" t="s">
        <v>19</v>
      </c>
      <c r="E28" t="s">
        <v>20</v>
      </c>
      <c r="F28" t="s">
        <v>21</v>
      </c>
      <c r="G28" t="s">
        <v>24</v>
      </c>
      <c r="H28" t="b">
        <v>1</v>
      </c>
      <c r="I28">
        <v>10</v>
      </c>
      <c r="J28">
        <v>17.2</v>
      </c>
      <c r="K28">
        <v>17</v>
      </c>
      <c r="L28">
        <v>1999.3124722222201</v>
      </c>
      <c r="M28">
        <v>0.739745614722221</v>
      </c>
      <c r="N28">
        <v>1999.3124722222201</v>
      </c>
      <c r="O28">
        <v>0.739745614722221</v>
      </c>
    </row>
    <row r="29" spans="1:16" x14ac:dyDescent="0.25">
      <c r="A29" t="s">
        <v>70</v>
      </c>
      <c r="B29" t="s">
        <v>64</v>
      </c>
      <c r="C29" t="s">
        <v>69</v>
      </c>
      <c r="D29" t="s">
        <v>19</v>
      </c>
      <c r="E29" t="s">
        <v>20</v>
      </c>
      <c r="F29" t="s">
        <v>21</v>
      </c>
      <c r="G29" t="s">
        <v>22</v>
      </c>
      <c r="H29" t="b">
        <v>1</v>
      </c>
      <c r="I29">
        <v>10</v>
      </c>
      <c r="J29">
        <v>32</v>
      </c>
      <c r="L29">
        <v>100.531111111111</v>
      </c>
      <c r="M29">
        <v>5.7869728799999902E-2</v>
      </c>
      <c r="N29">
        <v>100.531111111111</v>
      </c>
      <c r="O29">
        <v>5.7869728799999902E-2</v>
      </c>
    </row>
    <row r="30" spans="1:16" x14ac:dyDescent="0.25">
      <c r="A30" t="s">
        <v>71</v>
      </c>
      <c r="B30" t="s">
        <v>64</v>
      </c>
      <c r="C30" t="s">
        <v>69</v>
      </c>
      <c r="D30" t="s">
        <v>19</v>
      </c>
      <c r="E30" t="s">
        <v>20</v>
      </c>
      <c r="F30" t="s">
        <v>21</v>
      </c>
      <c r="G30" t="s">
        <v>72</v>
      </c>
      <c r="H30" t="b">
        <v>0</v>
      </c>
      <c r="I30">
        <v>10</v>
      </c>
      <c r="J30">
        <v>32</v>
      </c>
      <c r="L30">
        <v>100.531111111111</v>
      </c>
      <c r="M30">
        <v>8.93721577777777E-4</v>
      </c>
      <c r="N30">
        <v>0</v>
      </c>
      <c r="O30">
        <v>0</v>
      </c>
    </row>
    <row r="31" spans="1:16" x14ac:dyDescent="0.25">
      <c r="A31" t="s">
        <v>73</v>
      </c>
      <c r="B31" t="s">
        <v>64</v>
      </c>
      <c r="C31" t="s">
        <v>69</v>
      </c>
      <c r="D31" t="s">
        <v>19</v>
      </c>
      <c r="E31" t="s">
        <v>20</v>
      </c>
      <c r="F31" t="s">
        <v>21</v>
      </c>
      <c r="G31" t="s">
        <v>47</v>
      </c>
      <c r="H31" t="b">
        <v>1</v>
      </c>
      <c r="I31">
        <v>10</v>
      </c>
      <c r="J31">
        <v>28</v>
      </c>
      <c r="L31">
        <v>87.964722222222207</v>
      </c>
      <c r="M31">
        <v>2.76209227777778E-2</v>
      </c>
      <c r="N31">
        <v>87.964722222222207</v>
      </c>
      <c r="O31">
        <v>2.76209227777778E-2</v>
      </c>
    </row>
    <row r="32" spans="1:16" x14ac:dyDescent="0.25">
      <c r="A32" t="s">
        <v>74</v>
      </c>
      <c r="B32" t="s">
        <v>64</v>
      </c>
      <c r="C32" t="s">
        <v>75</v>
      </c>
      <c r="D32" t="s">
        <v>19</v>
      </c>
      <c r="E32" t="s">
        <v>20</v>
      </c>
      <c r="F32" t="s">
        <v>21</v>
      </c>
      <c r="G32" t="s">
        <v>24</v>
      </c>
      <c r="H32" t="b">
        <v>1</v>
      </c>
      <c r="I32">
        <v>10</v>
      </c>
      <c r="J32">
        <v>17.3333333333333</v>
      </c>
      <c r="L32">
        <v>163.363055555556</v>
      </c>
      <c r="M32">
        <v>6.0444330555555703E-2</v>
      </c>
      <c r="N32">
        <v>163.363055555556</v>
      </c>
      <c r="O32">
        <v>6.0444330555555703E-2</v>
      </c>
    </row>
    <row r="33" spans="1:16" x14ac:dyDescent="0.25">
      <c r="A33" t="s">
        <v>76</v>
      </c>
      <c r="B33" t="s">
        <v>64</v>
      </c>
      <c r="C33" t="s">
        <v>75</v>
      </c>
      <c r="D33" t="s">
        <v>19</v>
      </c>
      <c r="E33" t="s">
        <v>20</v>
      </c>
      <c r="F33" t="s">
        <v>21</v>
      </c>
      <c r="G33" t="s">
        <v>22</v>
      </c>
      <c r="H33" t="b">
        <v>1</v>
      </c>
      <c r="I33">
        <v>10</v>
      </c>
      <c r="J33">
        <v>24.6</v>
      </c>
      <c r="L33">
        <v>772.83291666666696</v>
      </c>
      <c r="M33">
        <v>0.44487354015000002</v>
      </c>
      <c r="N33">
        <v>772.83291666666605</v>
      </c>
      <c r="O33">
        <v>0.44487354015000002</v>
      </c>
    </row>
    <row r="34" spans="1:16" ht="30" x14ac:dyDescent="0.25">
      <c r="A34" t="s">
        <v>77</v>
      </c>
      <c r="B34" t="s">
        <v>64</v>
      </c>
      <c r="C34" t="s">
        <v>75</v>
      </c>
      <c r="D34" t="s">
        <v>19</v>
      </c>
      <c r="E34" t="s">
        <v>20</v>
      </c>
      <c r="F34" t="s">
        <v>21</v>
      </c>
      <c r="G34" t="s">
        <v>62</v>
      </c>
      <c r="H34" t="b">
        <v>1</v>
      </c>
      <c r="I34">
        <v>10</v>
      </c>
      <c r="J34">
        <v>20</v>
      </c>
      <c r="L34">
        <v>62.831944444444403</v>
      </c>
      <c r="M34">
        <v>1.19588039861111E-2</v>
      </c>
      <c r="N34">
        <v>62.831944444444403</v>
      </c>
      <c r="O34">
        <v>1.19588039861111E-2</v>
      </c>
      <c r="P34" s="1" t="s">
        <v>27</v>
      </c>
    </row>
    <row r="35" spans="1:16" ht="30" x14ac:dyDescent="0.25">
      <c r="A35" t="s">
        <v>78</v>
      </c>
      <c r="B35" t="s">
        <v>64</v>
      </c>
      <c r="C35" t="s">
        <v>75</v>
      </c>
      <c r="D35" t="s">
        <v>19</v>
      </c>
      <c r="E35" t="s">
        <v>20</v>
      </c>
      <c r="F35" t="s">
        <v>21</v>
      </c>
      <c r="G35" s="1" t="s">
        <v>31</v>
      </c>
      <c r="H35" t="b">
        <v>0</v>
      </c>
      <c r="I35">
        <v>10</v>
      </c>
      <c r="J35">
        <v>44</v>
      </c>
      <c r="L35">
        <v>138.23027777777801</v>
      </c>
      <c r="M35">
        <v>6.2203625000000103E-2</v>
      </c>
      <c r="N35">
        <v>0</v>
      </c>
      <c r="O35">
        <v>0</v>
      </c>
    </row>
    <row r="36" spans="1:16" x14ac:dyDescent="0.25">
      <c r="A36" t="s">
        <v>79</v>
      </c>
      <c r="B36" t="s">
        <v>64</v>
      </c>
      <c r="C36" t="s">
        <v>80</v>
      </c>
      <c r="D36" t="s">
        <v>19</v>
      </c>
      <c r="E36" t="s">
        <v>20</v>
      </c>
      <c r="F36" t="s">
        <v>37</v>
      </c>
      <c r="G36" t="s">
        <v>24</v>
      </c>
      <c r="H36" t="b">
        <v>1</v>
      </c>
      <c r="I36">
        <v>10</v>
      </c>
      <c r="J36">
        <v>14.65</v>
      </c>
      <c r="K36">
        <v>19</v>
      </c>
      <c r="L36">
        <v>57.134999999999998</v>
      </c>
      <c r="M36">
        <v>2.1139950000000001E-2</v>
      </c>
      <c r="N36">
        <v>57.134999999999998</v>
      </c>
      <c r="O36">
        <v>2.1139950000000001E-2</v>
      </c>
    </row>
    <row r="37" spans="1:16" x14ac:dyDescent="0.25">
      <c r="A37" t="s">
        <v>81</v>
      </c>
      <c r="B37" t="s">
        <v>64</v>
      </c>
      <c r="C37" t="s">
        <v>80</v>
      </c>
      <c r="D37" t="s">
        <v>19</v>
      </c>
      <c r="E37" t="s">
        <v>20</v>
      </c>
      <c r="F37" t="s">
        <v>37</v>
      </c>
      <c r="G37" t="s">
        <v>22</v>
      </c>
      <c r="H37" t="b">
        <v>1</v>
      </c>
      <c r="I37">
        <v>10</v>
      </c>
      <c r="J37">
        <v>19.9411764705882</v>
      </c>
      <c r="L37">
        <v>33.9</v>
      </c>
      <c r="M37">
        <v>1.9514196000000001E-2</v>
      </c>
      <c r="N37">
        <v>33.9</v>
      </c>
      <c r="O37">
        <v>1.9514196000000001E-2</v>
      </c>
    </row>
    <row r="38" spans="1:16" x14ac:dyDescent="0.25">
      <c r="A38" t="s">
        <v>82</v>
      </c>
      <c r="B38" t="s">
        <v>64</v>
      </c>
      <c r="C38" t="s">
        <v>80</v>
      </c>
      <c r="D38" t="s">
        <v>19</v>
      </c>
      <c r="E38" t="s">
        <v>20</v>
      </c>
      <c r="F38" t="s">
        <v>37</v>
      </c>
      <c r="G38" t="s">
        <v>52</v>
      </c>
      <c r="H38" t="b">
        <v>1</v>
      </c>
      <c r="I38">
        <v>10</v>
      </c>
      <c r="J38">
        <v>48</v>
      </c>
      <c r="L38">
        <v>4.8</v>
      </c>
      <c r="M38">
        <v>4.4803200000000001E-4</v>
      </c>
      <c r="N38">
        <v>4.8</v>
      </c>
      <c r="O38">
        <v>4.4803200000000001E-4</v>
      </c>
    </row>
    <row r="39" spans="1:16" ht="30" x14ac:dyDescent="0.25">
      <c r="A39" t="s">
        <v>83</v>
      </c>
      <c r="B39" t="s">
        <v>64</v>
      </c>
      <c r="C39" t="s">
        <v>80</v>
      </c>
      <c r="D39" t="s">
        <v>19</v>
      </c>
      <c r="E39" t="s">
        <v>20</v>
      </c>
      <c r="F39" t="s">
        <v>37</v>
      </c>
      <c r="G39" s="1" t="s">
        <v>31</v>
      </c>
      <c r="H39" t="b">
        <v>0</v>
      </c>
      <c r="I39">
        <v>10</v>
      </c>
      <c r="J39">
        <v>31</v>
      </c>
      <c r="L39">
        <v>6.2</v>
      </c>
      <c r="M39">
        <v>2.7899999999999999E-3</v>
      </c>
      <c r="N39">
        <v>0</v>
      </c>
      <c r="O39">
        <v>0</v>
      </c>
    </row>
    <row r="40" spans="1:16" x14ac:dyDescent="0.25">
      <c r="A40" t="s">
        <v>84</v>
      </c>
      <c r="B40" t="s">
        <v>64</v>
      </c>
      <c r="C40" t="s">
        <v>80</v>
      </c>
      <c r="D40" t="s">
        <v>19</v>
      </c>
      <c r="E40" t="s">
        <v>20</v>
      </c>
      <c r="F40" t="s">
        <v>37</v>
      </c>
      <c r="G40" t="s">
        <v>44</v>
      </c>
      <c r="H40" t="b">
        <v>1</v>
      </c>
      <c r="I40">
        <v>10</v>
      </c>
      <c r="J40">
        <v>18</v>
      </c>
      <c r="L40">
        <v>1.8</v>
      </c>
      <c r="M40">
        <v>3.9780000000000002E-4</v>
      </c>
      <c r="N40">
        <v>1.8</v>
      </c>
      <c r="O40">
        <v>3.9780000000000002E-4</v>
      </c>
    </row>
    <row r="41" spans="1:16" x14ac:dyDescent="0.25">
      <c r="A41" t="s">
        <v>85</v>
      </c>
      <c r="B41" t="s">
        <v>64</v>
      </c>
      <c r="C41" t="s">
        <v>86</v>
      </c>
      <c r="D41" t="s">
        <v>19</v>
      </c>
      <c r="E41" t="s">
        <v>20</v>
      </c>
      <c r="F41" t="s">
        <v>21</v>
      </c>
      <c r="G41" t="s">
        <v>22</v>
      </c>
      <c r="H41" t="b">
        <v>1</v>
      </c>
      <c r="I41">
        <v>10</v>
      </c>
      <c r="J41">
        <v>15</v>
      </c>
      <c r="L41">
        <v>141.37187499999999</v>
      </c>
      <c r="M41">
        <v>8.1379306124999995E-2</v>
      </c>
      <c r="N41">
        <v>141.37187499999999</v>
      </c>
      <c r="O41">
        <v>8.1379306124999995E-2</v>
      </c>
    </row>
    <row r="42" spans="1:16" x14ac:dyDescent="0.25">
      <c r="A42" t="s">
        <v>87</v>
      </c>
      <c r="B42" t="s">
        <v>64</v>
      </c>
      <c r="C42" t="s">
        <v>86</v>
      </c>
      <c r="D42" t="s">
        <v>19</v>
      </c>
      <c r="E42" t="s">
        <v>20</v>
      </c>
      <c r="F42" t="s">
        <v>21</v>
      </c>
      <c r="G42" t="s">
        <v>24</v>
      </c>
      <c r="H42" t="b">
        <v>1</v>
      </c>
      <c r="I42">
        <v>10</v>
      </c>
      <c r="J42">
        <v>24.9</v>
      </c>
      <c r="L42">
        <v>782.25770833333297</v>
      </c>
      <c r="M42">
        <v>0.28943535208333299</v>
      </c>
      <c r="N42">
        <v>782.25770833333297</v>
      </c>
      <c r="O42">
        <v>0.28943535208333299</v>
      </c>
    </row>
    <row r="43" spans="1:16" ht="30" x14ac:dyDescent="0.25">
      <c r="A43" t="s">
        <v>88</v>
      </c>
      <c r="B43" t="s">
        <v>64</v>
      </c>
      <c r="C43" t="s">
        <v>86</v>
      </c>
      <c r="D43" t="s">
        <v>19</v>
      </c>
      <c r="E43" t="s">
        <v>20</v>
      </c>
      <c r="F43" t="s">
        <v>21</v>
      </c>
      <c r="G43" s="1" t="s">
        <v>31</v>
      </c>
      <c r="H43" t="b">
        <v>0</v>
      </c>
      <c r="I43">
        <v>10</v>
      </c>
      <c r="J43">
        <v>9.6666666666666696</v>
      </c>
      <c r="L43">
        <v>182.21263888888899</v>
      </c>
      <c r="M43">
        <v>8.1995687500000095E-2</v>
      </c>
      <c r="N43">
        <v>0</v>
      </c>
      <c r="O43">
        <v>0</v>
      </c>
    </row>
    <row r="44" spans="1:16" x14ac:dyDescent="0.25">
      <c r="A44" t="s">
        <v>89</v>
      </c>
      <c r="B44" t="s">
        <v>64</v>
      </c>
      <c r="C44" t="s">
        <v>86</v>
      </c>
      <c r="D44" t="s">
        <v>19</v>
      </c>
      <c r="E44" t="s">
        <v>20</v>
      </c>
      <c r="F44" t="s">
        <v>21</v>
      </c>
      <c r="G44" t="s">
        <v>33</v>
      </c>
      <c r="H44" t="b">
        <v>1</v>
      </c>
      <c r="I44">
        <v>10</v>
      </c>
      <c r="J44">
        <v>8</v>
      </c>
      <c r="L44">
        <v>25.1327777777778</v>
      </c>
      <c r="M44">
        <v>9.8017833333333398E-4</v>
      </c>
      <c r="N44">
        <v>25.1327777777778</v>
      </c>
      <c r="O44">
        <v>9.8017833333333398E-4</v>
      </c>
    </row>
    <row r="45" spans="1:16" x14ac:dyDescent="0.25">
      <c r="A45" t="s">
        <v>90</v>
      </c>
      <c r="B45" t="s">
        <v>91</v>
      </c>
      <c r="C45" t="s">
        <v>92</v>
      </c>
      <c r="D45" t="s">
        <v>19</v>
      </c>
      <c r="E45" t="s">
        <v>20</v>
      </c>
      <c r="F45" t="s">
        <v>37</v>
      </c>
      <c r="G45" t="s">
        <v>52</v>
      </c>
      <c r="H45" t="b">
        <v>1</v>
      </c>
      <c r="I45">
        <v>10</v>
      </c>
      <c r="J45">
        <v>40</v>
      </c>
      <c r="L45">
        <v>16</v>
      </c>
      <c r="M45">
        <v>1.49344E-3</v>
      </c>
      <c r="N45">
        <v>16</v>
      </c>
      <c r="O45">
        <v>1.49344E-3</v>
      </c>
    </row>
    <row r="46" spans="1:16" x14ac:dyDescent="0.25">
      <c r="A46" t="s">
        <v>93</v>
      </c>
      <c r="B46" t="s">
        <v>91</v>
      </c>
      <c r="C46" t="s">
        <v>92</v>
      </c>
      <c r="D46" t="s">
        <v>19</v>
      </c>
      <c r="E46" t="s">
        <v>20</v>
      </c>
      <c r="F46" t="s">
        <v>37</v>
      </c>
      <c r="G46" t="s">
        <v>47</v>
      </c>
      <c r="H46" t="b">
        <v>1</v>
      </c>
      <c r="I46">
        <v>10</v>
      </c>
      <c r="J46">
        <v>48</v>
      </c>
      <c r="L46">
        <v>4.8</v>
      </c>
      <c r="M46">
        <v>1.5072E-3</v>
      </c>
      <c r="N46">
        <v>4.8</v>
      </c>
      <c r="O46">
        <v>1.5072E-3</v>
      </c>
    </row>
    <row r="47" spans="1:16" x14ac:dyDescent="0.25">
      <c r="A47" t="s">
        <v>94</v>
      </c>
      <c r="B47" t="s">
        <v>91</v>
      </c>
      <c r="C47" t="s">
        <v>92</v>
      </c>
      <c r="D47" t="s">
        <v>19</v>
      </c>
      <c r="E47" t="s">
        <v>20</v>
      </c>
      <c r="F47" t="s">
        <v>37</v>
      </c>
      <c r="G47" t="s">
        <v>22</v>
      </c>
      <c r="H47" t="b">
        <v>1</v>
      </c>
      <c r="I47">
        <v>10</v>
      </c>
      <c r="J47">
        <v>21</v>
      </c>
      <c r="K47">
        <v>1</v>
      </c>
      <c r="L47">
        <v>44.1</v>
      </c>
      <c r="M47">
        <v>2.5385723999999998E-2</v>
      </c>
      <c r="N47">
        <v>44.1</v>
      </c>
      <c r="O47">
        <v>2.5385723999999998E-2</v>
      </c>
    </row>
    <row r="48" spans="1:16" x14ac:dyDescent="0.25">
      <c r="A48" t="s">
        <v>95</v>
      </c>
      <c r="B48" t="s">
        <v>91</v>
      </c>
      <c r="C48" t="s">
        <v>92</v>
      </c>
      <c r="D48" t="s">
        <v>19</v>
      </c>
      <c r="E48" t="s">
        <v>20</v>
      </c>
      <c r="F48" t="s">
        <v>37</v>
      </c>
      <c r="G48" t="s">
        <v>33</v>
      </c>
      <c r="H48" t="b">
        <v>1</v>
      </c>
      <c r="I48">
        <v>10</v>
      </c>
      <c r="J48">
        <v>16.5</v>
      </c>
      <c r="K48">
        <v>6</v>
      </c>
      <c r="L48">
        <v>42.9</v>
      </c>
      <c r="M48">
        <v>1.6731000000000001E-3</v>
      </c>
      <c r="N48">
        <v>42.9</v>
      </c>
      <c r="O48">
        <v>1.6731000000000001E-3</v>
      </c>
    </row>
    <row r="49" spans="1:16" x14ac:dyDescent="0.25">
      <c r="A49" t="s">
        <v>96</v>
      </c>
      <c r="B49" t="s">
        <v>91</v>
      </c>
      <c r="C49" t="s">
        <v>92</v>
      </c>
      <c r="D49" t="s">
        <v>19</v>
      </c>
      <c r="E49" t="s">
        <v>20</v>
      </c>
      <c r="F49" t="s">
        <v>37</v>
      </c>
      <c r="G49" t="s">
        <v>24</v>
      </c>
      <c r="H49" t="b">
        <v>1</v>
      </c>
      <c r="I49">
        <v>10</v>
      </c>
      <c r="J49">
        <v>23.65</v>
      </c>
      <c r="K49">
        <v>12</v>
      </c>
      <c r="L49">
        <v>75.680000000000007</v>
      </c>
      <c r="M49">
        <v>2.8001600000000001E-2</v>
      </c>
      <c r="N49">
        <v>75.680000000000007</v>
      </c>
      <c r="O49">
        <v>2.8001600000000001E-2</v>
      </c>
    </row>
    <row r="50" spans="1:16" x14ac:dyDescent="0.25">
      <c r="A50" t="s">
        <v>97</v>
      </c>
      <c r="B50" t="s">
        <v>91</v>
      </c>
      <c r="C50" t="s">
        <v>98</v>
      </c>
      <c r="D50" t="s">
        <v>19</v>
      </c>
      <c r="E50" t="s">
        <v>20</v>
      </c>
      <c r="F50" t="s">
        <v>21</v>
      </c>
      <c r="G50" t="s">
        <v>22</v>
      </c>
      <c r="H50" t="b">
        <v>1</v>
      </c>
      <c r="I50">
        <v>10</v>
      </c>
      <c r="J50">
        <v>23.3333333333333</v>
      </c>
      <c r="L50">
        <v>879.64722222222201</v>
      </c>
      <c r="M50">
        <v>0.50636012699999999</v>
      </c>
      <c r="N50">
        <v>879.64722222222201</v>
      </c>
      <c r="O50">
        <v>0.50636012699999999</v>
      </c>
    </row>
    <row r="51" spans="1:16" x14ac:dyDescent="0.25">
      <c r="A51" t="s">
        <v>99</v>
      </c>
      <c r="B51" t="s">
        <v>91</v>
      </c>
      <c r="C51" t="s">
        <v>98</v>
      </c>
      <c r="D51" t="s">
        <v>19</v>
      </c>
      <c r="E51" t="s">
        <v>20</v>
      </c>
      <c r="F51" t="s">
        <v>21</v>
      </c>
      <c r="G51" t="s">
        <v>24</v>
      </c>
      <c r="H51" t="b">
        <v>1</v>
      </c>
      <c r="I51">
        <v>10</v>
      </c>
      <c r="J51">
        <v>40.6666666666667</v>
      </c>
      <c r="L51">
        <v>383.27486111111102</v>
      </c>
      <c r="M51">
        <v>0.14181169861111101</v>
      </c>
      <c r="N51">
        <v>383.27486111111102</v>
      </c>
      <c r="O51">
        <v>0.14181169861111101</v>
      </c>
    </row>
    <row r="52" spans="1:16" x14ac:dyDescent="0.25">
      <c r="A52" t="s">
        <v>100</v>
      </c>
      <c r="B52" t="s">
        <v>91</v>
      </c>
      <c r="C52" t="s">
        <v>98</v>
      </c>
      <c r="D52" t="s">
        <v>19</v>
      </c>
      <c r="E52" t="s">
        <v>20</v>
      </c>
      <c r="F52" t="s">
        <v>21</v>
      </c>
      <c r="G52" t="s">
        <v>33</v>
      </c>
      <c r="H52" t="b">
        <v>1</v>
      </c>
      <c r="I52">
        <v>10</v>
      </c>
      <c r="J52">
        <v>15.6</v>
      </c>
      <c r="L52">
        <v>245.04458333333301</v>
      </c>
      <c r="M52">
        <v>9.5567387499999896E-3</v>
      </c>
      <c r="N52">
        <v>245.04458333333301</v>
      </c>
      <c r="O52">
        <v>9.5567387499999896E-3</v>
      </c>
    </row>
    <row r="53" spans="1:16" ht="30" x14ac:dyDescent="0.25">
      <c r="A53" t="s">
        <v>101</v>
      </c>
      <c r="B53" t="s">
        <v>91</v>
      </c>
      <c r="C53" t="s">
        <v>98</v>
      </c>
      <c r="D53" t="s">
        <v>19</v>
      </c>
      <c r="E53" t="s">
        <v>20</v>
      </c>
      <c r="F53" t="s">
        <v>21</v>
      </c>
      <c r="G53" t="s">
        <v>62</v>
      </c>
      <c r="H53" t="b">
        <v>1</v>
      </c>
      <c r="I53">
        <v>10</v>
      </c>
      <c r="J53">
        <v>52</v>
      </c>
      <c r="L53">
        <v>163.363055555556</v>
      </c>
      <c r="M53">
        <v>3.1092890363889E-2</v>
      </c>
      <c r="N53">
        <v>163.363055555556</v>
      </c>
      <c r="O53">
        <v>3.1092890363889E-2</v>
      </c>
      <c r="P53" s="1" t="s">
        <v>27</v>
      </c>
    </row>
    <row r="54" spans="1:16" x14ac:dyDescent="0.25">
      <c r="A54" t="s">
        <v>102</v>
      </c>
      <c r="B54" t="s">
        <v>91</v>
      </c>
      <c r="C54" t="s">
        <v>103</v>
      </c>
      <c r="D54" t="s">
        <v>19</v>
      </c>
      <c r="E54" t="s">
        <v>20</v>
      </c>
      <c r="F54" t="s">
        <v>21</v>
      </c>
      <c r="G54" t="s">
        <v>50</v>
      </c>
      <c r="H54" t="b">
        <v>1</v>
      </c>
      <c r="I54">
        <v>10</v>
      </c>
      <c r="J54">
        <v>63</v>
      </c>
      <c r="L54">
        <v>593.76187500000003</v>
      </c>
      <c r="M54">
        <v>1.6058289909375001</v>
      </c>
      <c r="N54">
        <v>593.76187500000003</v>
      </c>
      <c r="O54">
        <v>1.6058289909375001</v>
      </c>
    </row>
    <row r="55" spans="1:16" x14ac:dyDescent="0.25">
      <c r="A55" t="s">
        <v>104</v>
      </c>
      <c r="B55" t="s">
        <v>91</v>
      </c>
      <c r="C55" t="s">
        <v>103</v>
      </c>
      <c r="D55" t="s">
        <v>19</v>
      </c>
      <c r="E55" t="s">
        <v>20</v>
      </c>
      <c r="F55" t="s">
        <v>21</v>
      </c>
      <c r="G55" t="s">
        <v>33</v>
      </c>
      <c r="H55" t="b">
        <v>1</v>
      </c>
      <c r="I55">
        <v>10</v>
      </c>
      <c r="J55">
        <v>12.55</v>
      </c>
      <c r="K55">
        <v>16</v>
      </c>
      <c r="L55">
        <v>1419.3736249999999</v>
      </c>
      <c r="M55">
        <v>5.5355571375000003E-2</v>
      </c>
      <c r="N55">
        <v>1419.3736249999999</v>
      </c>
      <c r="O55">
        <v>5.5355571375000003E-2</v>
      </c>
    </row>
    <row r="56" spans="1:16" x14ac:dyDescent="0.25">
      <c r="A56" t="s">
        <v>105</v>
      </c>
      <c r="B56" t="s">
        <v>91</v>
      </c>
      <c r="C56" t="s">
        <v>106</v>
      </c>
      <c r="D56" t="s">
        <v>19</v>
      </c>
      <c r="E56" t="s">
        <v>20</v>
      </c>
      <c r="F56" t="s">
        <v>21</v>
      </c>
      <c r="G56" t="s">
        <v>24</v>
      </c>
      <c r="H56" t="b">
        <v>1</v>
      </c>
      <c r="I56">
        <v>10</v>
      </c>
      <c r="J56">
        <v>9.28571428571429</v>
      </c>
      <c r="L56">
        <v>204.20381944444401</v>
      </c>
      <c r="M56">
        <v>7.5555413194444296E-2</v>
      </c>
      <c r="N56">
        <v>204.20381944444401</v>
      </c>
      <c r="O56">
        <v>7.5555413194444296E-2</v>
      </c>
    </row>
    <row r="57" spans="1:16" x14ac:dyDescent="0.25">
      <c r="A57" t="s">
        <v>107</v>
      </c>
      <c r="B57" t="s">
        <v>91</v>
      </c>
      <c r="C57" t="s">
        <v>106</v>
      </c>
      <c r="D57" t="s">
        <v>19</v>
      </c>
      <c r="E57" t="s">
        <v>20</v>
      </c>
      <c r="F57" t="s">
        <v>21</v>
      </c>
      <c r="G57" t="s">
        <v>22</v>
      </c>
      <c r="H57" t="b">
        <v>1</v>
      </c>
      <c r="I57">
        <v>10</v>
      </c>
      <c r="J57">
        <v>19.3333333333333</v>
      </c>
      <c r="L57">
        <v>364.42527777777798</v>
      </c>
      <c r="M57">
        <v>0.2097777669</v>
      </c>
      <c r="N57">
        <v>364.42527777777798</v>
      </c>
      <c r="O57">
        <v>0.2097777669</v>
      </c>
    </row>
    <row r="58" spans="1:16" x14ac:dyDescent="0.25">
      <c r="A58" t="s">
        <v>108</v>
      </c>
      <c r="B58" t="s">
        <v>109</v>
      </c>
      <c r="C58" t="s">
        <v>110</v>
      </c>
      <c r="D58" t="s">
        <v>19</v>
      </c>
      <c r="E58" t="s">
        <v>20</v>
      </c>
      <c r="F58" t="s">
        <v>21</v>
      </c>
      <c r="G58" t="s">
        <v>24</v>
      </c>
      <c r="H58" t="b">
        <v>1</v>
      </c>
      <c r="I58">
        <v>10</v>
      </c>
      <c r="J58">
        <v>31.6</v>
      </c>
      <c r="L58">
        <v>496.37236111111099</v>
      </c>
      <c r="M58">
        <v>0.18365777361111099</v>
      </c>
      <c r="N58">
        <v>496.37236111111099</v>
      </c>
      <c r="O58">
        <v>0.18365777361111099</v>
      </c>
    </row>
    <row r="59" spans="1:16" x14ac:dyDescent="0.25">
      <c r="A59" t="s">
        <v>111</v>
      </c>
      <c r="B59" t="s">
        <v>109</v>
      </c>
      <c r="C59" t="s">
        <v>110</v>
      </c>
      <c r="D59" t="s">
        <v>19</v>
      </c>
      <c r="E59" t="s">
        <v>20</v>
      </c>
      <c r="F59" t="s">
        <v>21</v>
      </c>
      <c r="G59" t="s">
        <v>29</v>
      </c>
      <c r="H59" t="b">
        <v>0</v>
      </c>
      <c r="I59">
        <v>10</v>
      </c>
      <c r="J59">
        <v>85.071428571428598</v>
      </c>
      <c r="L59">
        <v>3741.6422916666702</v>
      </c>
      <c r="M59">
        <v>8.4186951562500098E-3</v>
      </c>
      <c r="N59">
        <v>0</v>
      </c>
      <c r="O59">
        <v>0</v>
      </c>
    </row>
    <row r="60" spans="1:16" x14ac:dyDescent="0.25">
      <c r="A60" t="s">
        <v>112</v>
      </c>
      <c r="B60" t="s">
        <v>109</v>
      </c>
      <c r="C60" t="s">
        <v>110</v>
      </c>
      <c r="D60" t="s">
        <v>19</v>
      </c>
      <c r="E60" t="s">
        <v>20</v>
      </c>
      <c r="F60" t="s">
        <v>21</v>
      </c>
      <c r="G60" t="s">
        <v>22</v>
      </c>
      <c r="H60" t="b">
        <v>1</v>
      </c>
      <c r="I60">
        <v>10</v>
      </c>
      <c r="J60">
        <v>16.8</v>
      </c>
      <c r="K60">
        <v>71</v>
      </c>
      <c r="L60">
        <v>4802.8738333333304</v>
      </c>
      <c r="M60">
        <v>2.7647262934199999</v>
      </c>
      <c r="N60">
        <v>4802.8738333333304</v>
      </c>
      <c r="O60">
        <v>2.7647262934199999</v>
      </c>
    </row>
    <row r="61" spans="1:16" x14ac:dyDescent="0.25">
      <c r="A61" t="s">
        <v>113</v>
      </c>
      <c r="B61" t="s">
        <v>109</v>
      </c>
      <c r="C61" t="s">
        <v>110</v>
      </c>
      <c r="D61" t="s">
        <v>19</v>
      </c>
      <c r="E61" t="s">
        <v>20</v>
      </c>
      <c r="F61" t="s">
        <v>21</v>
      </c>
      <c r="G61" t="s">
        <v>47</v>
      </c>
      <c r="H61" t="b">
        <v>1</v>
      </c>
      <c r="I61">
        <v>10</v>
      </c>
      <c r="J61">
        <v>104</v>
      </c>
      <c r="L61">
        <v>326.72611111111098</v>
      </c>
      <c r="M61">
        <v>0.10259199888888899</v>
      </c>
      <c r="N61">
        <v>326.72611111111098</v>
      </c>
      <c r="O61">
        <v>0.10259199888888899</v>
      </c>
    </row>
    <row r="62" spans="1:16" x14ac:dyDescent="0.25">
      <c r="A62" t="s">
        <v>114</v>
      </c>
      <c r="B62" t="s">
        <v>109</v>
      </c>
      <c r="C62" t="s">
        <v>110</v>
      </c>
      <c r="D62" t="s">
        <v>19</v>
      </c>
      <c r="E62" t="s">
        <v>20</v>
      </c>
      <c r="F62" t="s">
        <v>21</v>
      </c>
      <c r="G62" t="s">
        <v>115</v>
      </c>
      <c r="H62" t="b">
        <v>1</v>
      </c>
      <c r="I62">
        <v>10</v>
      </c>
      <c r="J62">
        <v>27</v>
      </c>
      <c r="L62">
        <v>169.64625000000001</v>
      </c>
      <c r="M62">
        <v>4.4108025000000002E-2</v>
      </c>
      <c r="N62">
        <v>169.64625000000001</v>
      </c>
      <c r="O62">
        <v>4.4108025000000002E-2</v>
      </c>
    </row>
    <row r="63" spans="1:16" x14ac:dyDescent="0.25">
      <c r="A63" t="s">
        <v>116</v>
      </c>
      <c r="B63" t="s">
        <v>109</v>
      </c>
      <c r="C63" t="s">
        <v>110</v>
      </c>
      <c r="D63" t="s">
        <v>19</v>
      </c>
      <c r="E63" t="s">
        <v>20</v>
      </c>
      <c r="F63" t="s">
        <v>21</v>
      </c>
      <c r="G63" t="s">
        <v>117</v>
      </c>
      <c r="H63" t="b">
        <v>1</v>
      </c>
      <c r="I63">
        <v>10</v>
      </c>
      <c r="J63">
        <v>456</v>
      </c>
      <c r="L63">
        <v>1432.56833333333</v>
      </c>
      <c r="M63">
        <v>0</v>
      </c>
      <c r="N63">
        <v>1432.56833333333</v>
      </c>
      <c r="O63">
        <v>0</v>
      </c>
    </row>
    <row r="64" spans="1:16" x14ac:dyDescent="0.25">
      <c r="A64" t="s">
        <v>118</v>
      </c>
      <c r="B64" t="s">
        <v>109</v>
      </c>
      <c r="C64" t="s">
        <v>110</v>
      </c>
      <c r="D64" t="s">
        <v>19</v>
      </c>
      <c r="E64" t="s">
        <v>20</v>
      </c>
      <c r="F64" t="s">
        <v>21</v>
      </c>
      <c r="G64" t="s">
        <v>33</v>
      </c>
      <c r="H64" t="b">
        <v>1</v>
      </c>
      <c r="I64">
        <v>10</v>
      </c>
      <c r="J64">
        <v>11</v>
      </c>
      <c r="L64">
        <v>69.115138888888893</v>
      </c>
      <c r="M64">
        <v>2.69549041666667E-3</v>
      </c>
      <c r="N64">
        <v>69.115138888888893</v>
      </c>
      <c r="O64">
        <v>2.69549041666667E-3</v>
      </c>
    </row>
    <row r="65" spans="1:16" x14ac:dyDescent="0.25">
      <c r="A65" t="s">
        <v>119</v>
      </c>
      <c r="B65" t="s">
        <v>17</v>
      </c>
      <c r="C65" t="s">
        <v>18</v>
      </c>
      <c r="D65" t="s">
        <v>120</v>
      </c>
      <c r="E65" t="s">
        <v>20</v>
      </c>
      <c r="F65" t="s">
        <v>21</v>
      </c>
      <c r="G65" t="s">
        <v>22</v>
      </c>
      <c r="H65" t="b">
        <v>1</v>
      </c>
      <c r="I65">
        <v>10</v>
      </c>
      <c r="J65">
        <v>25.5</v>
      </c>
      <c r="L65">
        <v>640.88583333333304</v>
      </c>
      <c r="M65">
        <v>0.36891952109999998</v>
      </c>
      <c r="N65">
        <v>640.88583333333304</v>
      </c>
      <c r="O65">
        <v>0.36891952109999998</v>
      </c>
    </row>
    <row r="66" spans="1:16" ht="30" x14ac:dyDescent="0.25">
      <c r="A66" t="s">
        <v>121</v>
      </c>
      <c r="B66" t="s">
        <v>17</v>
      </c>
      <c r="C66" t="s">
        <v>18</v>
      </c>
      <c r="D66" t="s">
        <v>120</v>
      </c>
      <c r="E66" t="s">
        <v>20</v>
      </c>
      <c r="F66" t="s">
        <v>21</v>
      </c>
      <c r="G66" t="s">
        <v>62</v>
      </c>
      <c r="H66" t="b">
        <v>1</v>
      </c>
      <c r="I66">
        <v>10</v>
      </c>
      <c r="J66">
        <v>37</v>
      </c>
      <c r="L66">
        <v>232.478194444444</v>
      </c>
      <c r="M66">
        <v>4.4247574748610997E-2</v>
      </c>
      <c r="N66">
        <v>232.478194444444</v>
      </c>
      <c r="O66">
        <v>4.4247574748610997E-2</v>
      </c>
      <c r="P66" s="1" t="s">
        <v>27</v>
      </c>
    </row>
    <row r="67" spans="1:16" x14ac:dyDescent="0.25">
      <c r="A67" t="s">
        <v>122</v>
      </c>
      <c r="B67" t="s">
        <v>17</v>
      </c>
      <c r="C67" t="s">
        <v>18</v>
      </c>
      <c r="D67" t="s">
        <v>120</v>
      </c>
      <c r="E67" t="s">
        <v>20</v>
      </c>
      <c r="F67" t="s">
        <v>21</v>
      </c>
      <c r="G67" t="s">
        <v>24</v>
      </c>
      <c r="H67" t="b">
        <v>1</v>
      </c>
      <c r="I67">
        <v>10</v>
      </c>
      <c r="J67">
        <v>12.4</v>
      </c>
      <c r="L67">
        <v>194.779027777778</v>
      </c>
      <c r="M67">
        <v>7.2068240277777904E-2</v>
      </c>
      <c r="N67">
        <v>194.779027777778</v>
      </c>
      <c r="O67">
        <v>7.2068240277777904E-2</v>
      </c>
    </row>
    <row r="68" spans="1:16" x14ac:dyDescent="0.25">
      <c r="A68" t="s">
        <v>123</v>
      </c>
      <c r="B68" t="s">
        <v>17</v>
      </c>
      <c r="C68" t="s">
        <v>18</v>
      </c>
      <c r="D68" t="s">
        <v>120</v>
      </c>
      <c r="E68" t="s">
        <v>20</v>
      </c>
      <c r="F68" t="s">
        <v>21</v>
      </c>
      <c r="G68" t="s">
        <v>50</v>
      </c>
      <c r="H68" t="b">
        <v>1</v>
      </c>
      <c r="I68">
        <v>10</v>
      </c>
      <c r="J68">
        <v>62</v>
      </c>
      <c r="L68">
        <v>389.558055555556</v>
      </c>
      <c r="M68">
        <v>1.0535597612500001</v>
      </c>
      <c r="N68">
        <v>389.558055555556</v>
      </c>
      <c r="O68">
        <v>1.0535597612500001</v>
      </c>
    </row>
    <row r="69" spans="1:16" ht="30" x14ac:dyDescent="0.25">
      <c r="A69" t="s">
        <v>124</v>
      </c>
      <c r="B69" t="s">
        <v>35</v>
      </c>
      <c r="C69" t="s">
        <v>36</v>
      </c>
      <c r="D69" t="s">
        <v>120</v>
      </c>
      <c r="E69" t="s">
        <v>20</v>
      </c>
      <c r="F69" t="s">
        <v>37</v>
      </c>
      <c r="G69" t="s">
        <v>41</v>
      </c>
      <c r="H69" t="b">
        <v>1</v>
      </c>
      <c r="I69">
        <v>10</v>
      </c>
      <c r="J69">
        <v>27.8</v>
      </c>
      <c r="L69">
        <v>27.8</v>
      </c>
      <c r="M69">
        <v>2.4185999999999999E-3</v>
      </c>
      <c r="N69">
        <v>27.8</v>
      </c>
      <c r="O69">
        <v>2.4185999999999999E-3</v>
      </c>
      <c r="P69" s="1" t="s">
        <v>27</v>
      </c>
    </row>
    <row r="70" spans="1:16" x14ac:dyDescent="0.25">
      <c r="A70" t="s">
        <v>125</v>
      </c>
      <c r="B70" t="s">
        <v>35</v>
      </c>
      <c r="C70" t="s">
        <v>36</v>
      </c>
      <c r="D70" t="s">
        <v>120</v>
      </c>
      <c r="E70" t="s">
        <v>20</v>
      </c>
      <c r="F70" t="s">
        <v>37</v>
      </c>
      <c r="G70" t="s">
        <v>115</v>
      </c>
      <c r="H70" t="b">
        <v>1</v>
      </c>
      <c r="I70">
        <v>10</v>
      </c>
      <c r="J70">
        <v>20.6666666666667</v>
      </c>
      <c r="L70">
        <v>6.2</v>
      </c>
      <c r="M70">
        <v>1.6119999999999999E-3</v>
      </c>
      <c r="N70">
        <v>6.2</v>
      </c>
      <c r="O70">
        <v>1.6119999999999999E-3</v>
      </c>
    </row>
    <row r="71" spans="1:16" x14ac:dyDescent="0.25">
      <c r="A71" t="s">
        <v>126</v>
      </c>
      <c r="B71" t="s">
        <v>35</v>
      </c>
      <c r="C71" t="s">
        <v>36</v>
      </c>
      <c r="D71" t="s">
        <v>120</v>
      </c>
      <c r="E71" t="s">
        <v>20</v>
      </c>
      <c r="F71" t="s">
        <v>37</v>
      </c>
      <c r="G71" t="s">
        <v>33</v>
      </c>
      <c r="H71" t="b">
        <v>1</v>
      </c>
      <c r="I71">
        <v>10</v>
      </c>
      <c r="J71">
        <v>10.6666666666667</v>
      </c>
      <c r="L71">
        <v>12.8</v>
      </c>
      <c r="M71">
        <v>4.9919999999999999E-4</v>
      </c>
      <c r="N71">
        <v>12.8</v>
      </c>
      <c r="O71">
        <v>4.9919999999999999E-4</v>
      </c>
    </row>
    <row r="72" spans="1:16" x14ac:dyDescent="0.25">
      <c r="A72" t="s">
        <v>127</v>
      </c>
      <c r="B72" t="s">
        <v>35</v>
      </c>
      <c r="C72" t="s">
        <v>36</v>
      </c>
      <c r="D72" t="s">
        <v>120</v>
      </c>
      <c r="E72" t="s">
        <v>20</v>
      </c>
      <c r="F72" t="s">
        <v>37</v>
      </c>
      <c r="G72" t="s">
        <v>44</v>
      </c>
      <c r="H72" t="b">
        <v>1</v>
      </c>
      <c r="I72">
        <v>10</v>
      </c>
      <c r="J72">
        <v>16</v>
      </c>
      <c r="L72">
        <v>1.6</v>
      </c>
      <c r="M72">
        <v>3.5359999999999998E-4</v>
      </c>
      <c r="N72">
        <v>1.6</v>
      </c>
      <c r="O72">
        <v>3.5359999999999998E-4</v>
      </c>
    </row>
    <row r="73" spans="1:16" x14ac:dyDescent="0.25">
      <c r="A73" t="s">
        <v>128</v>
      </c>
      <c r="B73" t="s">
        <v>35</v>
      </c>
      <c r="C73" t="s">
        <v>36</v>
      </c>
      <c r="D73" t="s">
        <v>120</v>
      </c>
      <c r="E73" t="s">
        <v>20</v>
      </c>
      <c r="F73" t="s">
        <v>37</v>
      </c>
      <c r="G73" t="s">
        <v>39</v>
      </c>
      <c r="H73" t="b">
        <v>1</v>
      </c>
      <c r="I73">
        <v>10</v>
      </c>
      <c r="J73">
        <v>15.636363636363599</v>
      </c>
      <c r="L73">
        <v>17.2</v>
      </c>
      <c r="M73">
        <v>1.892E-3</v>
      </c>
      <c r="N73">
        <v>17.2</v>
      </c>
      <c r="O73">
        <v>1.892E-3</v>
      </c>
    </row>
    <row r="74" spans="1:16" x14ac:dyDescent="0.25">
      <c r="A74" t="s">
        <v>129</v>
      </c>
      <c r="B74" t="s">
        <v>35</v>
      </c>
      <c r="C74" t="s">
        <v>36</v>
      </c>
      <c r="D74" t="s">
        <v>120</v>
      </c>
      <c r="E74" t="s">
        <v>20</v>
      </c>
      <c r="F74" t="s">
        <v>37</v>
      </c>
      <c r="G74" t="s">
        <v>29</v>
      </c>
      <c r="H74" t="b">
        <v>0</v>
      </c>
      <c r="I74">
        <v>10</v>
      </c>
      <c r="J74">
        <v>20</v>
      </c>
      <c r="L74">
        <v>2</v>
      </c>
      <c r="M74">
        <v>4.5000000000000001E-6</v>
      </c>
      <c r="N74">
        <v>0</v>
      </c>
      <c r="O74">
        <v>0</v>
      </c>
    </row>
    <row r="75" spans="1:16" ht="30" x14ac:dyDescent="0.25">
      <c r="A75" t="s">
        <v>130</v>
      </c>
      <c r="B75" t="s">
        <v>35</v>
      </c>
      <c r="C75" t="s">
        <v>36</v>
      </c>
      <c r="D75" t="s">
        <v>120</v>
      </c>
      <c r="E75" t="s">
        <v>20</v>
      </c>
      <c r="F75" t="s">
        <v>37</v>
      </c>
      <c r="G75" t="s">
        <v>62</v>
      </c>
      <c r="H75" t="b">
        <v>1</v>
      </c>
      <c r="I75">
        <v>10</v>
      </c>
      <c r="J75">
        <v>28</v>
      </c>
      <c r="L75">
        <v>2.8</v>
      </c>
      <c r="M75">
        <v>5.3292400000000005E-4</v>
      </c>
      <c r="N75">
        <v>2.8</v>
      </c>
      <c r="O75">
        <v>5.3292400000000005E-4</v>
      </c>
      <c r="P75" s="1" t="s">
        <v>27</v>
      </c>
    </row>
    <row r="76" spans="1:16" ht="30" x14ac:dyDescent="0.25">
      <c r="A76" t="s">
        <v>131</v>
      </c>
      <c r="B76" t="s">
        <v>35</v>
      </c>
      <c r="C76" t="s">
        <v>49</v>
      </c>
      <c r="D76" t="s">
        <v>120</v>
      </c>
      <c r="E76" t="s">
        <v>20</v>
      </c>
      <c r="F76" t="s">
        <v>21</v>
      </c>
      <c r="G76" t="s">
        <v>132</v>
      </c>
      <c r="H76" t="b">
        <v>1</v>
      </c>
      <c r="I76">
        <v>10</v>
      </c>
      <c r="J76">
        <v>61</v>
      </c>
      <c r="L76">
        <v>383.27486111111102</v>
      </c>
      <c r="M76">
        <v>8.4320469444444397E-3</v>
      </c>
      <c r="N76">
        <v>383.27486111111102</v>
      </c>
      <c r="O76">
        <v>8.4320469444444397E-3</v>
      </c>
      <c r="P76" s="1" t="s">
        <v>27</v>
      </c>
    </row>
    <row r="77" spans="1:16" x14ac:dyDescent="0.25">
      <c r="A77" t="s">
        <v>133</v>
      </c>
      <c r="B77" t="s">
        <v>35</v>
      </c>
      <c r="C77" t="s">
        <v>49</v>
      </c>
      <c r="D77" t="s">
        <v>120</v>
      </c>
      <c r="E77" t="s">
        <v>20</v>
      </c>
      <c r="F77" t="s">
        <v>21</v>
      </c>
      <c r="G77" t="s">
        <v>39</v>
      </c>
      <c r="H77" t="b">
        <v>1</v>
      </c>
      <c r="I77">
        <v>10</v>
      </c>
      <c r="J77">
        <v>29.75</v>
      </c>
      <c r="L77">
        <v>1121.5502083333299</v>
      </c>
      <c r="M77">
        <v>0.123370522916666</v>
      </c>
      <c r="N77">
        <v>1121.5502083333299</v>
      </c>
      <c r="O77">
        <v>0.123370522916666</v>
      </c>
    </row>
    <row r="78" spans="1:16" x14ac:dyDescent="0.25">
      <c r="A78" t="s">
        <v>134</v>
      </c>
      <c r="B78" t="s">
        <v>35</v>
      </c>
      <c r="C78" t="s">
        <v>49</v>
      </c>
      <c r="D78" t="s">
        <v>120</v>
      </c>
      <c r="E78" t="s">
        <v>20</v>
      </c>
      <c r="F78" t="s">
        <v>21</v>
      </c>
      <c r="G78" t="s">
        <v>44</v>
      </c>
      <c r="H78" t="b">
        <v>1</v>
      </c>
      <c r="I78">
        <v>10</v>
      </c>
      <c r="J78">
        <v>18.399999999999999</v>
      </c>
      <c r="L78">
        <v>289.02694444444398</v>
      </c>
      <c r="M78">
        <v>6.3874954722222099E-2</v>
      </c>
      <c r="N78">
        <v>289.02694444444398</v>
      </c>
      <c r="O78">
        <v>6.3874954722222099E-2</v>
      </c>
    </row>
    <row r="79" spans="1:16" x14ac:dyDescent="0.25">
      <c r="A79" t="s">
        <v>135</v>
      </c>
      <c r="B79" t="s">
        <v>35</v>
      </c>
      <c r="C79" t="s">
        <v>49</v>
      </c>
      <c r="D79" t="s">
        <v>120</v>
      </c>
      <c r="E79" t="s">
        <v>20</v>
      </c>
      <c r="F79" t="s">
        <v>21</v>
      </c>
      <c r="G79" t="s">
        <v>24</v>
      </c>
      <c r="H79" t="b">
        <v>1</v>
      </c>
      <c r="I79">
        <v>10</v>
      </c>
      <c r="J79">
        <v>23</v>
      </c>
      <c r="L79">
        <v>144.51347222222199</v>
      </c>
      <c r="M79">
        <v>5.34699847222221E-2</v>
      </c>
      <c r="N79">
        <v>144.51347222222199</v>
      </c>
      <c r="O79">
        <v>5.34699847222221E-2</v>
      </c>
    </row>
    <row r="80" spans="1:16" x14ac:dyDescent="0.25">
      <c r="A80" t="s">
        <v>136</v>
      </c>
      <c r="B80" t="s">
        <v>35</v>
      </c>
      <c r="C80" t="s">
        <v>49</v>
      </c>
      <c r="D80" t="s">
        <v>120</v>
      </c>
      <c r="E80" t="s">
        <v>20</v>
      </c>
      <c r="F80" t="s">
        <v>21</v>
      </c>
      <c r="G80" t="s">
        <v>29</v>
      </c>
      <c r="H80" t="b">
        <v>0</v>
      </c>
      <c r="I80">
        <v>10</v>
      </c>
      <c r="J80">
        <v>38</v>
      </c>
      <c r="L80">
        <v>119.380694444444</v>
      </c>
      <c r="M80">
        <v>2.6860656249999901E-4</v>
      </c>
      <c r="N80">
        <v>0</v>
      </c>
      <c r="O80">
        <v>0</v>
      </c>
    </row>
    <row r="81" spans="1:16" x14ac:dyDescent="0.25">
      <c r="A81" t="s">
        <v>137</v>
      </c>
      <c r="B81" t="s">
        <v>35</v>
      </c>
      <c r="C81" t="s">
        <v>49</v>
      </c>
      <c r="D81" t="s">
        <v>120</v>
      </c>
      <c r="E81" t="s">
        <v>20</v>
      </c>
      <c r="F81" t="s">
        <v>21</v>
      </c>
      <c r="G81" t="s">
        <v>60</v>
      </c>
      <c r="H81" t="b">
        <v>0</v>
      </c>
      <c r="I81">
        <v>10</v>
      </c>
      <c r="J81">
        <v>8</v>
      </c>
      <c r="L81">
        <v>25.1327777777778</v>
      </c>
      <c r="M81">
        <v>5.5292111111111201E-4</v>
      </c>
      <c r="N81">
        <v>0</v>
      </c>
      <c r="O81">
        <v>0</v>
      </c>
    </row>
    <row r="82" spans="1:16" x14ac:dyDescent="0.25">
      <c r="A82" t="s">
        <v>138</v>
      </c>
      <c r="B82" t="s">
        <v>35</v>
      </c>
      <c r="C82" t="s">
        <v>49</v>
      </c>
      <c r="D82" t="s">
        <v>120</v>
      </c>
      <c r="E82" t="s">
        <v>20</v>
      </c>
      <c r="F82" t="s">
        <v>21</v>
      </c>
      <c r="G82" t="s">
        <v>139</v>
      </c>
      <c r="H82" t="b">
        <v>1</v>
      </c>
      <c r="I82">
        <v>10</v>
      </c>
      <c r="J82">
        <v>12</v>
      </c>
      <c r="L82">
        <v>37.699166666666699</v>
      </c>
      <c r="M82">
        <v>2.9782341666666698E-3</v>
      </c>
      <c r="N82">
        <v>37.699166666666699</v>
      </c>
      <c r="O82">
        <v>2.9782341666666698E-3</v>
      </c>
    </row>
    <row r="83" spans="1:16" x14ac:dyDescent="0.25">
      <c r="A83" t="s">
        <v>140</v>
      </c>
      <c r="B83" t="s">
        <v>64</v>
      </c>
      <c r="C83" t="s">
        <v>65</v>
      </c>
      <c r="D83" t="s">
        <v>120</v>
      </c>
      <c r="E83" t="s">
        <v>20</v>
      </c>
      <c r="F83" t="s">
        <v>37</v>
      </c>
      <c r="G83" t="s">
        <v>22</v>
      </c>
      <c r="H83" t="b">
        <v>1</v>
      </c>
      <c r="I83">
        <v>10</v>
      </c>
      <c r="J83">
        <v>20</v>
      </c>
      <c r="L83">
        <v>10</v>
      </c>
      <c r="M83">
        <v>5.7564000000000001E-3</v>
      </c>
      <c r="N83">
        <v>10</v>
      </c>
      <c r="O83">
        <v>5.7564000000000001E-3</v>
      </c>
    </row>
    <row r="84" spans="1:16" x14ac:dyDescent="0.25">
      <c r="A84" t="s">
        <v>141</v>
      </c>
      <c r="B84" t="s">
        <v>64</v>
      </c>
      <c r="C84" t="s">
        <v>65</v>
      </c>
      <c r="D84" t="s">
        <v>120</v>
      </c>
      <c r="E84" t="s">
        <v>20</v>
      </c>
      <c r="F84" t="s">
        <v>37</v>
      </c>
      <c r="G84" t="s">
        <v>24</v>
      </c>
      <c r="H84" t="b">
        <v>1</v>
      </c>
      <c r="I84">
        <v>10</v>
      </c>
      <c r="J84">
        <v>21</v>
      </c>
      <c r="L84">
        <v>23.1</v>
      </c>
      <c r="M84">
        <v>8.5470000000000008E-3</v>
      </c>
      <c r="N84">
        <v>23.1</v>
      </c>
      <c r="O84">
        <v>8.5470000000000008E-3</v>
      </c>
    </row>
    <row r="85" spans="1:16" x14ac:dyDescent="0.25">
      <c r="A85" t="s">
        <v>142</v>
      </c>
      <c r="B85" t="s">
        <v>64</v>
      </c>
      <c r="C85" t="s">
        <v>65</v>
      </c>
      <c r="D85" t="s">
        <v>120</v>
      </c>
      <c r="E85" t="s">
        <v>20</v>
      </c>
      <c r="F85" t="s">
        <v>37</v>
      </c>
      <c r="G85" t="s">
        <v>39</v>
      </c>
      <c r="H85" t="b">
        <v>1</v>
      </c>
      <c r="I85">
        <v>10</v>
      </c>
      <c r="J85">
        <v>12</v>
      </c>
      <c r="L85">
        <v>14.4</v>
      </c>
      <c r="M85">
        <v>1.5839999999999999E-3</v>
      </c>
      <c r="N85">
        <v>14.4</v>
      </c>
      <c r="O85">
        <v>1.5839999999999999E-3</v>
      </c>
    </row>
    <row r="86" spans="1:16" x14ac:dyDescent="0.25">
      <c r="A86" t="s">
        <v>143</v>
      </c>
      <c r="B86" t="s">
        <v>64</v>
      </c>
      <c r="C86" t="s">
        <v>65</v>
      </c>
      <c r="D86" t="s">
        <v>120</v>
      </c>
      <c r="E86" t="s">
        <v>20</v>
      </c>
      <c r="F86" t="s">
        <v>37</v>
      </c>
      <c r="G86" t="s">
        <v>139</v>
      </c>
      <c r="H86" t="b">
        <v>1</v>
      </c>
      <c r="I86">
        <v>10</v>
      </c>
      <c r="J86">
        <v>10.1428571428571</v>
      </c>
      <c r="L86">
        <v>7.1</v>
      </c>
      <c r="M86">
        <v>5.6090000000000003E-4</v>
      </c>
      <c r="N86">
        <v>7.1</v>
      </c>
      <c r="O86">
        <v>5.6090000000000003E-4</v>
      </c>
    </row>
    <row r="87" spans="1:16" x14ac:dyDescent="0.25">
      <c r="A87" t="s">
        <v>144</v>
      </c>
      <c r="B87" t="s">
        <v>64</v>
      </c>
      <c r="C87" t="s">
        <v>65</v>
      </c>
      <c r="D87" t="s">
        <v>120</v>
      </c>
      <c r="E87" t="s">
        <v>20</v>
      </c>
      <c r="F87" t="s">
        <v>37</v>
      </c>
      <c r="G87" t="s">
        <v>29</v>
      </c>
      <c r="H87" t="b">
        <v>0</v>
      </c>
      <c r="I87">
        <v>10</v>
      </c>
      <c r="J87">
        <v>23</v>
      </c>
      <c r="L87">
        <v>13.8</v>
      </c>
      <c r="M87">
        <v>3.1050000000000003E-5</v>
      </c>
      <c r="N87">
        <v>0</v>
      </c>
      <c r="O87">
        <v>0</v>
      </c>
    </row>
    <row r="88" spans="1:16" x14ac:dyDescent="0.25">
      <c r="A88" t="s">
        <v>145</v>
      </c>
      <c r="B88" t="s">
        <v>64</v>
      </c>
      <c r="C88" t="s">
        <v>69</v>
      </c>
      <c r="D88" t="s">
        <v>120</v>
      </c>
      <c r="E88" t="s">
        <v>20</v>
      </c>
      <c r="F88" t="s">
        <v>21</v>
      </c>
      <c r="G88" t="s">
        <v>24</v>
      </c>
      <c r="H88" t="b">
        <v>1</v>
      </c>
      <c r="I88">
        <v>10</v>
      </c>
      <c r="J88">
        <v>10.8</v>
      </c>
      <c r="K88">
        <v>48</v>
      </c>
      <c r="L88">
        <v>2307.1889999999999</v>
      </c>
      <c r="M88">
        <v>0.85365992999999996</v>
      </c>
      <c r="N88">
        <v>2307.1889999999999</v>
      </c>
      <c r="O88">
        <v>0.85365992999999996</v>
      </c>
    </row>
    <row r="89" spans="1:16" x14ac:dyDescent="0.25">
      <c r="A89" t="s">
        <v>146</v>
      </c>
      <c r="B89" t="s">
        <v>64</v>
      </c>
      <c r="C89" t="s">
        <v>69</v>
      </c>
      <c r="D89" t="s">
        <v>120</v>
      </c>
      <c r="E89" t="s">
        <v>20</v>
      </c>
      <c r="F89" t="s">
        <v>21</v>
      </c>
      <c r="G89" t="s">
        <v>39</v>
      </c>
      <c r="H89" t="b">
        <v>1</v>
      </c>
      <c r="I89">
        <v>10</v>
      </c>
      <c r="J89">
        <v>34</v>
      </c>
      <c r="L89">
        <v>213.62861111111101</v>
      </c>
      <c r="M89">
        <v>2.34991472222222E-2</v>
      </c>
      <c r="N89">
        <v>213.62861111111101</v>
      </c>
      <c r="O89">
        <v>2.34991472222222E-2</v>
      </c>
    </row>
    <row r="90" spans="1:16" x14ac:dyDescent="0.25">
      <c r="A90" t="s">
        <v>147</v>
      </c>
      <c r="B90" t="s">
        <v>64</v>
      </c>
      <c r="C90" t="s">
        <v>69</v>
      </c>
      <c r="D90" t="s">
        <v>120</v>
      </c>
      <c r="E90" t="s">
        <v>20</v>
      </c>
      <c r="F90" t="s">
        <v>21</v>
      </c>
      <c r="G90" t="s">
        <v>148</v>
      </c>
      <c r="H90" t="b">
        <v>1</v>
      </c>
      <c r="I90">
        <v>10</v>
      </c>
      <c r="J90">
        <v>45</v>
      </c>
      <c r="L90">
        <v>424.11562500000002</v>
      </c>
      <c r="M90">
        <v>0.18364206562499999</v>
      </c>
      <c r="N90">
        <v>424.11562500000002</v>
      </c>
      <c r="O90">
        <v>0.18364206562499999</v>
      </c>
    </row>
    <row r="91" spans="1:16" x14ac:dyDescent="0.25">
      <c r="A91" t="s">
        <v>149</v>
      </c>
      <c r="B91" t="s">
        <v>64</v>
      </c>
      <c r="C91" t="s">
        <v>69</v>
      </c>
      <c r="D91" t="s">
        <v>120</v>
      </c>
      <c r="E91" t="s">
        <v>20</v>
      </c>
      <c r="F91" t="s">
        <v>21</v>
      </c>
      <c r="G91" t="s">
        <v>139</v>
      </c>
      <c r="H91" t="b">
        <v>1</v>
      </c>
      <c r="I91">
        <v>10</v>
      </c>
      <c r="J91">
        <v>12</v>
      </c>
      <c r="L91">
        <v>37.699166666666699</v>
      </c>
      <c r="M91">
        <v>2.9782341666666698E-3</v>
      </c>
      <c r="N91">
        <v>37.699166666666699</v>
      </c>
      <c r="O91">
        <v>2.9782341666666698E-3</v>
      </c>
    </row>
    <row r="92" spans="1:16" x14ac:dyDescent="0.25">
      <c r="A92" t="s">
        <v>150</v>
      </c>
      <c r="B92" t="s">
        <v>64</v>
      </c>
      <c r="C92" t="s">
        <v>69</v>
      </c>
      <c r="D92" t="s">
        <v>120</v>
      </c>
      <c r="E92" t="s">
        <v>20</v>
      </c>
      <c r="F92" t="s">
        <v>21</v>
      </c>
      <c r="G92" t="s">
        <v>29</v>
      </c>
      <c r="H92" t="b">
        <v>0</v>
      </c>
      <c r="I92">
        <v>10</v>
      </c>
      <c r="J92">
        <v>228</v>
      </c>
      <c r="L92">
        <v>716.28416666666703</v>
      </c>
      <c r="M92">
        <v>1.611639375E-3</v>
      </c>
      <c r="N92">
        <v>0</v>
      </c>
      <c r="O92">
        <v>0</v>
      </c>
    </row>
    <row r="93" spans="1:16" x14ac:dyDescent="0.25">
      <c r="A93" t="s">
        <v>151</v>
      </c>
      <c r="B93" t="s">
        <v>64</v>
      </c>
      <c r="C93" t="s">
        <v>75</v>
      </c>
      <c r="D93" t="s">
        <v>120</v>
      </c>
      <c r="E93" t="s">
        <v>20</v>
      </c>
      <c r="F93" t="s">
        <v>21</v>
      </c>
      <c r="G93" t="s">
        <v>22</v>
      </c>
      <c r="H93" t="b">
        <v>1</v>
      </c>
      <c r="I93">
        <v>10</v>
      </c>
      <c r="J93">
        <v>21.733333333333299</v>
      </c>
      <c r="L93">
        <v>1024.16069444444</v>
      </c>
      <c r="M93">
        <v>0.58954786214999699</v>
      </c>
      <c r="N93">
        <v>1024.16069444444</v>
      </c>
      <c r="O93">
        <v>0.58954786214999699</v>
      </c>
    </row>
    <row r="94" spans="1:16" x14ac:dyDescent="0.25">
      <c r="A94" t="s">
        <v>152</v>
      </c>
      <c r="B94" t="s">
        <v>64</v>
      </c>
      <c r="C94" t="s">
        <v>75</v>
      </c>
      <c r="D94" t="s">
        <v>120</v>
      </c>
      <c r="E94" t="s">
        <v>20</v>
      </c>
      <c r="F94" t="s">
        <v>21</v>
      </c>
      <c r="G94" t="s">
        <v>24</v>
      </c>
      <c r="H94" t="b">
        <v>1</v>
      </c>
      <c r="I94">
        <v>10</v>
      </c>
      <c r="J94">
        <v>23.6666666666667</v>
      </c>
      <c r="L94">
        <v>223.05340277777799</v>
      </c>
      <c r="M94">
        <v>8.2529759027777899E-2</v>
      </c>
      <c r="N94">
        <v>223.05340277777799</v>
      </c>
      <c r="O94">
        <v>8.2529759027777899E-2</v>
      </c>
    </row>
    <row r="95" spans="1:16" x14ac:dyDescent="0.25">
      <c r="A95" t="s">
        <v>153</v>
      </c>
      <c r="B95" t="s">
        <v>64</v>
      </c>
      <c r="C95" t="s">
        <v>75</v>
      </c>
      <c r="D95" t="s">
        <v>120</v>
      </c>
      <c r="E95" t="s">
        <v>20</v>
      </c>
      <c r="F95" t="s">
        <v>21</v>
      </c>
      <c r="G95" t="s">
        <v>115</v>
      </c>
      <c r="H95" t="b">
        <v>1</v>
      </c>
      <c r="I95">
        <v>10</v>
      </c>
      <c r="J95">
        <v>42</v>
      </c>
      <c r="L95">
        <v>131.94708333333301</v>
      </c>
      <c r="M95">
        <v>3.4306241666666598E-2</v>
      </c>
      <c r="N95">
        <v>131.94708333333301</v>
      </c>
      <c r="O95">
        <v>3.4306241666666598E-2</v>
      </c>
    </row>
    <row r="96" spans="1:16" ht="30" x14ac:dyDescent="0.25">
      <c r="A96" t="s">
        <v>154</v>
      </c>
      <c r="B96" t="s">
        <v>64</v>
      </c>
      <c r="C96" t="s">
        <v>75</v>
      </c>
      <c r="D96" t="s">
        <v>120</v>
      </c>
      <c r="E96" t="s">
        <v>20</v>
      </c>
      <c r="F96" t="s">
        <v>21</v>
      </c>
      <c r="G96" t="s">
        <v>26</v>
      </c>
      <c r="H96" t="b">
        <v>1</v>
      </c>
      <c r="I96">
        <v>10</v>
      </c>
      <c r="J96">
        <v>18</v>
      </c>
      <c r="L96">
        <v>56.548749999999998</v>
      </c>
      <c r="M96">
        <v>4.0601194655867203E-3</v>
      </c>
      <c r="N96">
        <v>56.548749999999998</v>
      </c>
      <c r="O96">
        <v>4.0601194655867203E-3</v>
      </c>
      <c r="P96" s="1" t="s">
        <v>27</v>
      </c>
    </row>
    <row r="97" spans="1:16" x14ac:dyDescent="0.25">
      <c r="A97" t="s">
        <v>155</v>
      </c>
      <c r="B97" t="s">
        <v>64</v>
      </c>
      <c r="C97" t="s">
        <v>75</v>
      </c>
      <c r="D97" t="s">
        <v>120</v>
      </c>
      <c r="E97" t="s">
        <v>20</v>
      </c>
      <c r="F97" t="s">
        <v>21</v>
      </c>
      <c r="G97" t="s">
        <v>29</v>
      </c>
      <c r="H97" t="b">
        <v>0</v>
      </c>
      <c r="I97">
        <v>10</v>
      </c>
      <c r="J97">
        <v>22</v>
      </c>
      <c r="L97">
        <v>69.115138888888893</v>
      </c>
      <c r="M97">
        <v>1.5550906250000001E-4</v>
      </c>
      <c r="N97">
        <v>0</v>
      </c>
      <c r="O97">
        <v>0</v>
      </c>
    </row>
    <row r="98" spans="1:16" x14ac:dyDescent="0.25">
      <c r="A98" t="s">
        <v>156</v>
      </c>
      <c r="B98" t="s">
        <v>64</v>
      </c>
      <c r="C98" t="s">
        <v>80</v>
      </c>
      <c r="D98" t="s">
        <v>120</v>
      </c>
      <c r="E98" t="s">
        <v>20</v>
      </c>
      <c r="F98" t="s">
        <v>37</v>
      </c>
      <c r="G98" t="s">
        <v>24</v>
      </c>
      <c r="H98" t="b">
        <v>1</v>
      </c>
      <c r="I98">
        <v>10</v>
      </c>
      <c r="J98">
        <v>21.45</v>
      </c>
      <c r="K98">
        <v>2</v>
      </c>
      <c r="L98">
        <v>47.19</v>
      </c>
      <c r="M98">
        <v>1.7460300000000002E-2</v>
      </c>
      <c r="N98">
        <v>47.19</v>
      </c>
      <c r="O98">
        <v>1.7460300000000002E-2</v>
      </c>
    </row>
    <row r="99" spans="1:16" x14ac:dyDescent="0.25">
      <c r="A99" t="s">
        <v>157</v>
      </c>
      <c r="B99" t="s">
        <v>64</v>
      </c>
      <c r="C99" t="s">
        <v>80</v>
      </c>
      <c r="D99" t="s">
        <v>120</v>
      </c>
      <c r="E99" t="s">
        <v>20</v>
      </c>
      <c r="F99" t="s">
        <v>37</v>
      </c>
      <c r="G99" t="s">
        <v>22</v>
      </c>
      <c r="H99" t="b">
        <v>1</v>
      </c>
      <c r="I99">
        <v>10</v>
      </c>
      <c r="J99">
        <v>19.466666666666701</v>
      </c>
      <c r="L99">
        <v>29.2</v>
      </c>
      <c r="M99">
        <v>1.6808687999999999E-2</v>
      </c>
      <c r="N99">
        <v>29.2</v>
      </c>
      <c r="O99">
        <v>1.6808687999999999E-2</v>
      </c>
    </row>
    <row r="100" spans="1:16" x14ac:dyDescent="0.25">
      <c r="A100" t="s">
        <v>158</v>
      </c>
      <c r="B100" t="s">
        <v>64</v>
      </c>
      <c r="C100" t="s">
        <v>80</v>
      </c>
      <c r="D100" t="s">
        <v>120</v>
      </c>
      <c r="E100" t="s">
        <v>20</v>
      </c>
      <c r="F100" t="s">
        <v>37</v>
      </c>
      <c r="G100" t="s">
        <v>29</v>
      </c>
      <c r="H100" t="b">
        <v>0</v>
      </c>
      <c r="I100">
        <v>10</v>
      </c>
      <c r="J100">
        <v>24.3333333333333</v>
      </c>
      <c r="L100">
        <v>14.6</v>
      </c>
      <c r="M100">
        <v>3.2849999999999999E-5</v>
      </c>
      <c r="N100">
        <v>0</v>
      </c>
      <c r="O100">
        <v>0</v>
      </c>
    </row>
    <row r="101" spans="1:16" ht="30" x14ac:dyDescent="0.25">
      <c r="A101" t="s">
        <v>159</v>
      </c>
      <c r="B101" t="s">
        <v>64</v>
      </c>
      <c r="C101" t="s">
        <v>80</v>
      </c>
      <c r="D101" t="s">
        <v>120</v>
      </c>
      <c r="E101" t="s">
        <v>20</v>
      </c>
      <c r="F101" t="s">
        <v>37</v>
      </c>
      <c r="G101" t="s">
        <v>62</v>
      </c>
      <c r="H101" t="b">
        <v>1</v>
      </c>
      <c r="I101">
        <v>10</v>
      </c>
      <c r="J101">
        <v>70</v>
      </c>
      <c r="L101">
        <v>7</v>
      </c>
      <c r="M101">
        <v>1.33231E-3</v>
      </c>
      <c r="N101">
        <v>7</v>
      </c>
      <c r="O101">
        <v>1.33231E-3</v>
      </c>
      <c r="P101" s="1" t="s">
        <v>27</v>
      </c>
    </row>
    <row r="102" spans="1:16" x14ac:dyDescent="0.25">
      <c r="A102" t="s">
        <v>160</v>
      </c>
      <c r="B102" t="s">
        <v>64</v>
      </c>
      <c r="C102" t="s">
        <v>86</v>
      </c>
      <c r="D102" t="s">
        <v>120</v>
      </c>
      <c r="E102" t="s">
        <v>20</v>
      </c>
      <c r="F102" t="s">
        <v>21</v>
      </c>
      <c r="G102" t="s">
        <v>24</v>
      </c>
      <c r="H102" t="b">
        <v>1</v>
      </c>
      <c r="I102">
        <v>10</v>
      </c>
      <c r="J102">
        <v>17.25</v>
      </c>
      <c r="L102">
        <v>650.31062499999996</v>
      </c>
      <c r="M102">
        <v>0.24061493125</v>
      </c>
      <c r="N102">
        <v>650.31062499999996</v>
      </c>
      <c r="O102">
        <v>0.24061493125</v>
      </c>
    </row>
    <row r="103" spans="1:16" x14ac:dyDescent="0.25">
      <c r="A103" t="s">
        <v>161</v>
      </c>
      <c r="B103" t="s">
        <v>64</v>
      </c>
      <c r="C103" t="s">
        <v>86</v>
      </c>
      <c r="D103" t="s">
        <v>120</v>
      </c>
      <c r="E103" t="s">
        <v>20</v>
      </c>
      <c r="F103" t="s">
        <v>21</v>
      </c>
      <c r="G103" t="s">
        <v>22</v>
      </c>
      <c r="H103" t="b">
        <v>1</v>
      </c>
      <c r="I103">
        <v>10</v>
      </c>
      <c r="J103">
        <v>21.6666666666667</v>
      </c>
      <c r="L103">
        <v>408.40763888888898</v>
      </c>
      <c r="M103">
        <v>0.23509577325</v>
      </c>
      <c r="N103">
        <v>408.40763888888898</v>
      </c>
      <c r="O103">
        <v>0.23509577325</v>
      </c>
    </row>
    <row r="104" spans="1:16" x14ac:dyDescent="0.25">
      <c r="A104" t="s">
        <v>162</v>
      </c>
      <c r="B104" t="s">
        <v>91</v>
      </c>
      <c r="C104" t="s">
        <v>92</v>
      </c>
      <c r="D104" t="s">
        <v>120</v>
      </c>
      <c r="E104" t="s">
        <v>20</v>
      </c>
      <c r="F104" t="s">
        <v>37</v>
      </c>
      <c r="G104" t="s">
        <v>24</v>
      </c>
      <c r="H104" t="b">
        <v>1</v>
      </c>
      <c r="I104">
        <v>10</v>
      </c>
      <c r="J104">
        <v>21.15</v>
      </c>
      <c r="K104">
        <v>4</v>
      </c>
      <c r="L104">
        <v>50.76</v>
      </c>
      <c r="M104">
        <v>1.8781200000000001E-2</v>
      </c>
      <c r="N104">
        <v>50.76</v>
      </c>
      <c r="O104">
        <v>1.8781200000000001E-2</v>
      </c>
    </row>
    <row r="105" spans="1:16" x14ac:dyDescent="0.25">
      <c r="A105" t="s">
        <v>163</v>
      </c>
      <c r="B105" t="s">
        <v>91</v>
      </c>
      <c r="C105" t="s">
        <v>92</v>
      </c>
      <c r="D105" t="s">
        <v>120</v>
      </c>
      <c r="E105" t="s">
        <v>20</v>
      </c>
      <c r="F105" t="s">
        <v>37</v>
      </c>
      <c r="G105" t="s">
        <v>22</v>
      </c>
      <c r="H105" t="b">
        <v>1</v>
      </c>
      <c r="I105">
        <v>10</v>
      </c>
      <c r="J105">
        <v>45.6</v>
      </c>
      <c r="L105">
        <v>68.400000000000006</v>
      </c>
      <c r="M105">
        <v>3.9373775999999999E-2</v>
      </c>
      <c r="N105">
        <v>68.400000000000006</v>
      </c>
      <c r="O105">
        <v>3.9373775999999999E-2</v>
      </c>
    </row>
    <row r="106" spans="1:16" x14ac:dyDescent="0.25">
      <c r="A106" t="s">
        <v>164</v>
      </c>
      <c r="B106" t="s">
        <v>91</v>
      </c>
      <c r="C106" t="s">
        <v>98</v>
      </c>
      <c r="D106" t="s">
        <v>120</v>
      </c>
      <c r="E106" t="s">
        <v>20</v>
      </c>
      <c r="F106" t="s">
        <v>37</v>
      </c>
      <c r="G106" t="s">
        <v>33</v>
      </c>
      <c r="H106" t="b">
        <v>1</v>
      </c>
      <c r="I106">
        <v>10</v>
      </c>
      <c r="J106">
        <v>11.4</v>
      </c>
      <c r="K106">
        <v>137</v>
      </c>
      <c r="L106">
        <v>178.98</v>
      </c>
      <c r="M106">
        <v>6.9802199999999997E-3</v>
      </c>
      <c r="N106">
        <v>178.98</v>
      </c>
      <c r="O106">
        <v>6.9802199999999997E-3</v>
      </c>
    </row>
    <row r="107" spans="1:16" x14ac:dyDescent="0.25">
      <c r="A107" t="s">
        <v>165</v>
      </c>
      <c r="B107" t="s">
        <v>91</v>
      </c>
      <c r="C107" t="s">
        <v>98</v>
      </c>
      <c r="D107" t="s">
        <v>120</v>
      </c>
      <c r="E107" t="s">
        <v>20</v>
      </c>
      <c r="F107" t="s">
        <v>37</v>
      </c>
      <c r="G107" t="s">
        <v>50</v>
      </c>
      <c r="H107" t="b">
        <v>1</v>
      </c>
      <c r="I107">
        <v>10</v>
      </c>
      <c r="J107">
        <v>22</v>
      </c>
      <c r="L107">
        <v>6.6</v>
      </c>
      <c r="M107">
        <v>1.78497E-2</v>
      </c>
      <c r="N107">
        <v>6.6</v>
      </c>
      <c r="O107">
        <v>1.78497E-2</v>
      </c>
    </row>
    <row r="108" spans="1:16" x14ac:dyDescent="0.25">
      <c r="A108" t="s">
        <v>166</v>
      </c>
      <c r="B108" t="s">
        <v>91</v>
      </c>
      <c r="C108" t="s">
        <v>98</v>
      </c>
      <c r="D108" t="s">
        <v>120</v>
      </c>
      <c r="E108" t="s">
        <v>20</v>
      </c>
      <c r="F108" t="s">
        <v>37</v>
      </c>
      <c r="G108" t="s">
        <v>22</v>
      </c>
      <c r="H108" t="b">
        <v>1</v>
      </c>
      <c r="I108">
        <v>10</v>
      </c>
      <c r="J108">
        <v>14.875</v>
      </c>
      <c r="L108">
        <v>11.9</v>
      </c>
      <c r="M108">
        <v>6.8501159999999998E-3</v>
      </c>
      <c r="N108">
        <v>11.9</v>
      </c>
      <c r="O108">
        <v>6.8501159999999998E-3</v>
      </c>
    </row>
    <row r="109" spans="1:16" x14ac:dyDescent="0.25">
      <c r="A109" t="s">
        <v>167</v>
      </c>
      <c r="B109" t="s">
        <v>91</v>
      </c>
      <c r="C109" t="s">
        <v>98</v>
      </c>
      <c r="D109" t="s">
        <v>120</v>
      </c>
      <c r="E109" t="s">
        <v>20</v>
      </c>
      <c r="F109" t="s">
        <v>37</v>
      </c>
      <c r="G109" t="s">
        <v>24</v>
      </c>
      <c r="H109" t="b">
        <v>1</v>
      </c>
      <c r="I109">
        <v>10</v>
      </c>
      <c r="J109">
        <v>47</v>
      </c>
      <c r="L109">
        <v>9.4</v>
      </c>
      <c r="M109">
        <v>3.4780000000000002E-3</v>
      </c>
      <c r="N109">
        <v>9.4</v>
      </c>
      <c r="O109">
        <v>3.4780000000000002E-3</v>
      </c>
    </row>
    <row r="110" spans="1:16" x14ac:dyDescent="0.25">
      <c r="A110" t="s">
        <v>168</v>
      </c>
      <c r="B110" t="s">
        <v>91</v>
      </c>
      <c r="C110" t="s">
        <v>103</v>
      </c>
      <c r="D110" t="s">
        <v>120</v>
      </c>
      <c r="E110" t="s">
        <v>20</v>
      </c>
      <c r="F110" t="s">
        <v>37</v>
      </c>
      <c r="G110" t="s">
        <v>169</v>
      </c>
      <c r="H110" t="b">
        <v>1</v>
      </c>
      <c r="I110">
        <v>10</v>
      </c>
      <c r="J110">
        <v>9.3333333333333304</v>
      </c>
      <c r="L110">
        <v>2.8</v>
      </c>
      <c r="M110">
        <v>1.6799999999999999E-4</v>
      </c>
      <c r="N110">
        <v>2.8</v>
      </c>
      <c r="O110">
        <v>1.6799999999999999E-4</v>
      </c>
    </row>
    <row r="111" spans="1:16" x14ac:dyDescent="0.25">
      <c r="A111" t="s">
        <v>170</v>
      </c>
      <c r="B111" t="s">
        <v>91</v>
      </c>
      <c r="C111" t="s">
        <v>103</v>
      </c>
      <c r="D111" t="s">
        <v>120</v>
      </c>
      <c r="E111" t="s">
        <v>20</v>
      </c>
      <c r="F111" t="s">
        <v>37</v>
      </c>
      <c r="G111" t="s">
        <v>139</v>
      </c>
      <c r="H111" t="b">
        <v>1</v>
      </c>
      <c r="I111">
        <v>10</v>
      </c>
      <c r="J111">
        <v>16.071428571428601</v>
      </c>
      <c r="L111">
        <v>22.5</v>
      </c>
      <c r="M111">
        <v>1.7775E-3</v>
      </c>
      <c r="N111">
        <v>22.5</v>
      </c>
      <c r="O111">
        <v>1.7775E-3</v>
      </c>
    </row>
    <row r="112" spans="1:16" x14ac:dyDescent="0.25">
      <c r="A112" t="s">
        <v>171</v>
      </c>
      <c r="B112" t="s">
        <v>91</v>
      </c>
      <c r="C112" t="s">
        <v>103</v>
      </c>
      <c r="D112" t="s">
        <v>120</v>
      </c>
      <c r="E112" t="s">
        <v>20</v>
      </c>
      <c r="F112" t="s">
        <v>37</v>
      </c>
      <c r="G112" t="s">
        <v>22</v>
      </c>
      <c r="H112" t="b">
        <v>1</v>
      </c>
      <c r="I112">
        <v>10</v>
      </c>
      <c r="J112">
        <v>33.3333333333333</v>
      </c>
      <c r="L112">
        <v>40</v>
      </c>
      <c r="M112">
        <v>2.30256E-2</v>
      </c>
      <c r="N112">
        <v>40</v>
      </c>
      <c r="O112">
        <v>2.30256E-2</v>
      </c>
    </row>
    <row r="113" spans="1:16" x14ac:dyDescent="0.25">
      <c r="A113" t="s">
        <v>172</v>
      </c>
      <c r="B113" t="s">
        <v>91</v>
      </c>
      <c r="C113" t="s">
        <v>103</v>
      </c>
      <c r="D113" t="s">
        <v>120</v>
      </c>
      <c r="E113" t="s">
        <v>20</v>
      </c>
      <c r="F113" t="s">
        <v>37</v>
      </c>
      <c r="G113" t="s">
        <v>115</v>
      </c>
      <c r="H113" t="b">
        <v>1</v>
      </c>
      <c r="I113">
        <v>10</v>
      </c>
      <c r="J113">
        <v>32</v>
      </c>
      <c r="L113">
        <v>3.2</v>
      </c>
      <c r="M113">
        <v>8.3199999999999995E-4</v>
      </c>
      <c r="N113">
        <v>3.2</v>
      </c>
      <c r="O113">
        <v>8.3199999999999995E-4</v>
      </c>
    </row>
    <row r="114" spans="1:16" x14ac:dyDescent="0.25">
      <c r="A114" t="s">
        <v>173</v>
      </c>
      <c r="B114" t="s">
        <v>91</v>
      </c>
      <c r="C114" t="s">
        <v>103</v>
      </c>
      <c r="D114" t="s">
        <v>120</v>
      </c>
      <c r="E114" t="s">
        <v>20</v>
      </c>
      <c r="F114" t="s">
        <v>37</v>
      </c>
      <c r="G114" t="s">
        <v>50</v>
      </c>
      <c r="H114" t="b">
        <v>1</v>
      </c>
      <c r="I114">
        <v>10</v>
      </c>
      <c r="J114">
        <v>16</v>
      </c>
      <c r="L114">
        <v>3.2</v>
      </c>
      <c r="M114">
        <v>8.6543999999999996E-3</v>
      </c>
      <c r="N114">
        <v>3.2</v>
      </c>
      <c r="O114">
        <v>8.6543999999999996E-3</v>
      </c>
    </row>
    <row r="115" spans="1:16" x14ac:dyDescent="0.25">
      <c r="A115" t="s">
        <v>174</v>
      </c>
      <c r="B115" t="s">
        <v>91</v>
      </c>
      <c r="C115" t="s">
        <v>103</v>
      </c>
      <c r="D115" t="s">
        <v>120</v>
      </c>
      <c r="E115" t="s">
        <v>20</v>
      </c>
      <c r="F115" t="s">
        <v>37</v>
      </c>
      <c r="G115" t="s">
        <v>24</v>
      </c>
      <c r="H115" t="b">
        <v>1</v>
      </c>
      <c r="I115">
        <v>10</v>
      </c>
      <c r="J115">
        <v>22.6666666666667</v>
      </c>
      <c r="L115">
        <v>6.8</v>
      </c>
      <c r="M115">
        <v>2.516E-3</v>
      </c>
      <c r="N115">
        <v>6.8</v>
      </c>
      <c r="O115">
        <v>2.516E-3</v>
      </c>
    </row>
    <row r="116" spans="1:16" x14ac:dyDescent="0.25">
      <c r="A116" t="s">
        <v>175</v>
      </c>
      <c r="B116" t="s">
        <v>91</v>
      </c>
      <c r="C116" t="s">
        <v>106</v>
      </c>
      <c r="D116" t="s">
        <v>120</v>
      </c>
      <c r="E116" t="s">
        <v>20</v>
      </c>
      <c r="F116" t="s">
        <v>21</v>
      </c>
      <c r="G116" t="s">
        <v>22</v>
      </c>
      <c r="H116" t="b">
        <v>1</v>
      </c>
      <c r="I116">
        <v>10</v>
      </c>
      <c r="J116">
        <v>22.6</v>
      </c>
      <c r="K116">
        <v>7</v>
      </c>
      <c r="L116">
        <v>1917.0026250000001</v>
      </c>
      <c r="M116">
        <v>1.1035033910550001</v>
      </c>
      <c r="N116">
        <v>1917.0026250000001</v>
      </c>
      <c r="O116">
        <v>1.1035033910550001</v>
      </c>
    </row>
    <row r="117" spans="1:16" x14ac:dyDescent="0.25">
      <c r="A117" t="s">
        <v>176</v>
      </c>
      <c r="B117" t="s">
        <v>91</v>
      </c>
      <c r="C117" t="s">
        <v>106</v>
      </c>
      <c r="D117" t="s">
        <v>120</v>
      </c>
      <c r="E117" t="s">
        <v>20</v>
      </c>
      <c r="F117" t="s">
        <v>21</v>
      </c>
      <c r="G117" t="s">
        <v>24</v>
      </c>
      <c r="H117" t="b">
        <v>1</v>
      </c>
      <c r="I117">
        <v>10</v>
      </c>
      <c r="J117">
        <v>27</v>
      </c>
      <c r="L117">
        <v>339.29250000000002</v>
      </c>
      <c r="M117">
        <v>0.125538225</v>
      </c>
      <c r="N117">
        <v>339.29250000000002</v>
      </c>
      <c r="O117">
        <v>0.125538225</v>
      </c>
    </row>
    <row r="118" spans="1:16" x14ac:dyDescent="0.25">
      <c r="A118" t="s">
        <v>177</v>
      </c>
      <c r="B118" t="s">
        <v>91</v>
      </c>
      <c r="C118" t="s">
        <v>106</v>
      </c>
      <c r="D118" t="s">
        <v>120</v>
      </c>
      <c r="E118" t="s">
        <v>20</v>
      </c>
      <c r="F118" t="s">
        <v>21</v>
      </c>
      <c r="G118" t="s">
        <v>139</v>
      </c>
      <c r="H118" t="b">
        <v>1</v>
      </c>
      <c r="I118">
        <v>10</v>
      </c>
      <c r="J118">
        <v>12</v>
      </c>
      <c r="L118">
        <v>37.699166666666699</v>
      </c>
      <c r="M118">
        <v>2.9782341666666698E-3</v>
      </c>
      <c r="N118">
        <v>37.699166666666699</v>
      </c>
      <c r="O118">
        <v>2.9782341666666698E-3</v>
      </c>
    </row>
    <row r="119" spans="1:16" x14ac:dyDescent="0.25">
      <c r="A119" t="s">
        <v>178</v>
      </c>
      <c r="B119" t="s">
        <v>91</v>
      </c>
      <c r="C119" t="s">
        <v>106</v>
      </c>
      <c r="D119" t="s">
        <v>120</v>
      </c>
      <c r="E119" t="s">
        <v>20</v>
      </c>
      <c r="F119" t="s">
        <v>21</v>
      </c>
      <c r="G119" t="s">
        <v>115</v>
      </c>
      <c r="H119" t="b">
        <v>1</v>
      </c>
      <c r="I119">
        <v>10</v>
      </c>
      <c r="J119">
        <v>34.5</v>
      </c>
      <c r="L119">
        <v>216.77020833333299</v>
      </c>
      <c r="M119">
        <v>5.6360254166666603E-2</v>
      </c>
      <c r="N119">
        <v>216.77020833333299</v>
      </c>
      <c r="O119">
        <v>5.6360254166666603E-2</v>
      </c>
    </row>
    <row r="120" spans="1:16" x14ac:dyDescent="0.25">
      <c r="A120" t="s">
        <v>179</v>
      </c>
      <c r="B120" t="s">
        <v>109</v>
      </c>
      <c r="C120" t="s">
        <v>110</v>
      </c>
      <c r="D120" t="s">
        <v>120</v>
      </c>
      <c r="E120" t="s">
        <v>20</v>
      </c>
      <c r="F120" t="s">
        <v>21</v>
      </c>
      <c r="G120" t="s">
        <v>29</v>
      </c>
      <c r="H120" t="b">
        <v>0</v>
      </c>
      <c r="I120">
        <v>10</v>
      </c>
      <c r="J120">
        <v>52.65</v>
      </c>
      <c r="K120">
        <v>144</v>
      </c>
      <c r="L120">
        <v>27126.435375000001</v>
      </c>
      <c r="M120">
        <v>6.1034479593750003E-2</v>
      </c>
      <c r="N120">
        <v>0</v>
      </c>
      <c r="O120">
        <v>0</v>
      </c>
    </row>
    <row r="121" spans="1:16" x14ac:dyDescent="0.25">
      <c r="A121" t="s">
        <v>180</v>
      </c>
      <c r="B121" t="s">
        <v>109</v>
      </c>
      <c r="C121" t="s">
        <v>110</v>
      </c>
      <c r="D121" t="s">
        <v>120</v>
      </c>
      <c r="E121" t="s">
        <v>20</v>
      </c>
      <c r="F121" t="s">
        <v>21</v>
      </c>
      <c r="G121" t="s">
        <v>22</v>
      </c>
      <c r="H121" t="b">
        <v>1</v>
      </c>
      <c r="I121">
        <v>10</v>
      </c>
      <c r="J121">
        <v>24.25</v>
      </c>
      <c r="K121">
        <v>49</v>
      </c>
      <c r="L121">
        <v>5256.6775520833298</v>
      </c>
      <c r="M121">
        <v>3.0259538660812502</v>
      </c>
      <c r="N121">
        <v>5256.6775520833298</v>
      </c>
      <c r="O121">
        <v>3.0259538660812502</v>
      </c>
    </row>
    <row r="122" spans="1:16" x14ac:dyDescent="0.25">
      <c r="A122" t="s">
        <v>181</v>
      </c>
      <c r="B122" t="s">
        <v>109</v>
      </c>
      <c r="C122" t="s">
        <v>110</v>
      </c>
      <c r="D122" t="s">
        <v>120</v>
      </c>
      <c r="E122" t="s">
        <v>20</v>
      </c>
      <c r="F122" t="s">
        <v>21</v>
      </c>
      <c r="G122" t="s">
        <v>115</v>
      </c>
      <c r="H122" t="b">
        <v>1</v>
      </c>
      <c r="I122">
        <v>10</v>
      </c>
      <c r="J122">
        <v>22.6666666666667</v>
      </c>
      <c r="L122">
        <v>213.62861111111101</v>
      </c>
      <c r="M122">
        <v>5.5543438888888901E-2</v>
      </c>
      <c r="N122">
        <v>213.62861111111101</v>
      </c>
      <c r="O122">
        <v>5.5543438888888901E-2</v>
      </c>
    </row>
    <row r="123" spans="1:16" x14ac:dyDescent="0.25">
      <c r="A123" t="s">
        <v>182</v>
      </c>
      <c r="B123" t="s">
        <v>109</v>
      </c>
      <c r="C123" t="s">
        <v>110</v>
      </c>
      <c r="D123" t="s">
        <v>120</v>
      </c>
      <c r="E123" t="s">
        <v>20</v>
      </c>
      <c r="F123" t="s">
        <v>21</v>
      </c>
      <c r="G123" t="s">
        <v>52</v>
      </c>
      <c r="H123" t="b">
        <v>1</v>
      </c>
      <c r="I123">
        <v>10</v>
      </c>
      <c r="J123">
        <v>40</v>
      </c>
      <c r="L123">
        <v>125.66388888888901</v>
      </c>
      <c r="M123">
        <v>1.1729467388888901E-2</v>
      </c>
      <c r="N123">
        <v>125.66388888888901</v>
      </c>
      <c r="O123">
        <v>1.1729467388888901E-2</v>
      </c>
    </row>
    <row r="124" spans="1:16" x14ac:dyDescent="0.25">
      <c r="A124" t="s">
        <v>183</v>
      </c>
      <c r="B124" t="s">
        <v>109</v>
      </c>
      <c r="C124" t="s">
        <v>110</v>
      </c>
      <c r="D124" t="s">
        <v>120</v>
      </c>
      <c r="E124" t="s">
        <v>20</v>
      </c>
      <c r="F124" t="s">
        <v>21</v>
      </c>
      <c r="G124" t="s">
        <v>24</v>
      </c>
      <c r="H124" t="b">
        <v>1</v>
      </c>
      <c r="I124">
        <v>10</v>
      </c>
      <c r="J124">
        <v>38</v>
      </c>
      <c r="L124">
        <v>119.380694444444</v>
      </c>
      <c r="M124">
        <v>4.4170856944444302E-2</v>
      </c>
      <c r="N124">
        <v>119.380694444444</v>
      </c>
      <c r="O124">
        <v>4.4170856944444302E-2</v>
      </c>
    </row>
    <row r="125" spans="1:16" x14ac:dyDescent="0.25">
      <c r="A125" t="s">
        <v>184</v>
      </c>
      <c r="B125" t="s">
        <v>17</v>
      </c>
      <c r="C125" t="s">
        <v>18</v>
      </c>
      <c r="D125" t="s">
        <v>185</v>
      </c>
      <c r="E125" t="s">
        <v>20</v>
      </c>
      <c r="F125" t="s">
        <v>21</v>
      </c>
      <c r="G125" t="s">
        <v>22</v>
      </c>
      <c r="H125" t="b">
        <v>1</v>
      </c>
      <c r="I125">
        <v>10</v>
      </c>
      <c r="J125">
        <v>28.6666666666667</v>
      </c>
      <c r="L125">
        <v>1080.7094444444399</v>
      </c>
      <c r="M125">
        <v>0.62209958459999704</v>
      </c>
      <c r="N125">
        <v>1080.7094444444399</v>
      </c>
      <c r="O125">
        <v>0.62209958459999704</v>
      </c>
    </row>
    <row r="126" spans="1:16" ht="30" x14ac:dyDescent="0.25">
      <c r="A126" t="s">
        <v>186</v>
      </c>
      <c r="B126" t="s">
        <v>17</v>
      </c>
      <c r="C126" t="s">
        <v>18</v>
      </c>
      <c r="D126" t="s">
        <v>185</v>
      </c>
      <c r="E126" t="s">
        <v>20</v>
      </c>
      <c r="F126" t="s">
        <v>21</v>
      </c>
      <c r="G126" t="s">
        <v>26</v>
      </c>
      <c r="H126" t="b">
        <v>1</v>
      </c>
      <c r="I126">
        <v>10</v>
      </c>
      <c r="J126">
        <v>30</v>
      </c>
      <c r="L126">
        <v>188.495833333333</v>
      </c>
      <c r="M126">
        <v>1.35337315519557E-2</v>
      </c>
      <c r="N126">
        <v>188.495833333333</v>
      </c>
      <c r="O126">
        <v>1.35337315519557E-2</v>
      </c>
      <c r="P126" s="1" t="s">
        <v>27</v>
      </c>
    </row>
    <row r="127" spans="1:16" x14ac:dyDescent="0.25">
      <c r="A127" t="s">
        <v>187</v>
      </c>
      <c r="B127" t="s">
        <v>17</v>
      </c>
      <c r="C127" t="s">
        <v>18</v>
      </c>
      <c r="D127" t="s">
        <v>185</v>
      </c>
      <c r="E127" t="s">
        <v>20</v>
      </c>
      <c r="F127" t="s">
        <v>21</v>
      </c>
      <c r="G127" t="s">
        <v>24</v>
      </c>
      <c r="H127" t="b">
        <v>1</v>
      </c>
      <c r="I127">
        <v>10</v>
      </c>
      <c r="J127">
        <v>17</v>
      </c>
      <c r="L127">
        <v>106.814305555556</v>
      </c>
      <c r="M127">
        <v>3.9521293055555698E-2</v>
      </c>
      <c r="N127">
        <v>106.814305555556</v>
      </c>
      <c r="O127">
        <v>3.9521293055555698E-2</v>
      </c>
    </row>
    <row r="128" spans="1:16" ht="30" x14ac:dyDescent="0.25">
      <c r="A128" t="s">
        <v>188</v>
      </c>
      <c r="B128" t="s">
        <v>35</v>
      </c>
      <c r="C128" t="s">
        <v>36</v>
      </c>
      <c r="D128" t="s">
        <v>185</v>
      </c>
      <c r="E128" t="s">
        <v>20</v>
      </c>
      <c r="F128" t="s">
        <v>21</v>
      </c>
      <c r="G128" t="s">
        <v>62</v>
      </c>
      <c r="H128" t="b">
        <v>1</v>
      </c>
      <c r="I128">
        <v>10</v>
      </c>
      <c r="J128">
        <v>34.6666666666667</v>
      </c>
      <c r="L128">
        <v>326.72611111111098</v>
      </c>
      <c r="M128">
        <v>6.2185780727777799E-2</v>
      </c>
      <c r="N128">
        <v>326.72611111111098</v>
      </c>
      <c r="O128">
        <v>6.2185780727777799E-2</v>
      </c>
      <c r="P128" s="1" t="s">
        <v>27</v>
      </c>
    </row>
    <row r="129" spans="1:16" x14ac:dyDescent="0.25">
      <c r="A129" t="s">
        <v>189</v>
      </c>
      <c r="B129" t="s">
        <v>35</v>
      </c>
      <c r="C129" t="s">
        <v>36</v>
      </c>
      <c r="D129" t="s">
        <v>185</v>
      </c>
      <c r="E129" t="s">
        <v>20</v>
      </c>
      <c r="F129" t="s">
        <v>21</v>
      </c>
      <c r="G129" t="s">
        <v>190</v>
      </c>
      <c r="H129" t="b">
        <v>1</v>
      </c>
      <c r="I129">
        <v>10</v>
      </c>
      <c r="J129">
        <v>24.3</v>
      </c>
      <c r="K129">
        <v>8</v>
      </c>
      <c r="L129">
        <v>2137.5427500000001</v>
      </c>
      <c r="M129">
        <v>0.4061331225</v>
      </c>
      <c r="N129">
        <v>2137.5427500000001</v>
      </c>
      <c r="O129">
        <v>0.4061331225</v>
      </c>
    </row>
    <row r="130" spans="1:16" x14ac:dyDescent="0.25">
      <c r="A130" t="s">
        <v>191</v>
      </c>
      <c r="B130" t="s">
        <v>35</v>
      </c>
      <c r="C130" t="s">
        <v>36</v>
      </c>
      <c r="D130" t="s">
        <v>185</v>
      </c>
      <c r="E130" t="s">
        <v>20</v>
      </c>
      <c r="F130" t="s">
        <v>21</v>
      </c>
      <c r="G130" t="s">
        <v>44</v>
      </c>
      <c r="H130" t="b">
        <v>1</v>
      </c>
      <c r="I130">
        <v>10</v>
      </c>
      <c r="J130">
        <v>10</v>
      </c>
      <c r="L130">
        <v>31.415972222222202</v>
      </c>
      <c r="M130">
        <v>6.94292986111111E-3</v>
      </c>
      <c r="N130">
        <v>31.415972222222202</v>
      </c>
      <c r="O130">
        <v>6.94292986111111E-3</v>
      </c>
    </row>
    <row r="131" spans="1:16" x14ac:dyDescent="0.25">
      <c r="A131" t="s">
        <v>192</v>
      </c>
      <c r="B131" t="s">
        <v>35</v>
      </c>
      <c r="C131" t="s">
        <v>36</v>
      </c>
      <c r="D131" t="s">
        <v>185</v>
      </c>
      <c r="E131" t="s">
        <v>20</v>
      </c>
      <c r="F131" t="s">
        <v>21</v>
      </c>
      <c r="G131" t="s">
        <v>193</v>
      </c>
      <c r="H131" t="b">
        <v>1</v>
      </c>
      <c r="I131">
        <v>10</v>
      </c>
      <c r="J131">
        <v>46.6666666666667</v>
      </c>
      <c r="L131">
        <v>439.82361111111101</v>
      </c>
      <c r="M131">
        <v>2.2870827777777801E-4</v>
      </c>
      <c r="N131">
        <v>439.82361111111101</v>
      </c>
      <c r="O131">
        <v>2.2870827777777801E-4</v>
      </c>
    </row>
    <row r="132" spans="1:16" x14ac:dyDescent="0.25">
      <c r="A132" t="s">
        <v>194</v>
      </c>
      <c r="B132" t="s">
        <v>35</v>
      </c>
      <c r="C132" t="s">
        <v>36</v>
      </c>
      <c r="D132" t="s">
        <v>185</v>
      </c>
      <c r="E132" t="s">
        <v>20</v>
      </c>
      <c r="F132" t="s">
        <v>21</v>
      </c>
      <c r="G132" t="s">
        <v>115</v>
      </c>
      <c r="H132" t="b">
        <v>1</v>
      </c>
      <c r="I132">
        <v>10</v>
      </c>
      <c r="J132">
        <v>16</v>
      </c>
      <c r="L132">
        <v>50.265555555555601</v>
      </c>
      <c r="M132">
        <v>1.30690444444445E-2</v>
      </c>
      <c r="N132">
        <v>50.265555555555601</v>
      </c>
      <c r="O132">
        <v>1.30690444444445E-2</v>
      </c>
    </row>
    <row r="133" spans="1:16" x14ac:dyDescent="0.25">
      <c r="A133" t="s">
        <v>195</v>
      </c>
      <c r="B133" t="s">
        <v>35</v>
      </c>
      <c r="C133" t="s">
        <v>36</v>
      </c>
      <c r="D133" t="s">
        <v>185</v>
      </c>
      <c r="E133" t="s">
        <v>20</v>
      </c>
      <c r="F133" t="s">
        <v>21</v>
      </c>
      <c r="G133" t="s">
        <v>24</v>
      </c>
      <c r="H133" t="b">
        <v>1</v>
      </c>
      <c r="I133">
        <v>10</v>
      </c>
      <c r="J133">
        <v>22.3333333333333</v>
      </c>
      <c r="L133">
        <v>210.48701388888901</v>
      </c>
      <c r="M133">
        <v>7.78801951388889E-2</v>
      </c>
      <c r="N133">
        <v>210.48701388888901</v>
      </c>
      <c r="O133">
        <v>7.78801951388889E-2</v>
      </c>
    </row>
    <row r="134" spans="1:16" ht="30" x14ac:dyDescent="0.25">
      <c r="A134" t="s">
        <v>196</v>
      </c>
      <c r="B134" t="s">
        <v>35</v>
      </c>
      <c r="C134" t="s">
        <v>49</v>
      </c>
      <c r="D134" t="s">
        <v>185</v>
      </c>
      <c r="E134" t="s">
        <v>20</v>
      </c>
      <c r="F134" t="s">
        <v>37</v>
      </c>
      <c r="G134" t="s">
        <v>26</v>
      </c>
      <c r="H134" t="b">
        <v>1</v>
      </c>
      <c r="I134">
        <v>10</v>
      </c>
      <c r="J134">
        <v>21.1</v>
      </c>
      <c r="L134">
        <v>21.1</v>
      </c>
      <c r="M134">
        <v>1.5149498569620001E-3</v>
      </c>
      <c r="N134">
        <v>21.1</v>
      </c>
      <c r="O134">
        <v>1.5149498569620001E-3</v>
      </c>
      <c r="P134" s="1" t="s">
        <v>27</v>
      </c>
    </row>
    <row r="135" spans="1:16" x14ac:dyDescent="0.25">
      <c r="A135" t="s">
        <v>197</v>
      </c>
      <c r="B135" t="s">
        <v>35</v>
      </c>
      <c r="C135" t="s">
        <v>49</v>
      </c>
      <c r="D135" t="s">
        <v>185</v>
      </c>
      <c r="E135" t="s">
        <v>20</v>
      </c>
      <c r="F135" t="s">
        <v>37</v>
      </c>
      <c r="G135" t="s">
        <v>50</v>
      </c>
      <c r="H135" t="b">
        <v>1</v>
      </c>
      <c r="I135">
        <v>10</v>
      </c>
      <c r="J135">
        <v>162</v>
      </c>
      <c r="L135">
        <v>32.4</v>
      </c>
      <c r="M135">
        <v>8.7625800000000004E-2</v>
      </c>
      <c r="N135">
        <v>32.4</v>
      </c>
      <c r="O135">
        <v>8.7625800000000004E-2</v>
      </c>
    </row>
    <row r="136" spans="1:16" x14ac:dyDescent="0.25">
      <c r="A136" t="s">
        <v>198</v>
      </c>
      <c r="B136" t="s">
        <v>35</v>
      </c>
      <c r="C136" t="s">
        <v>49</v>
      </c>
      <c r="D136" t="s">
        <v>185</v>
      </c>
      <c r="E136" t="s">
        <v>20</v>
      </c>
      <c r="F136" t="s">
        <v>37</v>
      </c>
      <c r="G136" t="s">
        <v>60</v>
      </c>
      <c r="H136" t="b">
        <v>0</v>
      </c>
      <c r="I136">
        <v>10</v>
      </c>
      <c r="J136">
        <v>24</v>
      </c>
      <c r="L136">
        <v>4.8</v>
      </c>
      <c r="M136">
        <v>1.0560000000000001E-4</v>
      </c>
      <c r="N136">
        <v>0</v>
      </c>
      <c r="O136">
        <v>0</v>
      </c>
    </row>
    <row r="137" spans="1:16" x14ac:dyDescent="0.25">
      <c r="A137" t="s">
        <v>199</v>
      </c>
      <c r="B137" t="s">
        <v>35</v>
      </c>
      <c r="C137" t="s">
        <v>49</v>
      </c>
      <c r="D137" t="s">
        <v>185</v>
      </c>
      <c r="E137" t="s">
        <v>20</v>
      </c>
      <c r="F137" t="s">
        <v>37</v>
      </c>
      <c r="G137" t="s">
        <v>139</v>
      </c>
      <c r="H137" t="b">
        <v>1</v>
      </c>
      <c r="I137">
        <v>10</v>
      </c>
      <c r="J137">
        <v>12.6666666666667</v>
      </c>
      <c r="L137">
        <v>7.6</v>
      </c>
      <c r="M137">
        <v>6.0039999999999996E-4</v>
      </c>
      <c r="N137">
        <v>7.6</v>
      </c>
      <c r="O137">
        <v>6.0039999999999996E-4</v>
      </c>
    </row>
    <row r="138" spans="1:16" x14ac:dyDescent="0.25">
      <c r="A138" t="s">
        <v>200</v>
      </c>
      <c r="B138" t="s">
        <v>35</v>
      </c>
      <c r="C138" t="s">
        <v>49</v>
      </c>
      <c r="D138" t="s">
        <v>185</v>
      </c>
      <c r="E138" t="s">
        <v>20</v>
      </c>
      <c r="F138" t="s">
        <v>37</v>
      </c>
      <c r="G138" t="s">
        <v>190</v>
      </c>
      <c r="H138" t="b">
        <v>1</v>
      </c>
      <c r="I138">
        <v>10</v>
      </c>
      <c r="J138">
        <v>13.3333333333333</v>
      </c>
      <c r="L138">
        <v>4</v>
      </c>
      <c r="M138">
        <v>7.6000000000000004E-4</v>
      </c>
      <c r="N138">
        <v>4</v>
      </c>
      <c r="O138">
        <v>7.6000000000000004E-4</v>
      </c>
    </row>
    <row r="139" spans="1:16" x14ac:dyDescent="0.25">
      <c r="A139" t="s">
        <v>201</v>
      </c>
      <c r="B139" t="s">
        <v>35</v>
      </c>
      <c r="C139" t="s">
        <v>49</v>
      </c>
      <c r="D139" t="s">
        <v>185</v>
      </c>
      <c r="E139" t="s">
        <v>20</v>
      </c>
      <c r="F139" t="s">
        <v>37</v>
      </c>
      <c r="G139" t="s">
        <v>44</v>
      </c>
      <c r="H139" t="b">
        <v>1</v>
      </c>
      <c r="I139">
        <v>10</v>
      </c>
      <c r="J139">
        <v>16</v>
      </c>
      <c r="L139">
        <v>1.6</v>
      </c>
      <c r="M139">
        <v>3.5359999999999998E-4</v>
      </c>
      <c r="N139">
        <v>1.6</v>
      </c>
      <c r="O139">
        <v>3.5359999999999998E-4</v>
      </c>
    </row>
    <row r="140" spans="1:16" x14ac:dyDescent="0.25">
      <c r="A140" t="s">
        <v>202</v>
      </c>
      <c r="B140" t="s">
        <v>35</v>
      </c>
      <c r="C140" t="s">
        <v>49</v>
      </c>
      <c r="D140" t="s">
        <v>185</v>
      </c>
      <c r="E140" t="s">
        <v>20</v>
      </c>
      <c r="F140" t="s">
        <v>37</v>
      </c>
      <c r="G140" t="s">
        <v>72</v>
      </c>
      <c r="H140" t="b">
        <v>0</v>
      </c>
      <c r="I140">
        <v>10</v>
      </c>
      <c r="J140">
        <v>44</v>
      </c>
      <c r="L140">
        <v>8.8000000000000007</v>
      </c>
      <c r="M140">
        <v>7.8232000000000006E-5</v>
      </c>
      <c r="N140">
        <v>0</v>
      </c>
      <c r="O140">
        <v>0</v>
      </c>
    </row>
    <row r="141" spans="1:16" x14ac:dyDescent="0.25">
      <c r="A141" t="s">
        <v>203</v>
      </c>
      <c r="B141" t="s">
        <v>64</v>
      </c>
      <c r="C141" t="s">
        <v>65</v>
      </c>
      <c r="D141" t="s">
        <v>185</v>
      </c>
      <c r="E141" t="s">
        <v>20</v>
      </c>
      <c r="F141" t="s">
        <v>37</v>
      </c>
      <c r="G141" t="s">
        <v>190</v>
      </c>
      <c r="H141" t="b">
        <v>1</v>
      </c>
      <c r="I141">
        <v>10</v>
      </c>
      <c r="J141">
        <v>20.75</v>
      </c>
      <c r="K141">
        <v>20</v>
      </c>
      <c r="L141">
        <v>83</v>
      </c>
      <c r="M141">
        <v>1.5769999999999999E-2</v>
      </c>
      <c r="N141">
        <v>83</v>
      </c>
      <c r="O141">
        <v>1.5769999999999999E-2</v>
      </c>
    </row>
    <row r="142" spans="1:16" x14ac:dyDescent="0.25">
      <c r="A142" t="s">
        <v>204</v>
      </c>
      <c r="B142" t="s">
        <v>64</v>
      </c>
      <c r="C142" t="s">
        <v>65</v>
      </c>
      <c r="D142" t="s">
        <v>185</v>
      </c>
      <c r="E142" t="s">
        <v>20</v>
      </c>
      <c r="F142" t="s">
        <v>37</v>
      </c>
      <c r="G142" t="s">
        <v>190</v>
      </c>
      <c r="H142" t="b">
        <v>1</v>
      </c>
      <c r="I142">
        <v>10</v>
      </c>
      <c r="J142">
        <v>20.75</v>
      </c>
      <c r="K142">
        <v>20</v>
      </c>
      <c r="L142">
        <v>83</v>
      </c>
      <c r="M142">
        <v>1.5769999999999999E-2</v>
      </c>
      <c r="N142">
        <v>83</v>
      </c>
      <c r="O142">
        <v>1.5769999999999999E-2</v>
      </c>
    </row>
    <row r="143" spans="1:16" x14ac:dyDescent="0.25">
      <c r="A143" t="s">
        <v>205</v>
      </c>
      <c r="B143" t="s">
        <v>64</v>
      </c>
      <c r="C143" t="s">
        <v>65</v>
      </c>
      <c r="D143" t="s">
        <v>185</v>
      </c>
      <c r="E143" t="s">
        <v>20</v>
      </c>
      <c r="F143" t="s">
        <v>37</v>
      </c>
      <c r="G143" t="s">
        <v>24</v>
      </c>
      <c r="H143" t="b">
        <v>1</v>
      </c>
      <c r="I143">
        <v>10</v>
      </c>
      <c r="J143">
        <v>10.6666666666667</v>
      </c>
      <c r="L143">
        <v>3.2</v>
      </c>
      <c r="M143">
        <v>1.1839999999999999E-3</v>
      </c>
      <c r="N143">
        <v>3.2</v>
      </c>
      <c r="O143">
        <v>1.1839999999999999E-3</v>
      </c>
    </row>
    <row r="144" spans="1:16" x14ac:dyDescent="0.25">
      <c r="A144" t="s">
        <v>206</v>
      </c>
      <c r="B144" t="s">
        <v>64</v>
      </c>
      <c r="C144" t="s">
        <v>65</v>
      </c>
      <c r="D144" t="s">
        <v>185</v>
      </c>
      <c r="E144" t="s">
        <v>20</v>
      </c>
      <c r="F144" t="s">
        <v>37</v>
      </c>
      <c r="G144" t="s">
        <v>139</v>
      </c>
      <c r="H144" t="b">
        <v>1</v>
      </c>
      <c r="I144">
        <v>10</v>
      </c>
      <c r="J144">
        <v>15</v>
      </c>
      <c r="L144">
        <v>3</v>
      </c>
      <c r="M144">
        <v>2.3699999999999999E-4</v>
      </c>
      <c r="N144">
        <v>3</v>
      </c>
      <c r="O144">
        <v>2.3699999999999999E-4</v>
      </c>
    </row>
    <row r="145" spans="1:15" x14ac:dyDescent="0.25">
      <c r="A145" t="s">
        <v>207</v>
      </c>
      <c r="B145" t="s">
        <v>64</v>
      </c>
      <c r="C145" t="s">
        <v>69</v>
      </c>
      <c r="D145" t="s">
        <v>185</v>
      </c>
      <c r="E145" t="s">
        <v>20</v>
      </c>
      <c r="F145" t="s">
        <v>21</v>
      </c>
      <c r="G145" t="s">
        <v>24</v>
      </c>
      <c r="H145" t="b">
        <v>1</v>
      </c>
      <c r="I145">
        <v>10</v>
      </c>
      <c r="J145">
        <v>14.4285714285714</v>
      </c>
      <c r="L145">
        <v>634.60263888888903</v>
      </c>
      <c r="M145">
        <v>0.234802976388889</v>
      </c>
      <c r="N145">
        <v>634.60263888888903</v>
      </c>
      <c r="O145">
        <v>0.234802976388889</v>
      </c>
    </row>
    <row r="146" spans="1:15" x14ac:dyDescent="0.25">
      <c r="A146" t="s">
        <v>208</v>
      </c>
      <c r="B146" t="s">
        <v>64</v>
      </c>
      <c r="C146" t="s">
        <v>69</v>
      </c>
      <c r="D146" t="s">
        <v>185</v>
      </c>
      <c r="E146" t="s">
        <v>20</v>
      </c>
      <c r="F146" t="s">
        <v>21</v>
      </c>
      <c r="G146" t="s">
        <v>22</v>
      </c>
      <c r="H146" t="b">
        <v>1</v>
      </c>
      <c r="I146">
        <v>10</v>
      </c>
      <c r="J146">
        <v>12.6666666666667</v>
      </c>
      <c r="L146">
        <v>238.761388888889</v>
      </c>
      <c r="M146">
        <v>0.13744060590000001</v>
      </c>
      <c r="N146">
        <v>238.761388888889</v>
      </c>
      <c r="O146">
        <v>0.13744060590000001</v>
      </c>
    </row>
    <row r="147" spans="1:15" x14ac:dyDescent="0.25">
      <c r="A147" t="s">
        <v>209</v>
      </c>
      <c r="B147" t="s">
        <v>64</v>
      </c>
      <c r="C147" t="s">
        <v>69</v>
      </c>
      <c r="D147" t="s">
        <v>185</v>
      </c>
      <c r="E147" t="s">
        <v>20</v>
      </c>
      <c r="F147" t="s">
        <v>21</v>
      </c>
      <c r="G147" t="s">
        <v>139</v>
      </c>
      <c r="H147" t="b">
        <v>1</v>
      </c>
      <c r="I147">
        <v>10</v>
      </c>
      <c r="J147">
        <v>8</v>
      </c>
      <c r="L147">
        <v>25.1327777777778</v>
      </c>
      <c r="M147">
        <v>1.98548944444445E-3</v>
      </c>
      <c r="N147">
        <v>25.1327777777778</v>
      </c>
      <c r="O147">
        <v>1.98548944444445E-3</v>
      </c>
    </row>
    <row r="148" spans="1:15" x14ac:dyDescent="0.25">
      <c r="A148" t="s">
        <v>210</v>
      </c>
      <c r="B148" t="s">
        <v>64</v>
      </c>
      <c r="C148" t="s">
        <v>75</v>
      </c>
      <c r="D148" t="s">
        <v>185</v>
      </c>
      <c r="E148" t="s">
        <v>20</v>
      </c>
      <c r="F148" t="s">
        <v>21</v>
      </c>
      <c r="G148" t="s">
        <v>60</v>
      </c>
      <c r="H148" t="b">
        <v>0</v>
      </c>
      <c r="I148">
        <v>10</v>
      </c>
      <c r="J148">
        <v>32</v>
      </c>
      <c r="L148">
        <v>100.531111111111</v>
      </c>
      <c r="M148">
        <v>2.2116844444444398E-3</v>
      </c>
      <c r="N148">
        <v>0</v>
      </c>
      <c r="O148">
        <v>0</v>
      </c>
    </row>
    <row r="149" spans="1:15" x14ac:dyDescent="0.25">
      <c r="A149" t="s">
        <v>211</v>
      </c>
      <c r="B149" t="s">
        <v>64</v>
      </c>
      <c r="C149" t="s">
        <v>75</v>
      </c>
      <c r="D149" t="s">
        <v>185</v>
      </c>
      <c r="E149" t="s">
        <v>20</v>
      </c>
      <c r="F149" t="s">
        <v>21</v>
      </c>
      <c r="G149" t="s">
        <v>22</v>
      </c>
      <c r="H149" t="b">
        <v>1</v>
      </c>
      <c r="I149">
        <v>10</v>
      </c>
      <c r="J149">
        <v>19.923076923076898</v>
      </c>
      <c r="L149">
        <v>813.67368055555596</v>
      </c>
      <c r="M149">
        <v>0.468383117475</v>
      </c>
      <c r="N149">
        <v>813.67368055555596</v>
      </c>
      <c r="O149">
        <v>0.468383117475</v>
      </c>
    </row>
    <row r="150" spans="1:15" x14ac:dyDescent="0.25">
      <c r="A150" t="s">
        <v>212</v>
      </c>
      <c r="B150" t="s">
        <v>64</v>
      </c>
      <c r="C150" t="s">
        <v>75</v>
      </c>
      <c r="D150" t="s">
        <v>185</v>
      </c>
      <c r="E150" t="s">
        <v>20</v>
      </c>
      <c r="F150" t="s">
        <v>21</v>
      </c>
      <c r="G150" t="s">
        <v>24</v>
      </c>
      <c r="H150" t="b">
        <v>1</v>
      </c>
      <c r="I150">
        <v>10</v>
      </c>
      <c r="J150">
        <v>35</v>
      </c>
      <c r="L150">
        <v>219.91180555555599</v>
      </c>
      <c r="M150">
        <v>8.1367368055555694E-2</v>
      </c>
      <c r="N150">
        <v>219.91180555555599</v>
      </c>
      <c r="O150">
        <v>8.1367368055555694E-2</v>
      </c>
    </row>
    <row r="151" spans="1:15" x14ac:dyDescent="0.25">
      <c r="A151" t="s">
        <v>213</v>
      </c>
      <c r="B151" t="s">
        <v>64</v>
      </c>
      <c r="C151" t="s">
        <v>80</v>
      </c>
      <c r="D151" t="s">
        <v>185</v>
      </c>
      <c r="E151" t="s">
        <v>20</v>
      </c>
      <c r="F151" t="s">
        <v>37</v>
      </c>
      <c r="G151" t="s">
        <v>190</v>
      </c>
      <c r="H151" t="b">
        <v>1</v>
      </c>
      <c r="I151">
        <v>10</v>
      </c>
      <c r="J151">
        <v>17.7</v>
      </c>
      <c r="K151">
        <v>4</v>
      </c>
      <c r="L151">
        <v>42.48</v>
      </c>
      <c r="M151">
        <v>8.0712000000000006E-3</v>
      </c>
      <c r="N151">
        <v>42.48</v>
      </c>
      <c r="O151">
        <v>8.0712000000000006E-3</v>
      </c>
    </row>
    <row r="152" spans="1:15" x14ac:dyDescent="0.25">
      <c r="A152" t="s">
        <v>214</v>
      </c>
      <c r="B152" t="s">
        <v>64</v>
      </c>
      <c r="C152" t="s">
        <v>80</v>
      </c>
      <c r="D152" t="s">
        <v>185</v>
      </c>
      <c r="E152" t="s">
        <v>20</v>
      </c>
      <c r="F152" t="s">
        <v>37</v>
      </c>
      <c r="G152" t="s">
        <v>24</v>
      </c>
      <c r="H152" t="b">
        <v>1</v>
      </c>
      <c r="I152">
        <v>10</v>
      </c>
      <c r="J152">
        <v>9</v>
      </c>
      <c r="L152">
        <v>2.7</v>
      </c>
      <c r="M152">
        <v>9.990000000000001E-4</v>
      </c>
      <c r="N152">
        <v>2.7</v>
      </c>
      <c r="O152">
        <v>9.990000000000001E-4</v>
      </c>
    </row>
    <row r="153" spans="1:15" x14ac:dyDescent="0.25">
      <c r="A153" t="s">
        <v>215</v>
      </c>
      <c r="B153" t="s">
        <v>64</v>
      </c>
      <c r="C153" t="s">
        <v>86</v>
      </c>
      <c r="D153" t="s">
        <v>185</v>
      </c>
      <c r="E153" t="s">
        <v>20</v>
      </c>
      <c r="F153" t="s">
        <v>37</v>
      </c>
      <c r="G153" t="s">
        <v>24</v>
      </c>
      <c r="H153" t="b">
        <v>1</v>
      </c>
      <c r="I153">
        <v>10</v>
      </c>
      <c r="J153">
        <v>23.25</v>
      </c>
      <c r="K153">
        <v>34</v>
      </c>
      <c r="L153">
        <v>125.55</v>
      </c>
      <c r="M153">
        <v>4.6453500000000002E-2</v>
      </c>
      <c r="N153">
        <v>125.55</v>
      </c>
      <c r="O153">
        <v>4.6453500000000002E-2</v>
      </c>
    </row>
    <row r="154" spans="1:15" x14ac:dyDescent="0.25">
      <c r="A154" t="s">
        <v>216</v>
      </c>
      <c r="B154" t="s">
        <v>64</v>
      </c>
      <c r="C154" t="s">
        <v>86</v>
      </c>
      <c r="D154" t="s">
        <v>185</v>
      </c>
      <c r="E154" t="s">
        <v>20</v>
      </c>
      <c r="F154" t="s">
        <v>37</v>
      </c>
      <c r="G154" t="s">
        <v>115</v>
      </c>
      <c r="H154" t="b">
        <v>1</v>
      </c>
      <c r="I154">
        <v>10</v>
      </c>
      <c r="J154">
        <v>12</v>
      </c>
      <c r="L154">
        <v>1.2</v>
      </c>
      <c r="M154">
        <v>3.1199999999999999E-4</v>
      </c>
      <c r="N154">
        <v>1.2</v>
      </c>
      <c r="O154">
        <v>3.1199999999999999E-4</v>
      </c>
    </row>
    <row r="155" spans="1:15" x14ac:dyDescent="0.25">
      <c r="A155" t="s">
        <v>217</v>
      </c>
      <c r="B155" t="s">
        <v>64</v>
      </c>
      <c r="C155" t="s">
        <v>86</v>
      </c>
      <c r="D155" t="s">
        <v>185</v>
      </c>
      <c r="E155" t="s">
        <v>20</v>
      </c>
      <c r="F155" t="s">
        <v>37</v>
      </c>
      <c r="G155" t="s">
        <v>190</v>
      </c>
      <c r="H155" t="b">
        <v>1</v>
      </c>
      <c r="I155">
        <v>10</v>
      </c>
      <c r="J155">
        <v>20.2</v>
      </c>
      <c r="K155">
        <v>29</v>
      </c>
      <c r="L155">
        <v>98.98</v>
      </c>
      <c r="M155">
        <v>1.8806199999999999E-2</v>
      </c>
      <c r="N155">
        <v>98.98</v>
      </c>
      <c r="O155">
        <v>1.8806199999999999E-2</v>
      </c>
    </row>
    <row r="156" spans="1:15" x14ac:dyDescent="0.25">
      <c r="A156" t="s">
        <v>218</v>
      </c>
      <c r="B156" t="s">
        <v>91</v>
      </c>
      <c r="C156" t="s">
        <v>92</v>
      </c>
      <c r="D156" t="s">
        <v>185</v>
      </c>
      <c r="E156" t="s">
        <v>20</v>
      </c>
      <c r="F156" t="s">
        <v>21</v>
      </c>
      <c r="G156" t="s">
        <v>139</v>
      </c>
      <c r="H156" t="b">
        <v>1</v>
      </c>
      <c r="I156">
        <v>10</v>
      </c>
      <c r="J156">
        <v>15.2</v>
      </c>
      <c r="L156">
        <v>238.761388888889</v>
      </c>
      <c r="M156">
        <v>1.88621497222222E-2</v>
      </c>
      <c r="N156">
        <v>238.761388888889</v>
      </c>
      <c r="O156">
        <v>1.88621497222222E-2</v>
      </c>
    </row>
    <row r="157" spans="1:15" x14ac:dyDescent="0.25">
      <c r="A157" t="s">
        <v>219</v>
      </c>
      <c r="B157" t="s">
        <v>91</v>
      </c>
      <c r="C157" t="s">
        <v>92</v>
      </c>
      <c r="D157" t="s">
        <v>185</v>
      </c>
      <c r="E157" t="s">
        <v>20</v>
      </c>
      <c r="F157" t="s">
        <v>21</v>
      </c>
      <c r="G157" t="s">
        <v>22</v>
      </c>
      <c r="H157" t="b">
        <v>1</v>
      </c>
      <c r="I157">
        <v>10</v>
      </c>
      <c r="J157">
        <v>23</v>
      </c>
      <c r="L157">
        <v>1011.59430555556</v>
      </c>
      <c r="M157">
        <v>0.58231414605000298</v>
      </c>
      <c r="N157">
        <v>1011.59430555556</v>
      </c>
      <c r="O157">
        <v>0.58231414605000298</v>
      </c>
    </row>
    <row r="158" spans="1:15" x14ac:dyDescent="0.25">
      <c r="A158" t="s">
        <v>220</v>
      </c>
      <c r="B158" t="s">
        <v>91</v>
      </c>
      <c r="C158" t="s">
        <v>92</v>
      </c>
      <c r="D158" t="s">
        <v>185</v>
      </c>
      <c r="E158" t="s">
        <v>20</v>
      </c>
      <c r="F158" t="s">
        <v>21</v>
      </c>
      <c r="G158" t="s">
        <v>24</v>
      </c>
      <c r="H158" t="b">
        <v>1</v>
      </c>
      <c r="I158">
        <v>10</v>
      </c>
      <c r="J158">
        <v>26.6666666666667</v>
      </c>
      <c r="L158">
        <v>251.32777777777801</v>
      </c>
      <c r="M158">
        <v>9.2991277777777895E-2</v>
      </c>
      <c r="N158">
        <v>251.32777777777801</v>
      </c>
      <c r="O158">
        <v>9.2991277777777895E-2</v>
      </c>
    </row>
    <row r="159" spans="1:15" x14ac:dyDescent="0.25">
      <c r="A159" t="s">
        <v>221</v>
      </c>
      <c r="B159" t="s">
        <v>91</v>
      </c>
      <c r="C159" t="s">
        <v>98</v>
      </c>
      <c r="D159" t="s">
        <v>185</v>
      </c>
      <c r="E159" t="s">
        <v>20</v>
      </c>
      <c r="F159" t="s">
        <v>21</v>
      </c>
      <c r="G159" t="s">
        <v>139</v>
      </c>
      <c r="H159" t="b">
        <v>1</v>
      </c>
      <c r="I159">
        <v>10</v>
      </c>
      <c r="J159">
        <v>14</v>
      </c>
      <c r="L159">
        <v>351.858888888889</v>
      </c>
      <c r="M159">
        <v>2.7796852222222199E-2</v>
      </c>
      <c r="N159">
        <v>351.858888888889</v>
      </c>
      <c r="O159">
        <v>2.7796852222222199E-2</v>
      </c>
    </row>
    <row r="160" spans="1:15" x14ac:dyDescent="0.25">
      <c r="A160" t="s">
        <v>222</v>
      </c>
      <c r="B160" t="s">
        <v>91</v>
      </c>
      <c r="C160" t="s">
        <v>98</v>
      </c>
      <c r="D160" t="s">
        <v>185</v>
      </c>
      <c r="E160" t="s">
        <v>20</v>
      </c>
      <c r="F160" t="s">
        <v>21</v>
      </c>
      <c r="G160" t="s">
        <v>22</v>
      </c>
      <c r="H160" t="b">
        <v>1</v>
      </c>
      <c r="I160">
        <v>10</v>
      </c>
      <c r="J160">
        <v>32.266666666666701</v>
      </c>
      <c r="L160">
        <v>1520.5330555555599</v>
      </c>
      <c r="M160">
        <v>0.87527964810000303</v>
      </c>
      <c r="N160">
        <v>1520.5330555555599</v>
      </c>
      <c r="O160">
        <v>0.87527964810000303</v>
      </c>
    </row>
    <row r="161" spans="1:16" x14ac:dyDescent="0.25">
      <c r="A161" t="s">
        <v>223</v>
      </c>
      <c r="B161" t="s">
        <v>91</v>
      </c>
      <c r="C161" t="s">
        <v>103</v>
      </c>
      <c r="D161" t="s">
        <v>185</v>
      </c>
      <c r="E161" t="s">
        <v>20</v>
      </c>
      <c r="F161" t="s">
        <v>21</v>
      </c>
      <c r="G161" t="s">
        <v>22</v>
      </c>
      <c r="H161" t="b">
        <v>1</v>
      </c>
      <c r="I161">
        <v>10</v>
      </c>
      <c r="J161">
        <v>35.714285714285701</v>
      </c>
      <c r="L161">
        <v>1570.7986111111099</v>
      </c>
      <c r="M161">
        <v>0.90421451249999896</v>
      </c>
      <c r="N161">
        <v>1570.7986111111099</v>
      </c>
      <c r="O161">
        <v>0.90421451249999896</v>
      </c>
    </row>
    <row r="162" spans="1:16" x14ac:dyDescent="0.25">
      <c r="A162" t="s">
        <v>224</v>
      </c>
      <c r="B162" t="s">
        <v>91</v>
      </c>
      <c r="C162" t="s">
        <v>103</v>
      </c>
      <c r="D162" t="s">
        <v>185</v>
      </c>
      <c r="E162" t="s">
        <v>20</v>
      </c>
      <c r="F162" t="s">
        <v>21</v>
      </c>
      <c r="G162" t="s">
        <v>24</v>
      </c>
      <c r="H162" t="b">
        <v>1</v>
      </c>
      <c r="I162">
        <v>10</v>
      </c>
      <c r="J162">
        <v>30.052631578947398</v>
      </c>
      <c r="L162">
        <v>1793.85201388889</v>
      </c>
      <c r="M162">
        <v>0.66372524513888898</v>
      </c>
      <c r="N162">
        <v>1793.85201388889</v>
      </c>
      <c r="O162">
        <v>0.66372524513888898</v>
      </c>
    </row>
    <row r="163" spans="1:16" ht="30" x14ac:dyDescent="0.25">
      <c r="A163" t="s">
        <v>225</v>
      </c>
      <c r="B163" t="s">
        <v>91</v>
      </c>
      <c r="C163" t="s">
        <v>103</v>
      </c>
      <c r="D163" t="s">
        <v>185</v>
      </c>
      <c r="E163" t="s">
        <v>20</v>
      </c>
      <c r="F163" t="s">
        <v>21</v>
      </c>
      <c r="G163" t="s">
        <v>62</v>
      </c>
      <c r="H163" t="b">
        <v>1</v>
      </c>
      <c r="I163">
        <v>10</v>
      </c>
      <c r="J163">
        <v>18</v>
      </c>
      <c r="L163">
        <v>56.548749999999998</v>
      </c>
      <c r="M163">
        <v>1.0762923587500001E-2</v>
      </c>
      <c r="N163">
        <v>56.548749999999998</v>
      </c>
      <c r="O163">
        <v>1.0762923587500001E-2</v>
      </c>
      <c r="P163" s="1" t="s">
        <v>27</v>
      </c>
    </row>
    <row r="164" spans="1:16" x14ac:dyDescent="0.25">
      <c r="A164" t="s">
        <v>226</v>
      </c>
      <c r="B164" t="s">
        <v>91</v>
      </c>
      <c r="C164" t="s">
        <v>106</v>
      </c>
      <c r="D164" t="s">
        <v>185</v>
      </c>
      <c r="E164" t="s">
        <v>20</v>
      </c>
      <c r="F164" t="s">
        <v>21</v>
      </c>
      <c r="G164" t="s">
        <v>22</v>
      </c>
      <c r="H164" t="b">
        <v>1</v>
      </c>
      <c r="I164">
        <v>10</v>
      </c>
      <c r="J164">
        <v>25.428571428571399</v>
      </c>
      <c r="L164">
        <v>1118.4086111111101</v>
      </c>
      <c r="M164">
        <v>0.64380073289999895</v>
      </c>
      <c r="N164">
        <v>1118.4086111111101</v>
      </c>
      <c r="O164">
        <v>0.64380073289999895</v>
      </c>
    </row>
    <row r="165" spans="1:16" x14ac:dyDescent="0.25">
      <c r="A165" t="s">
        <v>227</v>
      </c>
      <c r="B165" t="s">
        <v>91</v>
      </c>
      <c r="C165" t="s">
        <v>106</v>
      </c>
      <c r="D165" t="s">
        <v>185</v>
      </c>
      <c r="E165" t="s">
        <v>20</v>
      </c>
      <c r="F165" t="s">
        <v>21</v>
      </c>
      <c r="G165" t="s">
        <v>24</v>
      </c>
      <c r="H165" t="b">
        <v>1</v>
      </c>
      <c r="I165">
        <v>10</v>
      </c>
      <c r="J165">
        <v>15.3333333333333</v>
      </c>
      <c r="L165">
        <v>144.51347222222199</v>
      </c>
      <c r="M165">
        <v>5.34699847222221E-2</v>
      </c>
      <c r="N165">
        <v>144.51347222222199</v>
      </c>
      <c r="O165">
        <v>5.34699847222221E-2</v>
      </c>
    </row>
    <row r="166" spans="1:16" x14ac:dyDescent="0.25">
      <c r="A166" t="s">
        <v>228</v>
      </c>
      <c r="B166" t="s">
        <v>109</v>
      </c>
      <c r="C166" t="s">
        <v>110</v>
      </c>
      <c r="D166" t="s">
        <v>185</v>
      </c>
      <c r="E166" t="s">
        <v>20</v>
      </c>
      <c r="F166" t="s">
        <v>21</v>
      </c>
      <c r="G166" t="s">
        <v>115</v>
      </c>
      <c r="H166" t="b">
        <v>1</v>
      </c>
      <c r="I166">
        <v>10</v>
      </c>
      <c r="J166">
        <v>29.6666666666667</v>
      </c>
      <c r="L166">
        <v>559.20430555555504</v>
      </c>
      <c r="M166">
        <v>0.145393119444445</v>
      </c>
      <c r="N166">
        <v>559.20430555555595</v>
      </c>
      <c r="O166">
        <v>0.145393119444445</v>
      </c>
    </row>
    <row r="167" spans="1:16" x14ac:dyDescent="0.25">
      <c r="A167" t="s">
        <v>229</v>
      </c>
      <c r="B167" t="s">
        <v>109</v>
      </c>
      <c r="C167" t="s">
        <v>110</v>
      </c>
      <c r="D167" t="s">
        <v>185</v>
      </c>
      <c r="E167" t="s">
        <v>20</v>
      </c>
      <c r="F167" t="s">
        <v>21</v>
      </c>
      <c r="G167" t="s">
        <v>22</v>
      </c>
      <c r="H167" t="b">
        <v>1</v>
      </c>
      <c r="I167">
        <v>10</v>
      </c>
      <c r="J167">
        <v>22.75</v>
      </c>
      <c r="K167">
        <v>75</v>
      </c>
      <c r="L167">
        <v>6789.7769965277803</v>
      </c>
      <c r="M167">
        <v>3.90846723028125</v>
      </c>
      <c r="N167">
        <v>6789.7769965277803</v>
      </c>
      <c r="O167">
        <v>3.90846723028125</v>
      </c>
    </row>
    <row r="168" spans="1:16" x14ac:dyDescent="0.25">
      <c r="A168" t="s">
        <v>230</v>
      </c>
      <c r="B168" t="s">
        <v>109</v>
      </c>
      <c r="C168" t="s">
        <v>110</v>
      </c>
      <c r="D168" t="s">
        <v>185</v>
      </c>
      <c r="E168" t="s">
        <v>20</v>
      </c>
      <c r="F168" t="s">
        <v>21</v>
      </c>
      <c r="G168" t="s">
        <v>24</v>
      </c>
      <c r="H168" t="b">
        <v>1</v>
      </c>
      <c r="I168">
        <v>10</v>
      </c>
      <c r="J168">
        <v>14.5</v>
      </c>
      <c r="L168">
        <v>182.21263888888899</v>
      </c>
      <c r="M168">
        <v>6.7418676388888904E-2</v>
      </c>
      <c r="N168">
        <v>182.21263888888899</v>
      </c>
      <c r="O168">
        <v>6.7418676388888904E-2</v>
      </c>
    </row>
    <row r="169" spans="1:16" x14ac:dyDescent="0.25">
      <c r="A169" t="s">
        <v>231</v>
      </c>
      <c r="B169" t="s">
        <v>17</v>
      </c>
      <c r="C169" t="s">
        <v>18</v>
      </c>
      <c r="D169" t="s">
        <v>232</v>
      </c>
      <c r="E169" t="s">
        <v>20</v>
      </c>
      <c r="F169" t="s">
        <v>21</v>
      </c>
      <c r="G169" t="s">
        <v>22</v>
      </c>
      <c r="H169" t="b">
        <v>1</v>
      </c>
      <c r="I169">
        <v>10</v>
      </c>
      <c r="J169">
        <v>28.647058823529399</v>
      </c>
      <c r="L169">
        <v>1529.9578472222199</v>
      </c>
      <c r="M169">
        <v>0.88070493517499904</v>
      </c>
      <c r="N169">
        <v>1529.9578472222199</v>
      </c>
      <c r="O169">
        <v>0.88070493517499904</v>
      </c>
    </row>
    <row r="170" spans="1:16" ht="30" x14ac:dyDescent="0.25">
      <c r="A170" t="s">
        <v>233</v>
      </c>
      <c r="B170" t="s">
        <v>17</v>
      </c>
      <c r="C170" t="s">
        <v>18</v>
      </c>
      <c r="D170" t="s">
        <v>232</v>
      </c>
      <c r="E170" t="s">
        <v>20</v>
      </c>
      <c r="F170" t="s">
        <v>21</v>
      </c>
      <c r="G170" s="1" t="s">
        <v>31</v>
      </c>
      <c r="H170" t="b">
        <v>0</v>
      </c>
      <c r="I170">
        <v>10</v>
      </c>
      <c r="J170">
        <v>15</v>
      </c>
      <c r="L170">
        <v>94.247916666666697</v>
      </c>
      <c r="M170">
        <v>4.24115625E-2</v>
      </c>
      <c r="N170">
        <v>0</v>
      </c>
      <c r="O170">
        <v>0</v>
      </c>
    </row>
    <row r="171" spans="1:16" x14ac:dyDescent="0.25">
      <c r="A171" t="s">
        <v>234</v>
      </c>
      <c r="B171" t="s">
        <v>17</v>
      </c>
      <c r="C171" t="s">
        <v>18</v>
      </c>
      <c r="D171" t="s">
        <v>232</v>
      </c>
      <c r="E171" t="s">
        <v>20</v>
      </c>
      <c r="F171" t="s">
        <v>21</v>
      </c>
      <c r="G171" t="s">
        <v>24</v>
      </c>
      <c r="H171" t="b">
        <v>1</v>
      </c>
      <c r="I171">
        <v>10</v>
      </c>
      <c r="J171">
        <v>17</v>
      </c>
      <c r="L171">
        <v>106.814305555556</v>
      </c>
      <c r="M171">
        <v>3.9521293055555698E-2</v>
      </c>
      <c r="N171">
        <v>106.814305555556</v>
      </c>
      <c r="O171">
        <v>3.9521293055555698E-2</v>
      </c>
    </row>
    <row r="172" spans="1:16" ht="30" x14ac:dyDescent="0.25">
      <c r="A172" t="s">
        <v>235</v>
      </c>
      <c r="B172" t="s">
        <v>17</v>
      </c>
      <c r="C172" t="s">
        <v>18</v>
      </c>
      <c r="D172" t="s">
        <v>232</v>
      </c>
      <c r="E172" t="s">
        <v>20</v>
      </c>
      <c r="F172" t="s">
        <v>21</v>
      </c>
      <c r="G172" t="s">
        <v>26</v>
      </c>
      <c r="H172" t="b">
        <v>1</v>
      </c>
      <c r="I172">
        <v>10</v>
      </c>
      <c r="J172">
        <v>22</v>
      </c>
      <c r="L172">
        <v>69.115138888888893</v>
      </c>
      <c r="M172">
        <v>4.9623682357171099E-3</v>
      </c>
      <c r="N172">
        <v>69.115138888888893</v>
      </c>
      <c r="O172">
        <v>4.9623682357171099E-3</v>
      </c>
      <c r="P172" s="1" t="s">
        <v>27</v>
      </c>
    </row>
    <row r="173" spans="1:16" ht="30" x14ac:dyDescent="0.25">
      <c r="A173" t="s">
        <v>236</v>
      </c>
      <c r="B173" t="s">
        <v>35</v>
      </c>
      <c r="C173" t="s">
        <v>36</v>
      </c>
      <c r="D173" t="s">
        <v>232</v>
      </c>
      <c r="E173" t="s">
        <v>20</v>
      </c>
      <c r="F173" t="s">
        <v>37</v>
      </c>
      <c r="G173" t="s">
        <v>26</v>
      </c>
      <c r="H173" t="b">
        <v>1</v>
      </c>
      <c r="I173">
        <v>10</v>
      </c>
      <c r="J173">
        <v>22</v>
      </c>
      <c r="L173">
        <v>11</v>
      </c>
      <c r="M173">
        <v>7.8978428561999995E-4</v>
      </c>
      <c r="N173">
        <v>11</v>
      </c>
      <c r="O173">
        <v>7.8978428561999995E-4</v>
      </c>
      <c r="P173" s="1" t="s">
        <v>27</v>
      </c>
    </row>
    <row r="174" spans="1:16" x14ac:dyDescent="0.25">
      <c r="A174" t="s">
        <v>237</v>
      </c>
      <c r="B174" t="s">
        <v>35</v>
      </c>
      <c r="C174" t="s">
        <v>36</v>
      </c>
      <c r="D174" t="s">
        <v>232</v>
      </c>
      <c r="E174" t="s">
        <v>20</v>
      </c>
      <c r="F174" t="s">
        <v>37</v>
      </c>
      <c r="G174" t="s">
        <v>44</v>
      </c>
      <c r="H174" t="b">
        <v>1</v>
      </c>
      <c r="I174">
        <v>10</v>
      </c>
      <c r="J174">
        <v>14.7272727272727</v>
      </c>
      <c r="L174">
        <v>16.2</v>
      </c>
      <c r="M174">
        <v>3.5802E-3</v>
      </c>
      <c r="N174">
        <v>16.2</v>
      </c>
      <c r="O174">
        <v>3.5802E-3</v>
      </c>
    </row>
    <row r="175" spans="1:16" x14ac:dyDescent="0.25">
      <c r="A175" t="s">
        <v>238</v>
      </c>
      <c r="B175" t="s">
        <v>35</v>
      </c>
      <c r="C175" t="s">
        <v>36</v>
      </c>
      <c r="D175" t="s">
        <v>232</v>
      </c>
      <c r="E175" t="s">
        <v>20</v>
      </c>
      <c r="F175" t="s">
        <v>37</v>
      </c>
      <c r="G175" t="s">
        <v>139</v>
      </c>
      <c r="H175" t="b">
        <v>1</v>
      </c>
      <c r="I175">
        <v>10</v>
      </c>
      <c r="J175">
        <v>13</v>
      </c>
      <c r="L175">
        <v>5.2</v>
      </c>
      <c r="M175">
        <v>4.1080000000000001E-4</v>
      </c>
      <c r="N175">
        <v>5.2</v>
      </c>
      <c r="O175">
        <v>4.1080000000000001E-4</v>
      </c>
    </row>
    <row r="176" spans="1:16" x14ac:dyDescent="0.25">
      <c r="A176" t="s">
        <v>239</v>
      </c>
      <c r="B176" t="s">
        <v>35</v>
      </c>
      <c r="C176" t="s">
        <v>36</v>
      </c>
      <c r="D176" t="s">
        <v>232</v>
      </c>
      <c r="E176" t="s">
        <v>20</v>
      </c>
      <c r="F176" t="s">
        <v>37</v>
      </c>
      <c r="G176" t="s">
        <v>39</v>
      </c>
      <c r="H176" t="b">
        <v>1</v>
      </c>
      <c r="I176">
        <v>10</v>
      </c>
      <c r="J176">
        <v>24.5</v>
      </c>
      <c r="L176">
        <v>9.8000000000000007</v>
      </c>
      <c r="M176">
        <v>1.078E-3</v>
      </c>
      <c r="N176">
        <v>9.8000000000000007</v>
      </c>
      <c r="O176">
        <v>1.078E-3</v>
      </c>
    </row>
    <row r="177" spans="1:16" ht="30" x14ac:dyDescent="0.25">
      <c r="A177" t="s">
        <v>240</v>
      </c>
      <c r="B177" t="s">
        <v>35</v>
      </c>
      <c r="C177" t="s">
        <v>36</v>
      </c>
      <c r="D177" t="s">
        <v>232</v>
      </c>
      <c r="E177" t="s">
        <v>20</v>
      </c>
      <c r="F177" t="s">
        <v>37</v>
      </c>
      <c r="G177" t="s">
        <v>132</v>
      </c>
      <c r="H177" t="b">
        <v>1</v>
      </c>
      <c r="I177">
        <v>10</v>
      </c>
      <c r="J177">
        <v>108</v>
      </c>
      <c r="L177">
        <v>21.6</v>
      </c>
      <c r="M177">
        <v>4.752E-4</v>
      </c>
      <c r="N177">
        <v>21.6</v>
      </c>
      <c r="O177">
        <v>4.752E-4</v>
      </c>
      <c r="P177" s="1" t="s">
        <v>27</v>
      </c>
    </row>
    <row r="178" spans="1:16" x14ac:dyDescent="0.25">
      <c r="A178" t="s">
        <v>241</v>
      </c>
      <c r="B178" t="s">
        <v>35</v>
      </c>
      <c r="C178" t="s">
        <v>36</v>
      </c>
      <c r="D178" t="s">
        <v>232</v>
      </c>
      <c r="E178" t="s">
        <v>20</v>
      </c>
      <c r="F178" t="s">
        <v>37</v>
      </c>
      <c r="G178" t="s">
        <v>242</v>
      </c>
      <c r="H178" t="b">
        <v>0</v>
      </c>
      <c r="I178">
        <v>10</v>
      </c>
      <c r="J178">
        <v>120</v>
      </c>
      <c r="L178">
        <v>12</v>
      </c>
      <c r="M178">
        <v>6.0000000000000002E-6</v>
      </c>
      <c r="N178">
        <v>0</v>
      </c>
      <c r="O178">
        <v>0</v>
      </c>
    </row>
    <row r="179" spans="1:16" ht="30" x14ac:dyDescent="0.25">
      <c r="A179" t="s">
        <v>243</v>
      </c>
      <c r="B179" t="s">
        <v>35</v>
      </c>
      <c r="C179" t="s">
        <v>49</v>
      </c>
      <c r="D179" t="s">
        <v>232</v>
      </c>
      <c r="E179" t="s">
        <v>20</v>
      </c>
      <c r="F179" t="s">
        <v>37</v>
      </c>
      <c r="G179" t="s">
        <v>26</v>
      </c>
      <c r="H179" t="b">
        <v>1</v>
      </c>
      <c r="I179">
        <v>10</v>
      </c>
      <c r="J179">
        <v>18.399999999999999</v>
      </c>
      <c r="L179">
        <v>18.399999999999999</v>
      </c>
      <c r="M179">
        <v>1.321093714128E-3</v>
      </c>
      <c r="N179">
        <v>18.399999999999999</v>
      </c>
      <c r="O179">
        <v>1.321093714128E-3</v>
      </c>
      <c r="P179" s="1" t="s">
        <v>27</v>
      </c>
    </row>
    <row r="180" spans="1:16" x14ac:dyDescent="0.25">
      <c r="A180" t="s">
        <v>244</v>
      </c>
      <c r="B180" t="s">
        <v>35</v>
      </c>
      <c r="C180" t="s">
        <v>49</v>
      </c>
      <c r="D180" t="s">
        <v>232</v>
      </c>
      <c r="E180" t="s">
        <v>20</v>
      </c>
      <c r="F180" t="s">
        <v>37</v>
      </c>
      <c r="G180" t="s">
        <v>39</v>
      </c>
      <c r="H180" t="b">
        <v>1</v>
      </c>
      <c r="I180">
        <v>10</v>
      </c>
      <c r="J180">
        <v>17.899999999999999</v>
      </c>
      <c r="K180">
        <v>12</v>
      </c>
      <c r="L180">
        <v>57.28</v>
      </c>
      <c r="M180">
        <v>6.3007999999999996E-3</v>
      </c>
      <c r="N180">
        <v>57.28</v>
      </c>
      <c r="O180">
        <v>6.3007999999999996E-3</v>
      </c>
    </row>
    <row r="181" spans="1:16" x14ac:dyDescent="0.25">
      <c r="A181" t="s">
        <v>245</v>
      </c>
      <c r="B181" t="s">
        <v>35</v>
      </c>
      <c r="C181" t="s">
        <v>49</v>
      </c>
      <c r="D181" t="s">
        <v>232</v>
      </c>
      <c r="E181" t="s">
        <v>20</v>
      </c>
      <c r="F181" t="s">
        <v>37</v>
      </c>
      <c r="G181" t="s">
        <v>50</v>
      </c>
      <c r="H181" t="b">
        <v>1</v>
      </c>
      <c r="I181">
        <v>10</v>
      </c>
      <c r="J181">
        <v>28</v>
      </c>
      <c r="L181">
        <v>2.8</v>
      </c>
      <c r="M181">
        <v>7.5725999999999996E-3</v>
      </c>
      <c r="N181">
        <v>2.8</v>
      </c>
      <c r="O181">
        <v>7.5725999999999996E-3</v>
      </c>
    </row>
    <row r="182" spans="1:16" x14ac:dyDescent="0.25">
      <c r="A182" t="s">
        <v>246</v>
      </c>
      <c r="B182" t="s">
        <v>35</v>
      </c>
      <c r="C182" t="s">
        <v>49</v>
      </c>
      <c r="D182" t="s">
        <v>232</v>
      </c>
      <c r="E182" t="s">
        <v>20</v>
      </c>
      <c r="F182" t="s">
        <v>37</v>
      </c>
      <c r="G182" t="s">
        <v>24</v>
      </c>
      <c r="H182" t="b">
        <v>1</v>
      </c>
      <c r="I182">
        <v>10</v>
      </c>
      <c r="J182">
        <v>18</v>
      </c>
      <c r="L182">
        <v>5.4</v>
      </c>
      <c r="M182">
        <v>1.9980000000000002E-3</v>
      </c>
      <c r="N182">
        <v>5.4</v>
      </c>
      <c r="O182">
        <v>1.9980000000000002E-3</v>
      </c>
    </row>
    <row r="183" spans="1:16" x14ac:dyDescent="0.25">
      <c r="A183" t="s">
        <v>247</v>
      </c>
      <c r="B183" t="s">
        <v>35</v>
      </c>
      <c r="C183" t="s">
        <v>49</v>
      </c>
      <c r="D183" t="s">
        <v>232</v>
      </c>
      <c r="E183" t="s">
        <v>20</v>
      </c>
      <c r="F183" t="s">
        <v>37</v>
      </c>
      <c r="G183" t="s">
        <v>139</v>
      </c>
      <c r="H183" t="b">
        <v>1</v>
      </c>
      <c r="I183">
        <v>10</v>
      </c>
      <c r="J183">
        <v>15.8571428571429</v>
      </c>
      <c r="L183">
        <v>11.1</v>
      </c>
      <c r="M183">
        <v>8.7690000000000001E-4</v>
      </c>
      <c r="N183">
        <v>11.1</v>
      </c>
      <c r="O183">
        <v>8.7690000000000001E-4</v>
      </c>
    </row>
    <row r="184" spans="1:16" x14ac:dyDescent="0.25">
      <c r="A184" t="s">
        <v>248</v>
      </c>
      <c r="B184" t="s">
        <v>35</v>
      </c>
      <c r="C184" t="s">
        <v>49</v>
      </c>
      <c r="D184" t="s">
        <v>232</v>
      </c>
      <c r="E184" t="s">
        <v>20</v>
      </c>
      <c r="F184" t="s">
        <v>37</v>
      </c>
      <c r="G184" t="s">
        <v>44</v>
      </c>
      <c r="H184" t="b">
        <v>1</v>
      </c>
      <c r="I184">
        <v>10</v>
      </c>
      <c r="J184">
        <v>24</v>
      </c>
      <c r="L184">
        <v>4.8</v>
      </c>
      <c r="M184">
        <v>1.0608E-3</v>
      </c>
      <c r="N184">
        <v>4.8</v>
      </c>
      <c r="O184">
        <v>1.0608E-3</v>
      </c>
    </row>
    <row r="185" spans="1:16" x14ac:dyDescent="0.25">
      <c r="A185" t="s">
        <v>249</v>
      </c>
      <c r="B185" t="s">
        <v>35</v>
      </c>
      <c r="C185" t="s">
        <v>49</v>
      </c>
      <c r="D185" t="s">
        <v>232</v>
      </c>
      <c r="E185" t="s">
        <v>20</v>
      </c>
      <c r="F185" t="s">
        <v>37</v>
      </c>
      <c r="G185" t="s">
        <v>60</v>
      </c>
      <c r="H185" t="b">
        <v>0</v>
      </c>
      <c r="I185">
        <v>10</v>
      </c>
      <c r="J185">
        <v>32</v>
      </c>
      <c r="L185">
        <v>3.2</v>
      </c>
      <c r="M185">
        <v>7.0400000000000004E-5</v>
      </c>
      <c r="N185">
        <v>0</v>
      </c>
      <c r="O185">
        <v>0</v>
      </c>
    </row>
    <row r="186" spans="1:16" ht="30" x14ac:dyDescent="0.25">
      <c r="A186" t="s">
        <v>250</v>
      </c>
      <c r="B186" t="s">
        <v>64</v>
      </c>
      <c r="C186" t="s">
        <v>65</v>
      </c>
      <c r="D186" t="s">
        <v>232</v>
      </c>
      <c r="E186" t="s">
        <v>20</v>
      </c>
      <c r="F186" t="s">
        <v>37</v>
      </c>
      <c r="G186" s="1" t="s">
        <v>31</v>
      </c>
      <c r="H186" t="b">
        <v>0</v>
      </c>
      <c r="I186">
        <v>10</v>
      </c>
      <c r="J186">
        <v>28.6666666666667</v>
      </c>
      <c r="L186">
        <v>17.2</v>
      </c>
      <c r="M186">
        <v>7.7400000000000004E-3</v>
      </c>
      <c r="N186">
        <v>0</v>
      </c>
      <c r="O186">
        <v>0</v>
      </c>
    </row>
    <row r="187" spans="1:16" x14ac:dyDescent="0.25">
      <c r="A187" t="s">
        <v>251</v>
      </c>
      <c r="B187" t="s">
        <v>64</v>
      </c>
      <c r="C187" t="s">
        <v>65</v>
      </c>
      <c r="D187" t="s">
        <v>232</v>
      </c>
      <c r="E187" t="s">
        <v>20</v>
      </c>
      <c r="F187" t="s">
        <v>37</v>
      </c>
      <c r="G187" t="s">
        <v>190</v>
      </c>
      <c r="H187" t="b">
        <v>1</v>
      </c>
      <c r="I187">
        <v>10</v>
      </c>
      <c r="J187">
        <v>20.350000000000001</v>
      </c>
      <c r="K187">
        <v>47</v>
      </c>
      <c r="L187">
        <v>136.345</v>
      </c>
      <c r="M187">
        <v>2.5905549999999999E-2</v>
      </c>
      <c r="N187">
        <v>136.345</v>
      </c>
      <c r="O187">
        <v>2.5905549999999999E-2</v>
      </c>
    </row>
    <row r="188" spans="1:16" x14ac:dyDescent="0.25">
      <c r="A188" t="s">
        <v>252</v>
      </c>
      <c r="B188" t="s">
        <v>64</v>
      </c>
      <c r="C188" t="s">
        <v>65</v>
      </c>
      <c r="D188" t="s">
        <v>232</v>
      </c>
      <c r="E188" t="s">
        <v>20</v>
      </c>
      <c r="F188" t="s">
        <v>37</v>
      </c>
      <c r="G188" t="s">
        <v>117</v>
      </c>
      <c r="H188" t="b">
        <v>1</v>
      </c>
      <c r="I188">
        <v>10</v>
      </c>
      <c r="J188">
        <v>178</v>
      </c>
      <c r="L188">
        <v>17.8</v>
      </c>
      <c r="M188">
        <v>0</v>
      </c>
      <c r="N188">
        <v>17.8</v>
      </c>
      <c r="O188">
        <v>0</v>
      </c>
    </row>
    <row r="189" spans="1:16" x14ac:dyDescent="0.25">
      <c r="A189" t="s">
        <v>253</v>
      </c>
      <c r="B189" t="s">
        <v>64</v>
      </c>
      <c r="C189" t="s">
        <v>65</v>
      </c>
      <c r="D189" t="s">
        <v>232</v>
      </c>
      <c r="E189" t="s">
        <v>20</v>
      </c>
      <c r="F189" t="s">
        <v>37</v>
      </c>
      <c r="G189" t="s">
        <v>44</v>
      </c>
      <c r="H189" t="b">
        <v>1</v>
      </c>
      <c r="I189">
        <v>10</v>
      </c>
      <c r="J189">
        <v>22</v>
      </c>
      <c r="L189">
        <v>2.2000000000000002</v>
      </c>
      <c r="M189">
        <v>4.862E-4</v>
      </c>
      <c r="N189">
        <v>2.2000000000000002</v>
      </c>
      <c r="O189">
        <v>4.862E-4</v>
      </c>
    </row>
    <row r="190" spans="1:16" x14ac:dyDescent="0.25">
      <c r="A190" t="s">
        <v>254</v>
      </c>
      <c r="B190" t="s">
        <v>64</v>
      </c>
      <c r="C190" t="s">
        <v>69</v>
      </c>
      <c r="D190" t="s">
        <v>232</v>
      </c>
      <c r="E190" t="s">
        <v>20</v>
      </c>
      <c r="F190" t="s">
        <v>21</v>
      </c>
      <c r="G190" t="s">
        <v>117</v>
      </c>
      <c r="H190" t="b">
        <v>1</v>
      </c>
      <c r="I190">
        <v>10</v>
      </c>
      <c r="J190">
        <v>144</v>
      </c>
      <c r="L190">
        <v>904.78</v>
      </c>
      <c r="M190">
        <v>0</v>
      </c>
      <c r="N190">
        <v>904.78</v>
      </c>
      <c r="O190">
        <v>0</v>
      </c>
    </row>
    <row r="191" spans="1:16" x14ac:dyDescent="0.25">
      <c r="A191" t="s">
        <v>255</v>
      </c>
      <c r="B191" t="s">
        <v>64</v>
      </c>
      <c r="C191" t="s">
        <v>69</v>
      </c>
      <c r="D191" t="s">
        <v>232</v>
      </c>
      <c r="E191" t="s">
        <v>20</v>
      </c>
      <c r="F191" t="s">
        <v>21</v>
      </c>
      <c r="G191" t="s">
        <v>190</v>
      </c>
      <c r="H191" t="b">
        <v>1</v>
      </c>
      <c r="I191">
        <v>10</v>
      </c>
      <c r="J191">
        <v>19.1428571428571</v>
      </c>
      <c r="L191">
        <v>420.97402777777802</v>
      </c>
      <c r="M191">
        <v>7.9985065277777795E-2</v>
      </c>
      <c r="N191">
        <v>420.97402777777802</v>
      </c>
      <c r="O191">
        <v>7.9985065277777795E-2</v>
      </c>
    </row>
    <row r="192" spans="1:16" x14ac:dyDescent="0.25">
      <c r="A192" t="s">
        <v>256</v>
      </c>
      <c r="B192" t="s">
        <v>64</v>
      </c>
      <c r="C192" t="s">
        <v>69</v>
      </c>
      <c r="D192" t="s">
        <v>232</v>
      </c>
      <c r="E192" t="s">
        <v>20</v>
      </c>
      <c r="F192" t="s">
        <v>21</v>
      </c>
      <c r="G192" t="s">
        <v>24</v>
      </c>
      <c r="H192" t="b">
        <v>1</v>
      </c>
      <c r="I192">
        <v>10</v>
      </c>
      <c r="J192">
        <v>12.25</v>
      </c>
      <c r="L192">
        <v>153.938263888889</v>
      </c>
      <c r="M192">
        <v>5.6957157638888901E-2</v>
      </c>
      <c r="N192">
        <v>153.938263888889</v>
      </c>
      <c r="O192">
        <v>5.6957157638888901E-2</v>
      </c>
    </row>
    <row r="193" spans="1:16" x14ac:dyDescent="0.25">
      <c r="A193" t="s">
        <v>257</v>
      </c>
      <c r="B193" t="s">
        <v>64</v>
      </c>
      <c r="C193" t="s">
        <v>69</v>
      </c>
      <c r="D193" t="s">
        <v>232</v>
      </c>
      <c r="E193" t="s">
        <v>20</v>
      </c>
      <c r="F193" t="s">
        <v>21</v>
      </c>
      <c r="G193" t="s">
        <v>115</v>
      </c>
      <c r="H193" t="b">
        <v>1</v>
      </c>
      <c r="I193">
        <v>10</v>
      </c>
      <c r="J193">
        <v>24</v>
      </c>
      <c r="L193">
        <v>75.398333333333298</v>
      </c>
      <c r="M193">
        <v>1.96035666666667E-2</v>
      </c>
      <c r="N193">
        <v>75.398333333333298</v>
      </c>
      <c r="O193">
        <v>1.96035666666667E-2</v>
      </c>
    </row>
    <row r="194" spans="1:16" ht="30" x14ac:dyDescent="0.25">
      <c r="A194" t="s">
        <v>258</v>
      </c>
      <c r="B194" t="s">
        <v>64</v>
      </c>
      <c r="C194" t="s">
        <v>69</v>
      </c>
      <c r="D194" t="s">
        <v>232</v>
      </c>
      <c r="E194" t="s">
        <v>20</v>
      </c>
      <c r="F194" t="s">
        <v>21</v>
      </c>
      <c r="G194" t="s">
        <v>26</v>
      </c>
      <c r="H194" t="b">
        <v>1</v>
      </c>
      <c r="I194">
        <v>10</v>
      </c>
      <c r="J194">
        <v>22</v>
      </c>
      <c r="L194">
        <v>69.115138888888893</v>
      </c>
      <c r="M194">
        <v>4.9623682357171099E-3</v>
      </c>
      <c r="N194">
        <v>69.115138888888893</v>
      </c>
      <c r="O194">
        <v>4.9623682357171099E-3</v>
      </c>
      <c r="P194" s="1" t="s">
        <v>27</v>
      </c>
    </row>
    <row r="195" spans="1:16" x14ac:dyDescent="0.25">
      <c r="A195" t="s">
        <v>259</v>
      </c>
      <c r="B195" t="s">
        <v>64</v>
      </c>
      <c r="C195" t="s">
        <v>69</v>
      </c>
      <c r="D195" t="s">
        <v>232</v>
      </c>
      <c r="E195" t="s">
        <v>20</v>
      </c>
      <c r="F195" t="s">
        <v>21</v>
      </c>
      <c r="G195" t="s">
        <v>22</v>
      </c>
      <c r="H195" t="b">
        <v>1</v>
      </c>
      <c r="I195">
        <v>10</v>
      </c>
      <c r="J195">
        <v>20.8571428571429</v>
      </c>
      <c r="L195">
        <v>458.67319444444399</v>
      </c>
      <c r="M195">
        <v>0.26403063765000001</v>
      </c>
      <c r="N195">
        <v>458.67319444444399</v>
      </c>
      <c r="O195">
        <v>0.26403063765000001</v>
      </c>
    </row>
    <row r="196" spans="1:16" x14ac:dyDescent="0.25">
      <c r="A196" t="s">
        <v>260</v>
      </c>
      <c r="B196" t="s">
        <v>64</v>
      </c>
      <c r="C196" t="s">
        <v>69</v>
      </c>
      <c r="D196" t="s">
        <v>232</v>
      </c>
      <c r="E196" t="s">
        <v>20</v>
      </c>
      <c r="F196" t="s">
        <v>21</v>
      </c>
      <c r="G196" t="s">
        <v>72</v>
      </c>
      <c r="H196" t="b">
        <v>0</v>
      </c>
      <c r="I196">
        <v>10</v>
      </c>
      <c r="J196">
        <v>44</v>
      </c>
      <c r="L196">
        <v>138.23027777777801</v>
      </c>
      <c r="M196">
        <v>1.22886716944445E-3</v>
      </c>
      <c r="N196">
        <v>0</v>
      </c>
      <c r="O196">
        <v>0</v>
      </c>
    </row>
    <row r="197" spans="1:16" ht="30" x14ac:dyDescent="0.25">
      <c r="A197" t="s">
        <v>261</v>
      </c>
      <c r="B197" t="s">
        <v>64</v>
      </c>
      <c r="C197" t="s">
        <v>75</v>
      </c>
      <c r="D197" t="s">
        <v>232</v>
      </c>
      <c r="E197" t="s">
        <v>20</v>
      </c>
      <c r="F197" t="s">
        <v>21</v>
      </c>
      <c r="G197" s="1" t="s">
        <v>31</v>
      </c>
      <c r="H197" t="b">
        <v>0</v>
      </c>
      <c r="I197">
        <v>10</v>
      </c>
      <c r="J197">
        <v>30</v>
      </c>
      <c r="L197">
        <v>94.247916666666697</v>
      </c>
      <c r="M197">
        <v>4.24115625E-2</v>
      </c>
      <c r="N197">
        <v>0</v>
      </c>
      <c r="O197">
        <v>0</v>
      </c>
    </row>
    <row r="198" spans="1:16" x14ac:dyDescent="0.25">
      <c r="A198" t="s">
        <v>262</v>
      </c>
      <c r="B198" t="s">
        <v>64</v>
      </c>
      <c r="C198" t="s">
        <v>75</v>
      </c>
      <c r="D198" t="s">
        <v>232</v>
      </c>
      <c r="E198" t="s">
        <v>20</v>
      </c>
      <c r="F198" t="s">
        <v>21</v>
      </c>
      <c r="G198" t="s">
        <v>22</v>
      </c>
      <c r="H198" t="b">
        <v>1</v>
      </c>
      <c r="I198">
        <v>10</v>
      </c>
      <c r="J198">
        <v>31.75</v>
      </c>
      <c r="L198">
        <v>797.96569444444401</v>
      </c>
      <c r="M198">
        <v>0.45934097234999999</v>
      </c>
      <c r="N198">
        <v>797.96569444444401</v>
      </c>
      <c r="O198">
        <v>0.45934097234999999</v>
      </c>
    </row>
    <row r="199" spans="1:16" x14ac:dyDescent="0.25">
      <c r="A199" t="s">
        <v>263</v>
      </c>
      <c r="B199" t="s">
        <v>64</v>
      </c>
      <c r="C199" t="s">
        <v>75</v>
      </c>
      <c r="D199" t="s">
        <v>232</v>
      </c>
      <c r="E199" t="s">
        <v>20</v>
      </c>
      <c r="F199" t="s">
        <v>21</v>
      </c>
      <c r="G199" t="s">
        <v>24</v>
      </c>
      <c r="H199" t="b">
        <v>1</v>
      </c>
      <c r="I199">
        <v>10</v>
      </c>
      <c r="J199">
        <v>29.3333333333333</v>
      </c>
      <c r="L199">
        <v>276.46055555555603</v>
      </c>
      <c r="M199">
        <v>0.102290405555556</v>
      </c>
      <c r="N199">
        <v>276.46055555555603</v>
      </c>
      <c r="O199">
        <v>0.102290405555556</v>
      </c>
    </row>
    <row r="200" spans="1:16" ht="30" x14ac:dyDescent="0.25">
      <c r="A200" t="s">
        <v>264</v>
      </c>
      <c r="B200" t="s">
        <v>64</v>
      </c>
      <c r="C200" t="s">
        <v>75</v>
      </c>
      <c r="D200" t="s">
        <v>232</v>
      </c>
      <c r="E200" t="s">
        <v>20</v>
      </c>
      <c r="F200" t="s">
        <v>21</v>
      </c>
      <c r="G200" t="s">
        <v>26</v>
      </c>
      <c r="H200" t="b">
        <v>1</v>
      </c>
      <c r="I200">
        <v>10</v>
      </c>
      <c r="J200">
        <v>47</v>
      </c>
      <c r="L200">
        <v>295.31013888888901</v>
      </c>
      <c r="M200">
        <v>2.1202846098063999E-2</v>
      </c>
      <c r="N200">
        <v>295.31013888888901</v>
      </c>
      <c r="O200">
        <v>2.1202846098063999E-2</v>
      </c>
      <c r="P200" s="1" t="s">
        <v>27</v>
      </c>
    </row>
    <row r="201" spans="1:16" x14ac:dyDescent="0.25">
      <c r="A201" t="s">
        <v>265</v>
      </c>
      <c r="B201" t="s">
        <v>64</v>
      </c>
      <c r="C201" t="s">
        <v>80</v>
      </c>
      <c r="D201" t="s">
        <v>232</v>
      </c>
      <c r="E201" t="s">
        <v>20</v>
      </c>
      <c r="F201" t="s">
        <v>37</v>
      </c>
      <c r="G201" t="s">
        <v>190</v>
      </c>
      <c r="H201" t="b">
        <v>1</v>
      </c>
      <c r="I201">
        <v>10</v>
      </c>
      <c r="J201">
        <v>16.7</v>
      </c>
      <c r="K201">
        <v>25</v>
      </c>
      <c r="L201">
        <v>75.150000000000006</v>
      </c>
      <c r="M201">
        <v>1.42785E-2</v>
      </c>
      <c r="N201">
        <v>75.150000000000006</v>
      </c>
      <c r="O201">
        <v>1.42785E-2</v>
      </c>
    </row>
    <row r="202" spans="1:16" x14ac:dyDescent="0.25">
      <c r="A202" t="s">
        <v>266</v>
      </c>
      <c r="B202" t="s">
        <v>64</v>
      </c>
      <c r="C202" t="s">
        <v>80</v>
      </c>
      <c r="D202" t="s">
        <v>232</v>
      </c>
      <c r="E202" t="s">
        <v>20</v>
      </c>
      <c r="F202" t="s">
        <v>37</v>
      </c>
      <c r="G202" t="s">
        <v>24</v>
      </c>
      <c r="H202" t="b">
        <v>1</v>
      </c>
      <c r="I202">
        <v>10</v>
      </c>
      <c r="J202">
        <v>14.6</v>
      </c>
      <c r="L202">
        <v>7.3</v>
      </c>
      <c r="M202">
        <v>2.7009999999999998E-3</v>
      </c>
      <c r="N202">
        <v>7.3</v>
      </c>
      <c r="O202">
        <v>2.7009999999999998E-3</v>
      </c>
    </row>
    <row r="203" spans="1:16" x14ac:dyDescent="0.25">
      <c r="A203" t="s">
        <v>267</v>
      </c>
      <c r="B203" t="s">
        <v>64</v>
      </c>
      <c r="C203" t="s">
        <v>80</v>
      </c>
      <c r="D203" t="s">
        <v>232</v>
      </c>
      <c r="E203" t="s">
        <v>20</v>
      </c>
      <c r="F203" t="s">
        <v>37</v>
      </c>
      <c r="G203" t="s">
        <v>115</v>
      </c>
      <c r="H203" t="b">
        <v>1</v>
      </c>
      <c r="I203">
        <v>10</v>
      </c>
      <c r="J203">
        <v>20</v>
      </c>
      <c r="L203">
        <v>2</v>
      </c>
      <c r="M203">
        <v>5.1999999999999995E-4</v>
      </c>
      <c r="N203">
        <v>2</v>
      </c>
      <c r="O203">
        <v>5.1999999999999995E-4</v>
      </c>
    </row>
    <row r="204" spans="1:16" x14ac:dyDescent="0.25">
      <c r="A204" t="s">
        <v>268</v>
      </c>
      <c r="B204" t="s">
        <v>64</v>
      </c>
      <c r="C204" t="s">
        <v>80</v>
      </c>
      <c r="D204" t="s">
        <v>232</v>
      </c>
      <c r="E204" t="s">
        <v>20</v>
      </c>
      <c r="F204" t="s">
        <v>37</v>
      </c>
      <c r="G204" t="s">
        <v>44</v>
      </c>
      <c r="H204" t="b">
        <v>1</v>
      </c>
      <c r="I204">
        <v>10</v>
      </c>
      <c r="J204">
        <v>20</v>
      </c>
      <c r="L204">
        <v>2</v>
      </c>
      <c r="M204">
        <v>4.4200000000000001E-4</v>
      </c>
      <c r="N204">
        <v>2</v>
      </c>
      <c r="O204">
        <v>4.4200000000000001E-4</v>
      </c>
    </row>
    <row r="205" spans="1:16" x14ac:dyDescent="0.25">
      <c r="A205" t="s">
        <v>269</v>
      </c>
      <c r="B205" t="s">
        <v>64</v>
      </c>
      <c r="C205" t="s">
        <v>86</v>
      </c>
      <c r="D205" t="s">
        <v>232</v>
      </c>
      <c r="E205" t="s">
        <v>20</v>
      </c>
      <c r="F205" t="s">
        <v>37</v>
      </c>
      <c r="G205" t="s">
        <v>190</v>
      </c>
      <c r="H205" t="b">
        <v>1</v>
      </c>
      <c r="I205">
        <v>10</v>
      </c>
      <c r="J205">
        <v>20.399999999999999</v>
      </c>
      <c r="K205">
        <v>45</v>
      </c>
      <c r="L205">
        <v>132.6</v>
      </c>
      <c r="M205">
        <v>2.5194000000000001E-2</v>
      </c>
      <c r="N205">
        <v>132.6</v>
      </c>
      <c r="O205">
        <v>2.5194000000000001E-2</v>
      </c>
    </row>
    <row r="206" spans="1:16" x14ac:dyDescent="0.25">
      <c r="A206" t="s">
        <v>270</v>
      </c>
      <c r="B206" t="s">
        <v>64</v>
      </c>
      <c r="C206" t="s">
        <v>86</v>
      </c>
      <c r="D206" t="s">
        <v>232</v>
      </c>
      <c r="E206" t="s">
        <v>20</v>
      </c>
      <c r="F206" t="s">
        <v>37</v>
      </c>
      <c r="G206" t="s">
        <v>24</v>
      </c>
      <c r="H206" t="b">
        <v>1</v>
      </c>
      <c r="I206">
        <v>10</v>
      </c>
      <c r="J206">
        <v>30</v>
      </c>
      <c r="L206">
        <v>15</v>
      </c>
      <c r="M206">
        <v>5.5500000000000002E-3</v>
      </c>
      <c r="N206">
        <v>15</v>
      </c>
      <c r="O206">
        <v>5.5500000000000002E-3</v>
      </c>
    </row>
    <row r="207" spans="1:16" ht="30" x14ac:dyDescent="0.25">
      <c r="A207" t="s">
        <v>271</v>
      </c>
      <c r="B207" t="s">
        <v>64</v>
      </c>
      <c r="C207" t="s">
        <v>86</v>
      </c>
      <c r="D207" t="s">
        <v>232</v>
      </c>
      <c r="E207" t="s">
        <v>20</v>
      </c>
      <c r="F207" t="s">
        <v>37</v>
      </c>
      <c r="G207" t="s">
        <v>62</v>
      </c>
      <c r="H207" t="b">
        <v>1</v>
      </c>
      <c r="I207">
        <v>10</v>
      </c>
      <c r="J207">
        <v>42</v>
      </c>
      <c r="L207">
        <v>4.2</v>
      </c>
      <c r="M207">
        <v>7.9938600000000002E-4</v>
      </c>
      <c r="N207">
        <v>4.2</v>
      </c>
      <c r="O207">
        <v>7.9938600000000002E-4</v>
      </c>
      <c r="P207" s="1" t="s">
        <v>27</v>
      </c>
    </row>
    <row r="208" spans="1:16" x14ac:dyDescent="0.25">
      <c r="A208" t="s">
        <v>272</v>
      </c>
      <c r="B208" t="s">
        <v>64</v>
      </c>
      <c r="C208" t="s">
        <v>86</v>
      </c>
      <c r="D208" t="s">
        <v>232</v>
      </c>
      <c r="E208" t="s">
        <v>20</v>
      </c>
      <c r="F208" t="s">
        <v>37</v>
      </c>
      <c r="G208" t="s">
        <v>52</v>
      </c>
      <c r="H208" t="b">
        <v>1</v>
      </c>
      <c r="I208">
        <v>10</v>
      </c>
      <c r="J208">
        <v>18</v>
      </c>
      <c r="L208">
        <v>1.8</v>
      </c>
      <c r="M208">
        <v>1.6801199999999999E-4</v>
      </c>
      <c r="N208">
        <v>1.8</v>
      </c>
      <c r="O208">
        <v>1.6801199999999999E-4</v>
      </c>
    </row>
    <row r="209" spans="1:15" x14ac:dyDescent="0.25">
      <c r="A209" t="s">
        <v>273</v>
      </c>
      <c r="B209" t="s">
        <v>91</v>
      </c>
      <c r="C209" t="s">
        <v>92</v>
      </c>
      <c r="D209" t="s">
        <v>232</v>
      </c>
      <c r="E209" t="s">
        <v>20</v>
      </c>
      <c r="F209" t="s">
        <v>37</v>
      </c>
      <c r="G209" t="s">
        <v>190</v>
      </c>
      <c r="H209" t="b">
        <v>1</v>
      </c>
      <c r="I209">
        <v>10</v>
      </c>
      <c r="J209">
        <v>13.6</v>
      </c>
      <c r="L209">
        <v>6.8</v>
      </c>
      <c r="M209">
        <v>1.292E-3</v>
      </c>
      <c r="N209">
        <v>6.8</v>
      </c>
      <c r="O209">
        <v>1.292E-3</v>
      </c>
    </row>
    <row r="210" spans="1:15" x14ac:dyDescent="0.25">
      <c r="A210" t="s">
        <v>274</v>
      </c>
      <c r="B210" t="s">
        <v>91</v>
      </c>
      <c r="C210" t="s">
        <v>92</v>
      </c>
      <c r="D210" t="s">
        <v>232</v>
      </c>
      <c r="E210" t="s">
        <v>20</v>
      </c>
      <c r="F210" t="s">
        <v>37</v>
      </c>
      <c r="G210" t="s">
        <v>22</v>
      </c>
      <c r="H210" t="b">
        <v>1</v>
      </c>
      <c r="I210">
        <v>10</v>
      </c>
      <c r="J210">
        <v>38.6666666666667</v>
      </c>
      <c r="L210">
        <v>23.2</v>
      </c>
      <c r="M210">
        <v>1.3354848000000001E-2</v>
      </c>
      <c r="N210">
        <v>23.2</v>
      </c>
      <c r="O210">
        <v>1.3354848000000001E-2</v>
      </c>
    </row>
    <row r="211" spans="1:15" x14ac:dyDescent="0.25">
      <c r="A211" t="s">
        <v>275</v>
      </c>
      <c r="B211" t="s">
        <v>91</v>
      </c>
      <c r="C211" t="s">
        <v>92</v>
      </c>
      <c r="D211" t="s">
        <v>232</v>
      </c>
      <c r="E211" t="s">
        <v>20</v>
      </c>
      <c r="F211" t="s">
        <v>37</v>
      </c>
      <c r="G211" t="s">
        <v>139</v>
      </c>
      <c r="H211" t="b">
        <v>1</v>
      </c>
      <c r="I211">
        <v>10</v>
      </c>
      <c r="J211">
        <v>15</v>
      </c>
      <c r="L211">
        <v>3</v>
      </c>
      <c r="M211">
        <v>2.3699999999999999E-4</v>
      </c>
      <c r="N211">
        <v>3</v>
      </c>
      <c r="O211">
        <v>2.3699999999999999E-4</v>
      </c>
    </row>
    <row r="212" spans="1:15" x14ac:dyDescent="0.25">
      <c r="A212" t="s">
        <v>276</v>
      </c>
      <c r="B212" t="s">
        <v>91</v>
      </c>
      <c r="C212" t="s">
        <v>92</v>
      </c>
      <c r="D212" t="s">
        <v>232</v>
      </c>
      <c r="E212" t="s">
        <v>20</v>
      </c>
      <c r="F212" t="s">
        <v>37</v>
      </c>
      <c r="G212" t="s">
        <v>47</v>
      </c>
      <c r="H212" t="b">
        <v>1</v>
      </c>
      <c r="I212">
        <v>10</v>
      </c>
      <c r="J212">
        <v>34</v>
      </c>
      <c r="L212">
        <v>3.4</v>
      </c>
      <c r="M212">
        <v>1.0675999999999999E-3</v>
      </c>
      <c r="N212">
        <v>3.4</v>
      </c>
      <c r="O212">
        <v>1.0675999999999999E-3</v>
      </c>
    </row>
    <row r="213" spans="1:15" x14ac:dyDescent="0.25">
      <c r="A213" t="s">
        <v>277</v>
      </c>
      <c r="B213" t="s">
        <v>91</v>
      </c>
      <c r="C213" t="s">
        <v>92</v>
      </c>
      <c r="D213" t="s">
        <v>232</v>
      </c>
      <c r="E213" t="s">
        <v>20</v>
      </c>
      <c r="F213" t="s">
        <v>37</v>
      </c>
      <c r="G213" t="s">
        <v>24</v>
      </c>
      <c r="H213" t="b">
        <v>1</v>
      </c>
      <c r="I213">
        <v>10</v>
      </c>
      <c r="J213">
        <v>10</v>
      </c>
      <c r="L213">
        <v>1</v>
      </c>
      <c r="M213">
        <v>3.6999999999999999E-4</v>
      </c>
      <c r="N213">
        <v>1</v>
      </c>
      <c r="O213">
        <v>3.6999999999999999E-4</v>
      </c>
    </row>
    <row r="214" spans="1:15" x14ac:dyDescent="0.25">
      <c r="A214" t="s">
        <v>278</v>
      </c>
      <c r="B214" t="s">
        <v>91</v>
      </c>
      <c r="C214" t="s">
        <v>92</v>
      </c>
      <c r="D214" t="s">
        <v>232</v>
      </c>
      <c r="E214" t="s">
        <v>20</v>
      </c>
      <c r="F214" t="s">
        <v>37</v>
      </c>
      <c r="G214" t="s">
        <v>50</v>
      </c>
      <c r="H214" t="b">
        <v>1</v>
      </c>
      <c r="I214">
        <v>10</v>
      </c>
      <c r="J214">
        <v>18</v>
      </c>
      <c r="L214">
        <v>1.8</v>
      </c>
      <c r="M214">
        <v>4.8681000000000002E-3</v>
      </c>
      <c r="N214">
        <v>1.8</v>
      </c>
      <c r="O214">
        <v>4.8681000000000002E-3</v>
      </c>
    </row>
    <row r="215" spans="1:15" x14ac:dyDescent="0.25">
      <c r="A215" t="s">
        <v>279</v>
      </c>
      <c r="B215" t="s">
        <v>91</v>
      </c>
      <c r="C215" t="s">
        <v>98</v>
      </c>
      <c r="D215" t="s">
        <v>232</v>
      </c>
      <c r="E215" t="s">
        <v>20</v>
      </c>
      <c r="F215" t="s">
        <v>21</v>
      </c>
      <c r="G215" t="s">
        <v>190</v>
      </c>
      <c r="H215" t="b">
        <v>1</v>
      </c>
      <c r="I215">
        <v>10</v>
      </c>
      <c r="J215">
        <v>7.3333333333333304</v>
      </c>
      <c r="L215">
        <v>69.115138888888893</v>
      </c>
      <c r="M215">
        <v>1.3131876388888899E-2</v>
      </c>
      <c r="N215">
        <v>69.115138888888893</v>
      </c>
      <c r="O215">
        <v>1.3131876388888899E-2</v>
      </c>
    </row>
    <row r="216" spans="1:15" x14ac:dyDescent="0.25">
      <c r="A216" t="s">
        <v>280</v>
      </c>
      <c r="B216" t="s">
        <v>91</v>
      </c>
      <c r="C216" t="s">
        <v>98</v>
      </c>
      <c r="D216" t="s">
        <v>232</v>
      </c>
      <c r="E216" t="s">
        <v>20</v>
      </c>
      <c r="F216" t="s">
        <v>21</v>
      </c>
      <c r="G216" t="s">
        <v>115</v>
      </c>
      <c r="H216" t="b">
        <v>1</v>
      </c>
      <c r="I216">
        <v>10</v>
      </c>
      <c r="J216">
        <v>31</v>
      </c>
      <c r="L216">
        <v>194.779027777778</v>
      </c>
      <c r="M216">
        <v>5.0642547222222299E-2</v>
      </c>
      <c r="N216">
        <v>194.779027777778</v>
      </c>
      <c r="O216">
        <v>5.0642547222222299E-2</v>
      </c>
    </row>
    <row r="217" spans="1:15" x14ac:dyDescent="0.25">
      <c r="A217" t="s">
        <v>281</v>
      </c>
      <c r="B217" t="s">
        <v>91</v>
      </c>
      <c r="C217" t="s">
        <v>98</v>
      </c>
      <c r="D217" t="s">
        <v>232</v>
      </c>
      <c r="E217" t="s">
        <v>20</v>
      </c>
      <c r="F217" t="s">
        <v>21</v>
      </c>
      <c r="G217" t="s">
        <v>139</v>
      </c>
      <c r="H217" t="b">
        <v>1</v>
      </c>
      <c r="I217">
        <v>10</v>
      </c>
      <c r="J217">
        <v>14.6666666666667</v>
      </c>
      <c r="L217">
        <v>276.46055555555603</v>
      </c>
      <c r="M217">
        <v>2.1840383888888901E-2</v>
      </c>
      <c r="N217">
        <v>276.46055555555603</v>
      </c>
      <c r="O217">
        <v>2.1840383888888901E-2</v>
      </c>
    </row>
    <row r="218" spans="1:15" x14ac:dyDescent="0.25">
      <c r="A218" t="s">
        <v>282</v>
      </c>
      <c r="B218" t="s">
        <v>91</v>
      </c>
      <c r="C218" t="s">
        <v>98</v>
      </c>
      <c r="D218" t="s">
        <v>232</v>
      </c>
      <c r="E218" t="s">
        <v>20</v>
      </c>
      <c r="F218" t="s">
        <v>21</v>
      </c>
      <c r="G218" t="s">
        <v>22</v>
      </c>
      <c r="H218" t="b">
        <v>1</v>
      </c>
      <c r="I218">
        <v>10</v>
      </c>
      <c r="J218">
        <v>43.8</v>
      </c>
      <c r="L218">
        <v>688.00979166666696</v>
      </c>
      <c r="M218">
        <v>0.39604595647500002</v>
      </c>
      <c r="N218">
        <v>688.00979166666696</v>
      </c>
      <c r="O218">
        <v>0.39604595647500002</v>
      </c>
    </row>
    <row r="219" spans="1:15" x14ac:dyDescent="0.25">
      <c r="A219" t="s">
        <v>283</v>
      </c>
      <c r="B219" t="s">
        <v>91</v>
      </c>
      <c r="C219" t="s">
        <v>98</v>
      </c>
      <c r="D219" t="s">
        <v>232</v>
      </c>
      <c r="E219" t="s">
        <v>20</v>
      </c>
      <c r="F219" t="s">
        <v>21</v>
      </c>
      <c r="G219" t="s">
        <v>52</v>
      </c>
      <c r="H219" t="b">
        <v>1</v>
      </c>
      <c r="I219">
        <v>10</v>
      </c>
      <c r="J219">
        <v>192</v>
      </c>
      <c r="L219">
        <v>603.18666666666695</v>
      </c>
      <c r="M219">
        <v>5.6301443466666698E-2</v>
      </c>
      <c r="N219">
        <v>603.18666666666695</v>
      </c>
      <c r="O219">
        <v>5.6301443466666698E-2</v>
      </c>
    </row>
    <row r="220" spans="1:15" x14ac:dyDescent="0.25">
      <c r="A220" t="s">
        <v>284</v>
      </c>
      <c r="B220" t="s">
        <v>91</v>
      </c>
      <c r="C220" t="s">
        <v>103</v>
      </c>
      <c r="D220" t="s">
        <v>232</v>
      </c>
      <c r="E220" t="s">
        <v>20</v>
      </c>
      <c r="F220" t="s">
        <v>37</v>
      </c>
      <c r="G220" t="s">
        <v>24</v>
      </c>
      <c r="H220" t="b">
        <v>1</v>
      </c>
      <c r="I220">
        <v>10</v>
      </c>
      <c r="J220">
        <v>14.6666666666667</v>
      </c>
      <c r="L220">
        <v>8.8000000000000007</v>
      </c>
      <c r="M220">
        <v>3.2560000000000002E-3</v>
      </c>
      <c r="N220">
        <v>8.8000000000000007</v>
      </c>
      <c r="O220">
        <v>3.2560000000000002E-3</v>
      </c>
    </row>
    <row r="221" spans="1:15" x14ac:dyDescent="0.25">
      <c r="A221" t="s">
        <v>285</v>
      </c>
      <c r="B221" t="s">
        <v>91</v>
      </c>
      <c r="C221" t="s">
        <v>103</v>
      </c>
      <c r="D221" t="s">
        <v>232</v>
      </c>
      <c r="E221" t="s">
        <v>20</v>
      </c>
      <c r="F221" t="s">
        <v>37</v>
      </c>
      <c r="G221" t="s">
        <v>50</v>
      </c>
      <c r="H221" t="b">
        <v>1</v>
      </c>
      <c r="I221">
        <v>10</v>
      </c>
      <c r="J221">
        <v>44</v>
      </c>
      <c r="L221">
        <v>8.8000000000000007</v>
      </c>
      <c r="M221">
        <v>2.3799600000000001E-2</v>
      </c>
      <c r="N221">
        <v>8.8000000000000007</v>
      </c>
      <c r="O221">
        <v>2.3799600000000001E-2</v>
      </c>
    </row>
    <row r="222" spans="1:15" x14ac:dyDescent="0.25">
      <c r="A222" t="s">
        <v>286</v>
      </c>
      <c r="B222" t="s">
        <v>91</v>
      </c>
      <c r="C222" t="s">
        <v>103</v>
      </c>
      <c r="D222" t="s">
        <v>232</v>
      </c>
      <c r="E222" t="s">
        <v>20</v>
      </c>
      <c r="F222" t="s">
        <v>37</v>
      </c>
      <c r="G222" t="s">
        <v>139</v>
      </c>
      <c r="H222" t="b">
        <v>1</v>
      </c>
      <c r="I222">
        <v>10</v>
      </c>
      <c r="J222">
        <v>8.8461538461538503</v>
      </c>
      <c r="L222">
        <v>11.5</v>
      </c>
      <c r="M222">
        <v>9.0850000000000002E-4</v>
      </c>
      <c r="N222">
        <v>11.5</v>
      </c>
      <c r="O222">
        <v>9.0850000000000002E-4</v>
      </c>
    </row>
    <row r="223" spans="1:15" x14ac:dyDescent="0.25">
      <c r="A223" t="s">
        <v>287</v>
      </c>
      <c r="B223" t="s">
        <v>91</v>
      </c>
      <c r="C223" t="s">
        <v>103</v>
      </c>
      <c r="D223" t="s">
        <v>232</v>
      </c>
      <c r="E223" t="s">
        <v>20</v>
      </c>
      <c r="F223" t="s">
        <v>37</v>
      </c>
      <c r="G223" t="s">
        <v>22</v>
      </c>
      <c r="H223" t="b">
        <v>1</v>
      </c>
      <c r="I223">
        <v>10</v>
      </c>
      <c r="J223">
        <v>33.5</v>
      </c>
      <c r="L223">
        <v>13.4</v>
      </c>
      <c r="M223">
        <v>7.7135759999999998E-3</v>
      </c>
      <c r="N223">
        <v>13.4</v>
      </c>
      <c r="O223">
        <v>7.7135759999999998E-3</v>
      </c>
    </row>
    <row r="224" spans="1:15" x14ac:dyDescent="0.25">
      <c r="A224" t="s">
        <v>288</v>
      </c>
      <c r="B224" t="s">
        <v>91</v>
      </c>
      <c r="C224" t="s">
        <v>106</v>
      </c>
      <c r="D224" t="s">
        <v>232</v>
      </c>
      <c r="E224" t="s">
        <v>20</v>
      </c>
      <c r="F224" t="s">
        <v>21</v>
      </c>
      <c r="G224" t="s">
        <v>22</v>
      </c>
      <c r="H224" t="b">
        <v>1</v>
      </c>
      <c r="I224">
        <v>10</v>
      </c>
      <c r="J224">
        <v>32.200000000000003</v>
      </c>
      <c r="K224">
        <v>2</v>
      </c>
      <c r="L224">
        <v>2225.5074722222198</v>
      </c>
      <c r="M224">
        <v>1.28109112131</v>
      </c>
      <c r="N224">
        <v>2225.5074722222198</v>
      </c>
      <c r="O224">
        <v>1.28109112131</v>
      </c>
    </row>
    <row r="225" spans="1:16" x14ac:dyDescent="0.25">
      <c r="A225" t="s">
        <v>289</v>
      </c>
      <c r="B225" t="s">
        <v>91</v>
      </c>
      <c r="C225" t="s">
        <v>106</v>
      </c>
      <c r="D225" t="s">
        <v>232</v>
      </c>
      <c r="E225" t="s">
        <v>20</v>
      </c>
      <c r="F225" t="s">
        <v>21</v>
      </c>
      <c r="G225" t="s">
        <v>24</v>
      </c>
      <c r="H225" t="b">
        <v>1</v>
      </c>
      <c r="I225">
        <v>10</v>
      </c>
      <c r="J225">
        <v>17.05</v>
      </c>
      <c r="K225">
        <v>5</v>
      </c>
      <c r="L225">
        <v>1339.1058159722199</v>
      </c>
      <c r="M225">
        <v>0.49546915190972102</v>
      </c>
      <c r="N225">
        <v>1339.1058159722199</v>
      </c>
      <c r="O225">
        <v>0.49546915190972102</v>
      </c>
    </row>
    <row r="226" spans="1:16" x14ac:dyDescent="0.25">
      <c r="A226" t="s">
        <v>290</v>
      </c>
      <c r="B226" t="s">
        <v>91</v>
      </c>
      <c r="C226" t="s">
        <v>106</v>
      </c>
      <c r="D226" t="s">
        <v>232</v>
      </c>
      <c r="E226" t="s">
        <v>20</v>
      </c>
      <c r="F226" t="s">
        <v>21</v>
      </c>
      <c r="G226" t="s">
        <v>115</v>
      </c>
      <c r="H226" t="b">
        <v>1</v>
      </c>
      <c r="I226">
        <v>10</v>
      </c>
      <c r="J226">
        <v>27</v>
      </c>
      <c r="L226">
        <v>169.64625000000001</v>
      </c>
      <c r="M226">
        <v>4.4108025000000002E-2</v>
      </c>
      <c r="N226">
        <v>169.64625000000001</v>
      </c>
      <c r="O226">
        <v>4.4108025000000002E-2</v>
      </c>
    </row>
    <row r="227" spans="1:16" ht="30" x14ac:dyDescent="0.25">
      <c r="A227" t="s">
        <v>291</v>
      </c>
      <c r="B227" t="s">
        <v>91</v>
      </c>
      <c r="C227" t="s">
        <v>106</v>
      </c>
      <c r="D227" t="s">
        <v>232</v>
      </c>
      <c r="E227" t="s">
        <v>20</v>
      </c>
      <c r="F227" t="s">
        <v>21</v>
      </c>
      <c r="G227" t="s">
        <v>26</v>
      </c>
      <c r="H227" t="b">
        <v>1</v>
      </c>
      <c r="I227">
        <v>10</v>
      </c>
      <c r="J227">
        <v>50</v>
      </c>
      <c r="L227">
        <v>157.079861111111</v>
      </c>
      <c r="M227">
        <v>1.12781096266298E-2</v>
      </c>
      <c r="N227">
        <v>157.079861111111</v>
      </c>
      <c r="O227">
        <v>1.12781096266298E-2</v>
      </c>
      <c r="P227" s="1" t="s">
        <v>27</v>
      </c>
    </row>
    <row r="228" spans="1:16" x14ac:dyDescent="0.25">
      <c r="A228" t="s">
        <v>292</v>
      </c>
      <c r="B228" t="s">
        <v>109</v>
      </c>
      <c r="C228" t="s">
        <v>110</v>
      </c>
      <c r="D228" t="s">
        <v>232</v>
      </c>
      <c r="E228" t="s">
        <v>20</v>
      </c>
      <c r="F228" t="s">
        <v>21</v>
      </c>
      <c r="G228" t="s">
        <v>22</v>
      </c>
      <c r="H228" t="b">
        <v>1</v>
      </c>
      <c r="I228">
        <v>10</v>
      </c>
      <c r="J228">
        <v>30.4</v>
      </c>
      <c r="K228">
        <v>244</v>
      </c>
      <c r="L228">
        <v>25213.202666666701</v>
      </c>
      <c r="M228">
        <v>14.513727983040001</v>
      </c>
      <c r="N228">
        <v>25213.202666666701</v>
      </c>
      <c r="O228">
        <v>14.513727983040001</v>
      </c>
    </row>
    <row r="229" spans="1:16" x14ac:dyDescent="0.25">
      <c r="A229" t="s">
        <v>293</v>
      </c>
      <c r="B229" t="s">
        <v>109</v>
      </c>
      <c r="C229" t="s">
        <v>110</v>
      </c>
      <c r="D229" t="s">
        <v>232</v>
      </c>
      <c r="E229" t="s">
        <v>20</v>
      </c>
      <c r="F229" t="s">
        <v>21</v>
      </c>
      <c r="G229" t="s">
        <v>24</v>
      </c>
      <c r="H229" t="b">
        <v>1</v>
      </c>
      <c r="I229">
        <v>10</v>
      </c>
      <c r="J229">
        <v>17.6666666666667</v>
      </c>
      <c r="L229">
        <v>333.00930555555499</v>
      </c>
      <c r="M229">
        <v>0.123213443055556</v>
      </c>
      <c r="N229">
        <v>333.00930555555601</v>
      </c>
      <c r="O229">
        <v>0.123213443055556</v>
      </c>
    </row>
    <row r="230" spans="1:16" x14ac:dyDescent="0.25">
      <c r="A230" t="s">
        <v>294</v>
      </c>
      <c r="B230" t="s">
        <v>109</v>
      </c>
      <c r="C230" t="s">
        <v>110</v>
      </c>
      <c r="D230" t="s">
        <v>232</v>
      </c>
      <c r="E230" t="s">
        <v>20</v>
      </c>
      <c r="F230" t="s">
        <v>21</v>
      </c>
      <c r="G230" t="s">
        <v>29</v>
      </c>
      <c r="H230" t="b">
        <v>0</v>
      </c>
      <c r="I230">
        <v>10</v>
      </c>
      <c r="J230">
        <v>152</v>
      </c>
      <c r="L230">
        <v>955.04555555555498</v>
      </c>
      <c r="M230">
        <v>2.1488524999999999E-3</v>
      </c>
      <c r="N230">
        <v>0</v>
      </c>
      <c r="O230">
        <v>0</v>
      </c>
    </row>
    <row r="231" spans="1:16" x14ac:dyDescent="0.25">
      <c r="A231" t="s">
        <v>295</v>
      </c>
      <c r="B231" t="s">
        <v>109</v>
      </c>
      <c r="C231" t="s">
        <v>110</v>
      </c>
      <c r="D231" t="s">
        <v>232</v>
      </c>
      <c r="E231" t="s">
        <v>20</v>
      </c>
      <c r="F231" t="s">
        <v>21</v>
      </c>
      <c r="G231" t="s">
        <v>115</v>
      </c>
      <c r="H231" t="b">
        <v>1</v>
      </c>
      <c r="I231">
        <v>10</v>
      </c>
      <c r="J231">
        <v>33.4</v>
      </c>
      <c r="L231">
        <v>1049.2934722222201</v>
      </c>
      <c r="M231">
        <v>0.27281630277777702</v>
      </c>
      <c r="N231">
        <v>1049.2934722222201</v>
      </c>
      <c r="O231">
        <v>0.27281630277777702</v>
      </c>
    </row>
    <row r="232" spans="1:16" x14ac:dyDescent="0.25">
      <c r="A232" t="s">
        <v>296</v>
      </c>
      <c r="B232" t="s">
        <v>109</v>
      </c>
      <c r="C232" t="s">
        <v>110</v>
      </c>
      <c r="D232" t="s">
        <v>232</v>
      </c>
      <c r="E232" t="s">
        <v>20</v>
      </c>
      <c r="F232" t="s">
        <v>21</v>
      </c>
      <c r="G232" t="s">
        <v>139</v>
      </c>
      <c r="H232" t="b">
        <v>1</v>
      </c>
      <c r="I232">
        <v>10</v>
      </c>
      <c r="J232">
        <v>12.5</v>
      </c>
      <c r="L232">
        <v>78.5399305555555</v>
      </c>
      <c r="M232">
        <v>6.2046545138888902E-3</v>
      </c>
      <c r="N232">
        <v>78.5399305555556</v>
      </c>
      <c r="O232">
        <v>6.2046545138888902E-3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topLeftCell="A16" workbookViewId="0"/>
  </sheetViews>
  <sheetFormatPr defaultRowHeight="15" x14ac:dyDescent="0.25"/>
  <cols>
    <col min="1" max="1" width="12.42578125" customWidth="1"/>
    <col min="2" max="2" width="11.85546875" customWidth="1"/>
    <col min="3" max="3" width="13.85546875" customWidth="1"/>
    <col min="4" max="4" width="14.85546875" customWidth="1"/>
    <col min="5" max="5" width="18.5703125" customWidth="1"/>
    <col min="6" max="6" width="14.42578125" customWidth="1"/>
    <col min="7" max="7" width="21.28515625" customWidth="1"/>
    <col min="8" max="8" width="16.5703125" customWidth="1"/>
    <col min="9" max="9" width="20.7109375" customWidth="1"/>
    <col min="10" max="10" width="18.28515625" customWidth="1"/>
    <col min="11" max="11" width="20.85546875" customWidth="1"/>
    <col min="12" max="12" width="18.28515625" customWidth="1"/>
    <col min="13" max="13" width="21.42578125" customWidth="1"/>
    <col min="14" max="14" width="23.42578125" customWidth="1"/>
    <col min="15" max="15" width="27.42578125" customWidth="1"/>
    <col min="16" max="16" width="1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30" x14ac:dyDescent="0.25">
      <c r="A2" t="s">
        <v>25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26</v>
      </c>
      <c r="H2" t="b">
        <v>1</v>
      </c>
      <c r="I2">
        <v>10</v>
      </c>
      <c r="J2">
        <v>6</v>
      </c>
      <c r="L2">
        <v>18.8495833333333</v>
      </c>
      <c r="M2">
        <v>1.3533731551955701E-3</v>
      </c>
      <c r="N2">
        <v>18.8495833333333</v>
      </c>
      <c r="O2">
        <v>1.3533731551955701E-3</v>
      </c>
      <c r="P2" s="1" t="s">
        <v>27</v>
      </c>
    </row>
    <row r="3" spans="1:16" ht="30" x14ac:dyDescent="0.25">
      <c r="A3" t="s">
        <v>40</v>
      </c>
      <c r="B3" t="s">
        <v>35</v>
      </c>
      <c r="C3" t="s">
        <v>36</v>
      </c>
      <c r="D3" t="s">
        <v>19</v>
      </c>
      <c r="E3" t="s">
        <v>20</v>
      </c>
      <c r="F3" t="s">
        <v>37</v>
      </c>
      <c r="G3" t="s">
        <v>41</v>
      </c>
      <c r="H3" t="b">
        <v>1</v>
      </c>
      <c r="I3">
        <v>10</v>
      </c>
      <c r="J3">
        <v>27</v>
      </c>
      <c r="L3">
        <v>16.2</v>
      </c>
      <c r="M3">
        <v>1.4094000000000001E-3</v>
      </c>
      <c r="N3">
        <v>16.2</v>
      </c>
      <c r="O3">
        <v>1.4094000000000001E-3</v>
      </c>
      <c r="P3" s="1" t="s">
        <v>27</v>
      </c>
    </row>
    <row r="4" spans="1:16" ht="30" x14ac:dyDescent="0.25">
      <c r="A4" t="s">
        <v>53</v>
      </c>
      <c r="B4" t="s">
        <v>35</v>
      </c>
      <c r="C4" t="s">
        <v>49</v>
      </c>
      <c r="D4" t="s">
        <v>19</v>
      </c>
      <c r="E4" t="s">
        <v>20</v>
      </c>
      <c r="F4" t="s">
        <v>37</v>
      </c>
      <c r="G4" t="s">
        <v>41</v>
      </c>
      <c r="H4" t="b">
        <v>1</v>
      </c>
      <c r="I4">
        <v>10</v>
      </c>
      <c r="J4">
        <v>19.25</v>
      </c>
      <c r="L4">
        <v>30.8</v>
      </c>
      <c r="M4">
        <v>2.6795999999999999E-3</v>
      </c>
      <c r="N4">
        <v>30.8</v>
      </c>
      <c r="O4">
        <v>2.6795999999999999E-3</v>
      </c>
      <c r="P4" s="1" t="s">
        <v>27</v>
      </c>
    </row>
    <row r="5" spans="1:16" ht="30" x14ac:dyDescent="0.25">
      <c r="A5" t="s">
        <v>61</v>
      </c>
      <c r="B5" t="s">
        <v>35</v>
      </c>
      <c r="C5" t="s">
        <v>49</v>
      </c>
      <c r="D5" t="s">
        <v>19</v>
      </c>
      <c r="E5" t="s">
        <v>20</v>
      </c>
      <c r="F5" t="s">
        <v>37</v>
      </c>
      <c r="G5" t="s">
        <v>62</v>
      </c>
      <c r="H5" t="b">
        <v>1</v>
      </c>
      <c r="I5">
        <v>10</v>
      </c>
      <c r="J5">
        <v>64</v>
      </c>
      <c r="L5">
        <v>6.4</v>
      </c>
      <c r="M5">
        <v>1.2181119999999999E-3</v>
      </c>
      <c r="N5">
        <v>6.4</v>
      </c>
      <c r="O5">
        <v>1.2181119999999999E-3</v>
      </c>
      <c r="P5" s="1" t="s">
        <v>27</v>
      </c>
    </row>
    <row r="6" spans="1:16" ht="30" x14ac:dyDescent="0.25">
      <c r="A6" t="s">
        <v>77</v>
      </c>
      <c r="B6" t="s">
        <v>64</v>
      </c>
      <c r="C6" t="s">
        <v>75</v>
      </c>
      <c r="D6" t="s">
        <v>19</v>
      </c>
      <c r="E6" t="s">
        <v>20</v>
      </c>
      <c r="F6" t="s">
        <v>21</v>
      </c>
      <c r="G6" t="s">
        <v>62</v>
      </c>
      <c r="H6" t="b">
        <v>1</v>
      </c>
      <c r="I6">
        <v>10</v>
      </c>
      <c r="J6">
        <v>20</v>
      </c>
      <c r="L6">
        <v>62.831944444444403</v>
      </c>
      <c r="M6">
        <v>1.19588039861111E-2</v>
      </c>
      <c r="N6">
        <v>62.831944444444403</v>
      </c>
      <c r="O6">
        <v>1.19588039861111E-2</v>
      </c>
      <c r="P6" s="1" t="s">
        <v>27</v>
      </c>
    </row>
    <row r="7" spans="1:16" ht="30" x14ac:dyDescent="0.25">
      <c r="A7" t="s">
        <v>101</v>
      </c>
      <c r="B7" t="s">
        <v>91</v>
      </c>
      <c r="C7" t="s">
        <v>98</v>
      </c>
      <c r="D7" t="s">
        <v>19</v>
      </c>
      <c r="E7" t="s">
        <v>20</v>
      </c>
      <c r="F7" t="s">
        <v>21</v>
      </c>
      <c r="G7" t="s">
        <v>62</v>
      </c>
      <c r="H7" t="b">
        <v>1</v>
      </c>
      <c r="I7">
        <v>10</v>
      </c>
      <c r="J7">
        <v>52</v>
      </c>
      <c r="L7">
        <v>163.363055555556</v>
      </c>
      <c r="M7">
        <v>3.1092890363889E-2</v>
      </c>
      <c r="N7">
        <v>163.363055555556</v>
      </c>
      <c r="O7">
        <v>3.1092890363889E-2</v>
      </c>
      <c r="P7" s="1" t="s">
        <v>27</v>
      </c>
    </row>
    <row r="8" spans="1:16" ht="30" x14ac:dyDescent="0.25">
      <c r="A8" t="s">
        <v>121</v>
      </c>
      <c r="B8" t="s">
        <v>17</v>
      </c>
      <c r="C8" t="s">
        <v>18</v>
      </c>
      <c r="D8" t="s">
        <v>120</v>
      </c>
      <c r="E8" t="s">
        <v>20</v>
      </c>
      <c r="F8" t="s">
        <v>21</v>
      </c>
      <c r="G8" t="s">
        <v>62</v>
      </c>
      <c r="H8" t="b">
        <v>1</v>
      </c>
      <c r="I8">
        <v>10</v>
      </c>
      <c r="J8">
        <v>37</v>
      </c>
      <c r="L8">
        <v>232.478194444444</v>
      </c>
      <c r="M8">
        <v>4.4247574748610997E-2</v>
      </c>
      <c r="N8">
        <v>232.478194444444</v>
      </c>
      <c r="O8">
        <v>4.4247574748610997E-2</v>
      </c>
      <c r="P8" s="1" t="s">
        <v>27</v>
      </c>
    </row>
    <row r="9" spans="1:16" ht="30" x14ac:dyDescent="0.25">
      <c r="A9" t="s">
        <v>124</v>
      </c>
      <c r="B9" t="s">
        <v>35</v>
      </c>
      <c r="C9" t="s">
        <v>36</v>
      </c>
      <c r="D9" t="s">
        <v>120</v>
      </c>
      <c r="E9" t="s">
        <v>20</v>
      </c>
      <c r="F9" t="s">
        <v>37</v>
      </c>
      <c r="G9" t="s">
        <v>41</v>
      </c>
      <c r="H9" t="b">
        <v>1</v>
      </c>
      <c r="I9">
        <v>10</v>
      </c>
      <c r="J9">
        <v>27.8</v>
      </c>
      <c r="L9">
        <v>27.8</v>
      </c>
      <c r="M9">
        <v>2.4185999999999999E-3</v>
      </c>
      <c r="N9">
        <v>27.8</v>
      </c>
      <c r="O9">
        <v>2.4185999999999999E-3</v>
      </c>
      <c r="P9" s="1" t="s">
        <v>27</v>
      </c>
    </row>
    <row r="10" spans="1:16" ht="30" x14ac:dyDescent="0.25">
      <c r="A10" t="s">
        <v>130</v>
      </c>
      <c r="B10" t="s">
        <v>35</v>
      </c>
      <c r="C10" t="s">
        <v>36</v>
      </c>
      <c r="D10" t="s">
        <v>120</v>
      </c>
      <c r="E10" t="s">
        <v>20</v>
      </c>
      <c r="F10" t="s">
        <v>37</v>
      </c>
      <c r="G10" t="s">
        <v>62</v>
      </c>
      <c r="H10" t="b">
        <v>1</v>
      </c>
      <c r="I10">
        <v>10</v>
      </c>
      <c r="J10">
        <v>28</v>
      </c>
      <c r="L10">
        <v>2.8</v>
      </c>
      <c r="M10">
        <v>5.3292400000000005E-4</v>
      </c>
      <c r="N10">
        <v>2.8</v>
      </c>
      <c r="O10">
        <v>5.3292400000000005E-4</v>
      </c>
      <c r="P10" s="1" t="s">
        <v>27</v>
      </c>
    </row>
    <row r="11" spans="1:16" ht="30" x14ac:dyDescent="0.25">
      <c r="A11" t="s">
        <v>131</v>
      </c>
      <c r="B11" t="s">
        <v>35</v>
      </c>
      <c r="C11" t="s">
        <v>49</v>
      </c>
      <c r="D11" t="s">
        <v>120</v>
      </c>
      <c r="E11" t="s">
        <v>20</v>
      </c>
      <c r="F11" t="s">
        <v>21</v>
      </c>
      <c r="G11" t="s">
        <v>132</v>
      </c>
      <c r="H11" t="b">
        <v>1</v>
      </c>
      <c r="I11">
        <v>10</v>
      </c>
      <c r="J11">
        <v>61</v>
      </c>
      <c r="L11">
        <v>383.27486111111102</v>
      </c>
      <c r="M11">
        <v>8.4320469444444397E-3</v>
      </c>
      <c r="N11">
        <v>383.27486111111102</v>
      </c>
      <c r="O11">
        <v>8.4320469444444397E-3</v>
      </c>
      <c r="P11" s="1" t="s">
        <v>27</v>
      </c>
    </row>
    <row r="12" spans="1:16" ht="30" x14ac:dyDescent="0.25">
      <c r="A12" t="s">
        <v>154</v>
      </c>
      <c r="B12" t="s">
        <v>64</v>
      </c>
      <c r="C12" t="s">
        <v>75</v>
      </c>
      <c r="D12" t="s">
        <v>120</v>
      </c>
      <c r="E12" t="s">
        <v>20</v>
      </c>
      <c r="F12" t="s">
        <v>21</v>
      </c>
      <c r="G12" t="s">
        <v>26</v>
      </c>
      <c r="H12" t="b">
        <v>1</v>
      </c>
      <c r="I12">
        <v>10</v>
      </c>
      <c r="J12">
        <v>18</v>
      </c>
      <c r="L12">
        <v>56.548749999999998</v>
      </c>
      <c r="M12">
        <v>4.0601194655867203E-3</v>
      </c>
      <c r="N12">
        <v>56.548749999999998</v>
      </c>
      <c r="O12">
        <v>4.0601194655867203E-3</v>
      </c>
      <c r="P12" s="1" t="s">
        <v>27</v>
      </c>
    </row>
    <row r="13" spans="1:16" ht="30" x14ac:dyDescent="0.25">
      <c r="A13" t="s">
        <v>159</v>
      </c>
      <c r="B13" t="s">
        <v>64</v>
      </c>
      <c r="C13" t="s">
        <v>80</v>
      </c>
      <c r="D13" t="s">
        <v>120</v>
      </c>
      <c r="E13" t="s">
        <v>20</v>
      </c>
      <c r="F13" t="s">
        <v>37</v>
      </c>
      <c r="G13" t="s">
        <v>62</v>
      </c>
      <c r="H13" t="b">
        <v>1</v>
      </c>
      <c r="I13">
        <v>10</v>
      </c>
      <c r="J13">
        <v>70</v>
      </c>
      <c r="L13">
        <v>7</v>
      </c>
      <c r="M13">
        <v>1.33231E-3</v>
      </c>
      <c r="N13">
        <v>7</v>
      </c>
      <c r="O13">
        <v>1.33231E-3</v>
      </c>
      <c r="P13" s="1" t="s">
        <v>27</v>
      </c>
    </row>
    <row r="14" spans="1:16" ht="30" x14ac:dyDescent="0.25">
      <c r="A14" t="s">
        <v>186</v>
      </c>
      <c r="B14" t="s">
        <v>17</v>
      </c>
      <c r="C14" t="s">
        <v>18</v>
      </c>
      <c r="D14" t="s">
        <v>185</v>
      </c>
      <c r="E14" t="s">
        <v>20</v>
      </c>
      <c r="F14" t="s">
        <v>21</v>
      </c>
      <c r="G14" t="s">
        <v>26</v>
      </c>
      <c r="H14" t="b">
        <v>1</v>
      </c>
      <c r="I14">
        <v>10</v>
      </c>
      <c r="J14">
        <v>30</v>
      </c>
      <c r="L14">
        <v>188.495833333333</v>
      </c>
      <c r="M14">
        <v>1.35337315519557E-2</v>
      </c>
      <c r="N14">
        <v>188.495833333333</v>
      </c>
      <c r="O14">
        <v>1.35337315519557E-2</v>
      </c>
      <c r="P14" s="1" t="s">
        <v>27</v>
      </c>
    </row>
    <row r="15" spans="1:16" ht="30" x14ac:dyDescent="0.25">
      <c r="A15" t="s">
        <v>188</v>
      </c>
      <c r="B15" t="s">
        <v>35</v>
      </c>
      <c r="C15" t="s">
        <v>36</v>
      </c>
      <c r="D15" t="s">
        <v>185</v>
      </c>
      <c r="E15" t="s">
        <v>20</v>
      </c>
      <c r="F15" t="s">
        <v>21</v>
      </c>
      <c r="G15" t="s">
        <v>62</v>
      </c>
      <c r="H15" t="b">
        <v>1</v>
      </c>
      <c r="I15">
        <v>10</v>
      </c>
      <c r="J15">
        <v>34.6666666666667</v>
      </c>
      <c r="L15">
        <v>326.72611111111098</v>
      </c>
      <c r="M15">
        <v>6.2185780727777799E-2</v>
      </c>
      <c r="N15">
        <v>326.72611111111098</v>
      </c>
      <c r="O15">
        <v>6.2185780727777799E-2</v>
      </c>
      <c r="P15" s="1" t="s">
        <v>27</v>
      </c>
    </row>
    <row r="16" spans="1:16" ht="30" x14ac:dyDescent="0.25">
      <c r="A16" t="s">
        <v>196</v>
      </c>
      <c r="B16" t="s">
        <v>35</v>
      </c>
      <c r="C16" t="s">
        <v>49</v>
      </c>
      <c r="D16" t="s">
        <v>185</v>
      </c>
      <c r="E16" t="s">
        <v>20</v>
      </c>
      <c r="F16" t="s">
        <v>37</v>
      </c>
      <c r="G16" t="s">
        <v>26</v>
      </c>
      <c r="H16" t="b">
        <v>1</v>
      </c>
      <c r="I16">
        <v>10</v>
      </c>
      <c r="J16">
        <v>21.1</v>
      </c>
      <c r="L16">
        <v>21.1</v>
      </c>
      <c r="M16">
        <v>1.5149498569620001E-3</v>
      </c>
      <c r="N16">
        <v>21.1</v>
      </c>
      <c r="O16">
        <v>1.5149498569620001E-3</v>
      </c>
      <c r="P16" s="1" t="s">
        <v>27</v>
      </c>
    </row>
    <row r="17" spans="1:16" ht="30" x14ac:dyDescent="0.25">
      <c r="A17" t="s">
        <v>225</v>
      </c>
      <c r="B17" t="s">
        <v>91</v>
      </c>
      <c r="C17" t="s">
        <v>103</v>
      </c>
      <c r="D17" t="s">
        <v>185</v>
      </c>
      <c r="E17" t="s">
        <v>20</v>
      </c>
      <c r="F17" t="s">
        <v>21</v>
      </c>
      <c r="G17" t="s">
        <v>62</v>
      </c>
      <c r="H17" t="b">
        <v>1</v>
      </c>
      <c r="I17">
        <v>10</v>
      </c>
      <c r="J17">
        <v>18</v>
      </c>
      <c r="L17">
        <v>56.548749999999998</v>
      </c>
      <c r="M17">
        <v>1.0762923587500001E-2</v>
      </c>
      <c r="N17">
        <v>56.548749999999998</v>
      </c>
      <c r="O17">
        <v>1.0762923587500001E-2</v>
      </c>
      <c r="P17" s="1" t="s">
        <v>27</v>
      </c>
    </row>
    <row r="18" spans="1:16" ht="30" x14ac:dyDescent="0.25">
      <c r="A18" t="s">
        <v>235</v>
      </c>
      <c r="B18" t="s">
        <v>17</v>
      </c>
      <c r="C18" t="s">
        <v>18</v>
      </c>
      <c r="D18" t="s">
        <v>232</v>
      </c>
      <c r="E18" t="s">
        <v>20</v>
      </c>
      <c r="F18" t="s">
        <v>21</v>
      </c>
      <c r="G18" t="s">
        <v>26</v>
      </c>
      <c r="H18" t="b">
        <v>1</v>
      </c>
      <c r="I18">
        <v>10</v>
      </c>
      <c r="J18">
        <v>22</v>
      </c>
      <c r="L18">
        <v>69.115138888888893</v>
      </c>
      <c r="M18">
        <v>4.9623682357171099E-3</v>
      </c>
      <c r="N18">
        <v>69.115138888888893</v>
      </c>
      <c r="O18">
        <v>4.9623682357171099E-3</v>
      </c>
      <c r="P18" s="1" t="s">
        <v>27</v>
      </c>
    </row>
    <row r="19" spans="1:16" ht="30" x14ac:dyDescent="0.25">
      <c r="A19" t="s">
        <v>236</v>
      </c>
      <c r="B19" t="s">
        <v>35</v>
      </c>
      <c r="C19" t="s">
        <v>36</v>
      </c>
      <c r="D19" t="s">
        <v>232</v>
      </c>
      <c r="E19" t="s">
        <v>20</v>
      </c>
      <c r="F19" t="s">
        <v>37</v>
      </c>
      <c r="G19" t="s">
        <v>26</v>
      </c>
      <c r="H19" t="b">
        <v>1</v>
      </c>
      <c r="I19">
        <v>10</v>
      </c>
      <c r="J19">
        <v>22</v>
      </c>
      <c r="L19">
        <v>11</v>
      </c>
      <c r="M19">
        <v>7.8978428561999995E-4</v>
      </c>
      <c r="N19">
        <v>11</v>
      </c>
      <c r="O19">
        <v>7.8978428561999995E-4</v>
      </c>
      <c r="P19" s="1" t="s">
        <v>27</v>
      </c>
    </row>
    <row r="20" spans="1:16" ht="30" x14ac:dyDescent="0.25">
      <c r="A20" t="s">
        <v>240</v>
      </c>
      <c r="B20" t="s">
        <v>35</v>
      </c>
      <c r="C20" t="s">
        <v>36</v>
      </c>
      <c r="D20" t="s">
        <v>232</v>
      </c>
      <c r="E20" t="s">
        <v>20</v>
      </c>
      <c r="F20" t="s">
        <v>37</v>
      </c>
      <c r="G20" t="s">
        <v>132</v>
      </c>
      <c r="H20" t="b">
        <v>1</v>
      </c>
      <c r="I20">
        <v>10</v>
      </c>
      <c r="J20">
        <v>108</v>
      </c>
      <c r="L20">
        <v>21.6</v>
      </c>
      <c r="M20">
        <v>4.752E-4</v>
      </c>
      <c r="N20">
        <v>21.6</v>
      </c>
      <c r="O20">
        <v>4.752E-4</v>
      </c>
      <c r="P20" s="1" t="s">
        <v>27</v>
      </c>
    </row>
    <row r="21" spans="1:16" ht="30" x14ac:dyDescent="0.25">
      <c r="A21" t="s">
        <v>243</v>
      </c>
      <c r="B21" t="s">
        <v>35</v>
      </c>
      <c r="C21" t="s">
        <v>49</v>
      </c>
      <c r="D21" t="s">
        <v>232</v>
      </c>
      <c r="E21" t="s">
        <v>20</v>
      </c>
      <c r="F21" t="s">
        <v>37</v>
      </c>
      <c r="G21" t="s">
        <v>26</v>
      </c>
      <c r="H21" t="b">
        <v>1</v>
      </c>
      <c r="I21">
        <v>10</v>
      </c>
      <c r="J21">
        <v>18.399999999999999</v>
      </c>
      <c r="L21">
        <v>18.399999999999999</v>
      </c>
      <c r="M21">
        <v>1.321093714128E-3</v>
      </c>
      <c r="N21">
        <v>18.399999999999999</v>
      </c>
      <c r="O21">
        <v>1.321093714128E-3</v>
      </c>
      <c r="P21" s="1" t="s">
        <v>27</v>
      </c>
    </row>
    <row r="22" spans="1:16" ht="30" x14ac:dyDescent="0.25">
      <c r="A22" t="s">
        <v>258</v>
      </c>
      <c r="B22" t="s">
        <v>64</v>
      </c>
      <c r="C22" t="s">
        <v>69</v>
      </c>
      <c r="D22" t="s">
        <v>232</v>
      </c>
      <c r="E22" t="s">
        <v>20</v>
      </c>
      <c r="F22" t="s">
        <v>21</v>
      </c>
      <c r="G22" t="s">
        <v>26</v>
      </c>
      <c r="H22" t="b">
        <v>1</v>
      </c>
      <c r="I22">
        <v>10</v>
      </c>
      <c r="J22">
        <v>22</v>
      </c>
      <c r="L22">
        <v>69.115138888888893</v>
      </c>
      <c r="M22">
        <v>4.9623682357171099E-3</v>
      </c>
      <c r="N22">
        <v>69.115138888888893</v>
      </c>
      <c r="O22">
        <v>4.9623682357171099E-3</v>
      </c>
      <c r="P22" s="1" t="s">
        <v>27</v>
      </c>
    </row>
    <row r="23" spans="1:16" ht="30" x14ac:dyDescent="0.25">
      <c r="A23" t="s">
        <v>264</v>
      </c>
      <c r="B23" t="s">
        <v>64</v>
      </c>
      <c r="C23" t="s">
        <v>75</v>
      </c>
      <c r="D23" t="s">
        <v>232</v>
      </c>
      <c r="E23" t="s">
        <v>20</v>
      </c>
      <c r="F23" t="s">
        <v>21</v>
      </c>
      <c r="G23" t="s">
        <v>26</v>
      </c>
      <c r="H23" t="b">
        <v>1</v>
      </c>
      <c r="I23">
        <v>10</v>
      </c>
      <c r="J23">
        <v>47</v>
      </c>
      <c r="L23">
        <v>295.31013888888901</v>
      </c>
      <c r="M23">
        <v>2.1202846098063999E-2</v>
      </c>
      <c r="N23">
        <v>295.31013888888901</v>
      </c>
      <c r="O23">
        <v>2.1202846098063999E-2</v>
      </c>
      <c r="P23" s="1" t="s">
        <v>27</v>
      </c>
    </row>
    <row r="24" spans="1:16" ht="30" x14ac:dyDescent="0.25">
      <c r="A24" t="s">
        <v>271</v>
      </c>
      <c r="B24" t="s">
        <v>64</v>
      </c>
      <c r="C24" t="s">
        <v>86</v>
      </c>
      <c r="D24" t="s">
        <v>232</v>
      </c>
      <c r="E24" t="s">
        <v>20</v>
      </c>
      <c r="F24" t="s">
        <v>37</v>
      </c>
      <c r="G24" t="s">
        <v>62</v>
      </c>
      <c r="H24" t="b">
        <v>1</v>
      </c>
      <c r="I24">
        <v>10</v>
      </c>
      <c r="J24">
        <v>42</v>
      </c>
      <c r="L24">
        <v>4.2</v>
      </c>
      <c r="M24">
        <v>7.9938600000000002E-4</v>
      </c>
      <c r="N24">
        <v>4.2</v>
      </c>
      <c r="O24">
        <v>7.9938600000000002E-4</v>
      </c>
      <c r="P24" s="1" t="s">
        <v>27</v>
      </c>
    </row>
    <row r="25" spans="1:16" ht="30" x14ac:dyDescent="0.25">
      <c r="A25" t="s">
        <v>291</v>
      </c>
      <c r="B25" t="s">
        <v>91</v>
      </c>
      <c r="C25" t="s">
        <v>106</v>
      </c>
      <c r="D25" t="s">
        <v>232</v>
      </c>
      <c r="E25" t="s">
        <v>20</v>
      </c>
      <c r="F25" t="s">
        <v>21</v>
      </c>
      <c r="G25" t="s">
        <v>26</v>
      </c>
      <c r="H25" t="b">
        <v>1</v>
      </c>
      <c r="I25">
        <v>10</v>
      </c>
      <c r="J25">
        <v>50</v>
      </c>
      <c r="L25">
        <v>157.079861111111</v>
      </c>
      <c r="M25">
        <v>1.12781096266298E-2</v>
      </c>
      <c r="N25">
        <v>157.079861111111</v>
      </c>
      <c r="O25">
        <v>1.12781096266298E-2</v>
      </c>
      <c r="P25" s="1" t="s">
        <v>27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2"/>
  <sheetViews>
    <sheetView topLeftCell="A25" workbookViewId="0">
      <selection activeCell="M38" sqref="M38"/>
    </sheetView>
  </sheetViews>
  <sheetFormatPr defaultRowHeight="15" x14ac:dyDescent="0.25"/>
  <cols>
    <col min="1" max="1" width="24" customWidth="1"/>
    <col min="2" max="2" width="32.140625" customWidth="1"/>
    <col min="3" max="6" width="24.7109375" customWidth="1"/>
    <col min="8" max="8" width="9.140625" customWidth="1"/>
    <col min="9" max="9" width="14.42578125" customWidth="1"/>
    <col min="10" max="10" width="15" customWidth="1"/>
  </cols>
  <sheetData>
    <row r="1" spans="1:10" x14ac:dyDescent="0.25">
      <c r="A1" s="2" t="s">
        <v>297</v>
      </c>
      <c r="B1" s="2" t="s">
        <v>298</v>
      </c>
    </row>
    <row r="2" spans="1:10" x14ac:dyDescent="0.25">
      <c r="A2" s="3" t="s">
        <v>299</v>
      </c>
      <c r="B2" s="3" t="s">
        <v>299</v>
      </c>
    </row>
    <row r="3" spans="1:10" x14ac:dyDescent="0.25">
      <c r="A3" s="4" t="s">
        <v>300</v>
      </c>
      <c r="B3" s="4" t="s">
        <v>301</v>
      </c>
    </row>
    <row r="4" spans="1:10" x14ac:dyDescent="0.25">
      <c r="A4" s="5" t="s">
        <v>302</v>
      </c>
      <c r="B4" s="5" t="s">
        <v>303</v>
      </c>
    </row>
    <row r="8" spans="1:10" x14ac:dyDescent="0.25">
      <c r="C8" s="6" t="s">
        <v>317</v>
      </c>
      <c r="D8" s="6" t="s">
        <v>318</v>
      </c>
    </row>
    <row r="9" spans="1:10" x14ac:dyDescent="0.25">
      <c r="C9" t="s">
        <v>19</v>
      </c>
      <c r="E9" t="s">
        <v>120</v>
      </c>
      <c r="G9" t="s">
        <v>185</v>
      </c>
      <c r="I9" t="s">
        <v>232</v>
      </c>
    </row>
    <row r="10" spans="1:10" x14ac:dyDescent="0.25">
      <c r="A10" s="6" t="s">
        <v>1</v>
      </c>
      <c r="B10" s="6" t="s">
        <v>2</v>
      </c>
      <c r="C10" t="s">
        <v>12</v>
      </c>
      <c r="D10" t="s">
        <v>14</v>
      </c>
      <c r="E10" t="s">
        <v>12</v>
      </c>
      <c r="F10" t="s">
        <v>14</v>
      </c>
      <c r="G10" t="s">
        <v>12</v>
      </c>
      <c r="H10" t="s">
        <v>14</v>
      </c>
      <c r="I10" t="s">
        <v>12</v>
      </c>
      <c r="J10" t="s">
        <v>14</v>
      </c>
    </row>
    <row r="11" spans="1:10" x14ac:dyDescent="0.25">
      <c r="A11" t="s">
        <v>17</v>
      </c>
      <c r="B11" t="s">
        <v>18</v>
      </c>
      <c r="C11" s="11">
        <v>0.48366733802464007</v>
      </c>
      <c r="D11" s="11">
        <v>0.44100130614964006</v>
      </c>
      <c r="E11" s="11">
        <v>1.5387950973763891</v>
      </c>
      <c r="F11" s="11">
        <v>1.5387950973763891</v>
      </c>
      <c r="G11" s="11">
        <v>0.67515460920750847</v>
      </c>
      <c r="H11" s="11">
        <v>0.67515460920750847</v>
      </c>
      <c r="I11" s="11">
        <v>0.96760015896627194</v>
      </c>
      <c r="J11" s="11">
        <v>0.92518859646627194</v>
      </c>
    </row>
    <row r="12" spans="1:10" x14ac:dyDescent="0.25">
      <c r="A12" t="s">
        <v>35</v>
      </c>
      <c r="B12" t="s">
        <v>36</v>
      </c>
      <c r="C12" s="11">
        <v>7.7537000000000005E-3</v>
      </c>
      <c r="D12" s="11">
        <v>7.6961E-3</v>
      </c>
      <c r="E12" s="11">
        <v>7.312823999999999E-3</v>
      </c>
      <c r="F12" s="11">
        <v>7.3083239999999989E-3</v>
      </c>
      <c r="G12" s="11">
        <v>0.56643978095000014</v>
      </c>
      <c r="H12" s="11">
        <v>0.56643978095000014</v>
      </c>
      <c r="I12" s="11">
        <v>6.3399842856200006E-3</v>
      </c>
      <c r="J12" s="11">
        <v>6.3339842856200007E-3</v>
      </c>
    </row>
    <row r="13" spans="1:10" x14ac:dyDescent="0.25">
      <c r="B13" t="s">
        <v>49</v>
      </c>
      <c r="C13" s="11">
        <v>9.5790971999999988E-2</v>
      </c>
      <c r="D13" s="11">
        <v>9.271537199999999E-2</v>
      </c>
      <c r="E13" s="11">
        <v>0.25294727114583238</v>
      </c>
      <c r="F13" s="11">
        <v>0.25212574347222128</v>
      </c>
      <c r="G13" s="11">
        <v>9.1038581856961995E-2</v>
      </c>
      <c r="H13" s="11">
        <v>9.0854749856962E-2</v>
      </c>
      <c r="I13" s="11">
        <v>1.9200593714128002E-2</v>
      </c>
      <c r="J13" s="11">
        <v>1.9130193714128E-2</v>
      </c>
    </row>
    <row r="14" spans="1:10" x14ac:dyDescent="0.25">
      <c r="A14" t="s">
        <v>64</v>
      </c>
      <c r="B14" t="s">
        <v>65</v>
      </c>
      <c r="C14" s="11">
        <v>5.3633181799999992E-2</v>
      </c>
      <c r="D14" s="11">
        <v>4.3013181799999994E-2</v>
      </c>
      <c r="E14" s="11">
        <v>1.647935E-2</v>
      </c>
      <c r="F14" s="11">
        <v>1.6448299999999999E-2</v>
      </c>
      <c r="G14" s="11">
        <v>3.2960999999999997E-2</v>
      </c>
      <c r="H14" s="11">
        <v>3.2960999999999997E-2</v>
      </c>
      <c r="I14" s="11">
        <v>3.4131749999999995E-2</v>
      </c>
      <c r="J14" s="11">
        <v>2.6391749999999999E-2</v>
      </c>
    </row>
    <row r="15" spans="1:10" x14ac:dyDescent="0.25">
      <c r="B15" t="s">
        <v>69</v>
      </c>
      <c r="C15" s="11">
        <v>0.82612998787777647</v>
      </c>
      <c r="D15" s="11">
        <v>0.82523626629999869</v>
      </c>
      <c r="E15" s="11">
        <v>1.0653910163888889</v>
      </c>
      <c r="F15" s="11">
        <v>1.0637793770138888</v>
      </c>
      <c r="G15" s="11">
        <v>0.37422907173333342</v>
      </c>
      <c r="H15" s="11">
        <v>0.37422907173333342</v>
      </c>
      <c r="I15" s="11">
        <v>0.42676766263849492</v>
      </c>
      <c r="J15" s="11">
        <v>0.42553879546905049</v>
      </c>
    </row>
    <row r="16" spans="1:10" x14ac:dyDescent="0.25">
      <c r="B16" t="s">
        <v>75</v>
      </c>
      <c r="C16" s="11">
        <v>0.57948029969166692</v>
      </c>
      <c r="D16" s="11">
        <v>0.51727667469166683</v>
      </c>
      <c r="E16" s="11">
        <v>0.7105994913725282</v>
      </c>
      <c r="F16" s="11">
        <v>0.71044398231002825</v>
      </c>
      <c r="G16" s="11">
        <v>0.55196216997500014</v>
      </c>
      <c r="H16" s="11">
        <v>0.54975048553055572</v>
      </c>
      <c r="I16" s="11">
        <v>0.62524578650362006</v>
      </c>
      <c r="J16" s="11">
        <v>0.58283422400361995</v>
      </c>
    </row>
    <row r="17" spans="1:10" x14ac:dyDescent="0.25">
      <c r="B17" t="s">
        <v>80</v>
      </c>
      <c r="C17" s="11">
        <v>4.4289978000000001E-2</v>
      </c>
      <c r="D17" s="11">
        <v>4.1499978E-2</v>
      </c>
      <c r="E17" s="11">
        <v>3.5634148000000004E-2</v>
      </c>
      <c r="F17" s="11">
        <v>3.5601298000000003E-2</v>
      </c>
      <c r="G17" s="11">
        <v>9.0702000000000005E-3</v>
      </c>
      <c r="H17" s="11">
        <v>9.0702000000000005E-3</v>
      </c>
      <c r="I17" s="11">
        <v>1.7941499999999999E-2</v>
      </c>
      <c r="J17" s="11">
        <v>1.7941499999999999E-2</v>
      </c>
    </row>
    <row r="18" spans="1:10" x14ac:dyDescent="0.25">
      <c r="B18" t="s">
        <v>86</v>
      </c>
      <c r="C18" s="11">
        <v>0.45379052404166642</v>
      </c>
      <c r="D18" s="11">
        <v>0.37179483654166634</v>
      </c>
      <c r="E18" s="11">
        <v>0.47571070449999997</v>
      </c>
      <c r="F18" s="11">
        <v>0.47571070449999997</v>
      </c>
      <c r="G18" s="11">
        <v>6.5571699999999997E-2</v>
      </c>
      <c r="H18" s="11">
        <v>6.5571699999999997E-2</v>
      </c>
      <c r="I18" s="11">
        <v>3.1711398000000002E-2</v>
      </c>
      <c r="J18" s="11">
        <v>3.1711398000000002E-2</v>
      </c>
    </row>
    <row r="19" spans="1:10" x14ac:dyDescent="0.25">
      <c r="A19" t="s">
        <v>91</v>
      </c>
      <c r="B19" t="s">
        <v>92</v>
      </c>
      <c r="C19" s="11">
        <v>5.8061063999999996E-2</v>
      </c>
      <c r="D19" s="11">
        <v>5.8061063999999996E-2</v>
      </c>
      <c r="E19" s="11">
        <v>5.8154975999999997E-2</v>
      </c>
      <c r="F19" s="11">
        <v>5.8154975999999997E-2</v>
      </c>
      <c r="G19" s="11">
        <v>0.69416757355000314</v>
      </c>
      <c r="H19" s="11">
        <v>0.69416757355000314</v>
      </c>
      <c r="I19" s="11">
        <v>2.1189547999999999E-2</v>
      </c>
      <c r="J19" s="11">
        <v>2.1189547999999999E-2</v>
      </c>
    </row>
    <row r="20" spans="1:10" x14ac:dyDescent="0.25">
      <c r="B20" t="s">
        <v>98</v>
      </c>
      <c r="C20" s="11">
        <v>0.68882145472499989</v>
      </c>
      <c r="D20" s="11">
        <v>0.68882145472499989</v>
      </c>
      <c r="E20" s="11">
        <v>3.5158035999999997E-2</v>
      </c>
      <c r="F20" s="11">
        <v>3.5158035999999997E-2</v>
      </c>
      <c r="G20" s="11">
        <v>0.9030765003222252</v>
      </c>
      <c r="H20" s="11">
        <v>0.9030765003222252</v>
      </c>
      <c r="I20" s="11">
        <v>0.53796220744166678</v>
      </c>
      <c r="J20" s="11">
        <v>0.53796220744166678</v>
      </c>
    </row>
    <row r="21" spans="1:10" x14ac:dyDescent="0.25">
      <c r="B21" t="s">
        <v>103</v>
      </c>
      <c r="C21" s="11">
        <v>1.6611845623125001</v>
      </c>
      <c r="D21" s="11">
        <v>1.6611845623125001</v>
      </c>
      <c r="E21" s="11">
        <v>3.6973499999999999E-2</v>
      </c>
      <c r="F21" s="11">
        <v>3.6973499999999999E-2</v>
      </c>
      <c r="G21" s="11">
        <v>1.578702681226388</v>
      </c>
      <c r="H21" s="11">
        <v>1.578702681226388</v>
      </c>
      <c r="I21" s="11">
        <v>3.5677675999999998E-2</v>
      </c>
      <c r="J21" s="11">
        <v>3.5677675999999998E-2</v>
      </c>
    </row>
    <row r="22" spans="1:10" x14ac:dyDescent="0.25">
      <c r="B22" t="s">
        <v>106</v>
      </c>
      <c r="C22" s="11">
        <v>0.28533318009444431</v>
      </c>
      <c r="D22" s="11">
        <v>0.28533318009444431</v>
      </c>
      <c r="E22" s="11">
        <v>1.2883801043883332</v>
      </c>
      <c r="F22" s="11">
        <v>1.2883801043883332</v>
      </c>
      <c r="G22" s="11">
        <v>0.69727071762222104</v>
      </c>
      <c r="H22" s="11">
        <v>0.69727071762222104</v>
      </c>
      <c r="I22" s="11">
        <v>1.831946407846351</v>
      </c>
      <c r="J22" s="11">
        <v>1.831946407846351</v>
      </c>
    </row>
    <row r="23" spans="1:10" x14ac:dyDescent="0.25">
      <c r="A23" t="s">
        <v>109</v>
      </c>
      <c r="B23" t="s">
        <v>110</v>
      </c>
      <c r="C23" s="11">
        <v>3.1061982764929161</v>
      </c>
      <c r="D23" s="11">
        <v>3.097779581336666</v>
      </c>
      <c r="E23" s="11">
        <v>3.1984321088972218</v>
      </c>
      <c r="F23" s="11">
        <v>3.137397629303472</v>
      </c>
      <c r="G23" s="11">
        <v>4.1212790261145837</v>
      </c>
      <c r="H23" s="11">
        <v>4.1212790261145837</v>
      </c>
      <c r="I23" s="11">
        <v>14.918111235887222</v>
      </c>
      <c r="J23" s="11">
        <v>14.915962383387223</v>
      </c>
    </row>
    <row r="28" spans="1:10" x14ac:dyDescent="0.25">
      <c r="A28" s="7"/>
      <c r="B28" s="7"/>
      <c r="C28" s="24" t="s">
        <v>317</v>
      </c>
      <c r="D28" s="7"/>
      <c r="E28" s="7"/>
      <c r="F28" s="7"/>
    </row>
    <row r="29" spans="1:10" x14ac:dyDescent="0.25">
      <c r="A29" s="7"/>
      <c r="B29" s="7"/>
      <c r="C29" s="25" t="s">
        <v>19</v>
      </c>
      <c r="D29" s="7" t="s">
        <v>120</v>
      </c>
      <c r="E29" s="7" t="s">
        <v>185</v>
      </c>
      <c r="F29" s="7" t="s">
        <v>232</v>
      </c>
    </row>
    <row r="30" spans="1:10" x14ac:dyDescent="0.25">
      <c r="A30" s="12" t="s">
        <v>1</v>
      </c>
      <c r="B30" s="12" t="s">
        <v>2</v>
      </c>
      <c r="C30" s="26" t="s">
        <v>12</v>
      </c>
      <c r="D30" s="8"/>
      <c r="E30" s="8"/>
      <c r="F30" s="8"/>
    </row>
    <row r="31" spans="1:10" x14ac:dyDescent="0.25">
      <c r="A31" s="9" t="s">
        <v>17</v>
      </c>
      <c r="B31" t="s">
        <v>18</v>
      </c>
      <c r="C31" s="21">
        <v>0.48366733802464007</v>
      </c>
      <c r="D31" s="22">
        <v>1.5387950973763891</v>
      </c>
      <c r="E31" s="22">
        <v>0.67515460920750847</v>
      </c>
      <c r="F31" s="22">
        <v>0.96760015896627194</v>
      </c>
    </row>
    <row r="32" spans="1:10" x14ac:dyDescent="0.25">
      <c r="A32" s="10" t="s">
        <v>35</v>
      </c>
      <c r="B32" t="s">
        <v>36</v>
      </c>
      <c r="C32" s="21">
        <v>7.7537000000000005E-3</v>
      </c>
      <c r="D32" s="21">
        <v>7.312823999999999E-3</v>
      </c>
      <c r="E32" s="22">
        <v>0.56643978095000014</v>
      </c>
      <c r="F32" s="21">
        <v>6.3399842856200006E-3</v>
      </c>
    </row>
    <row r="33" spans="1:6" x14ac:dyDescent="0.25">
      <c r="A33" s="9"/>
      <c r="B33" t="s">
        <v>49</v>
      </c>
      <c r="C33" s="21">
        <v>9.5790971999999988E-2</v>
      </c>
      <c r="D33" s="21">
        <v>0.25294727114583238</v>
      </c>
      <c r="E33" s="21">
        <v>9.1038581856961995E-2</v>
      </c>
      <c r="F33" s="21">
        <v>1.9200593714128002E-2</v>
      </c>
    </row>
    <row r="34" spans="1:6" x14ac:dyDescent="0.25">
      <c r="A34" s="10" t="s">
        <v>64</v>
      </c>
      <c r="B34" t="s">
        <v>65</v>
      </c>
      <c r="C34" s="21">
        <v>5.3633181799999992E-2</v>
      </c>
      <c r="D34" s="21">
        <v>1.647935E-2</v>
      </c>
      <c r="E34" s="21">
        <v>3.2960999999999997E-2</v>
      </c>
      <c r="F34" s="21">
        <v>3.4131749999999995E-2</v>
      </c>
    </row>
    <row r="35" spans="1:6" x14ac:dyDescent="0.25">
      <c r="A35" s="10"/>
      <c r="B35" t="s">
        <v>69</v>
      </c>
      <c r="C35" s="22">
        <v>0.82612998787777647</v>
      </c>
      <c r="D35" s="22">
        <v>1.0653910163888889</v>
      </c>
      <c r="E35" s="21">
        <v>0.37422907173333342</v>
      </c>
      <c r="F35" s="21">
        <v>0.42676766263849492</v>
      </c>
    </row>
    <row r="36" spans="1:6" x14ac:dyDescent="0.25">
      <c r="A36" s="10"/>
      <c r="B36" t="s">
        <v>75</v>
      </c>
      <c r="C36" s="22">
        <v>0.57948029969166692</v>
      </c>
      <c r="D36" s="22">
        <v>0.7105994913725282</v>
      </c>
      <c r="E36" s="22">
        <v>0.55196216997500014</v>
      </c>
      <c r="F36" s="22">
        <v>0.62524578650362006</v>
      </c>
    </row>
    <row r="37" spans="1:6" x14ac:dyDescent="0.25">
      <c r="A37" s="10"/>
      <c r="B37" t="s">
        <v>80</v>
      </c>
      <c r="C37" s="21">
        <v>4.4289978000000001E-2</v>
      </c>
      <c r="D37" s="21">
        <v>3.5634148000000004E-2</v>
      </c>
      <c r="E37" s="21">
        <v>9.0702000000000005E-3</v>
      </c>
      <c r="F37" s="21">
        <v>1.7941499999999999E-2</v>
      </c>
    </row>
    <row r="38" spans="1:6" x14ac:dyDescent="0.25">
      <c r="A38" s="9"/>
      <c r="B38" t="s">
        <v>86</v>
      </c>
      <c r="C38" s="21">
        <v>0.45379052404166642</v>
      </c>
      <c r="D38" s="21">
        <v>0.47571070449999997</v>
      </c>
      <c r="E38" s="21">
        <v>6.5571699999999997E-2</v>
      </c>
      <c r="F38" s="21">
        <v>3.1711398000000002E-2</v>
      </c>
    </row>
    <row r="39" spans="1:6" x14ac:dyDescent="0.25">
      <c r="A39" s="10" t="s">
        <v>91</v>
      </c>
      <c r="B39" t="s">
        <v>92</v>
      </c>
      <c r="C39" s="21">
        <v>5.8061063999999996E-2</v>
      </c>
      <c r="D39" s="21">
        <v>5.8154975999999997E-2</v>
      </c>
      <c r="E39" s="22">
        <v>0.69416757355000314</v>
      </c>
      <c r="F39" s="21">
        <v>2.1189547999999999E-2</v>
      </c>
    </row>
    <row r="40" spans="1:6" x14ac:dyDescent="0.25">
      <c r="A40" s="10"/>
      <c r="B40" t="s">
        <v>98</v>
      </c>
      <c r="C40" s="22">
        <v>0.68882145472499989</v>
      </c>
      <c r="D40" s="21">
        <v>3.5158035999999997E-2</v>
      </c>
      <c r="E40" s="22">
        <v>0.9030765003222252</v>
      </c>
      <c r="F40" s="22">
        <v>0.53796220744166678</v>
      </c>
    </row>
    <row r="41" spans="1:6" x14ac:dyDescent="0.25">
      <c r="A41" s="10"/>
      <c r="B41" t="s">
        <v>103</v>
      </c>
      <c r="C41" s="22">
        <v>1.6611845623125001</v>
      </c>
      <c r="D41" s="21">
        <v>3.6973499999999999E-2</v>
      </c>
      <c r="E41" s="22">
        <v>1.578702681226388</v>
      </c>
      <c r="F41" s="21">
        <v>3.5677675999999998E-2</v>
      </c>
    </row>
    <row r="42" spans="1:6" x14ac:dyDescent="0.25">
      <c r="A42" s="9"/>
      <c r="B42" t="s">
        <v>106</v>
      </c>
      <c r="C42" s="21">
        <v>0.28533318009444431</v>
      </c>
      <c r="D42" s="22">
        <v>1.2883801043883332</v>
      </c>
      <c r="E42" s="22">
        <v>0.69727071762222104</v>
      </c>
      <c r="F42" s="22">
        <v>1.831946407846351</v>
      </c>
    </row>
    <row r="43" spans="1:6" x14ac:dyDescent="0.25">
      <c r="A43" s="9" t="s">
        <v>109</v>
      </c>
      <c r="B43" t="s">
        <v>110</v>
      </c>
      <c r="C43" s="22">
        <v>3.1061982764929161</v>
      </c>
      <c r="D43" s="22">
        <v>3.1984321088972218</v>
      </c>
      <c r="E43" s="22">
        <v>4.1212790261145837</v>
      </c>
      <c r="F43" s="23">
        <v>14.918111235887199</v>
      </c>
    </row>
    <row r="47" spans="1:6" x14ac:dyDescent="0.25">
      <c r="A47" s="7"/>
      <c r="B47" s="7"/>
      <c r="C47" s="19" t="s">
        <v>319</v>
      </c>
      <c r="D47" s="17"/>
      <c r="E47" s="17"/>
      <c r="F47" s="7"/>
    </row>
    <row r="48" spans="1:6" x14ac:dyDescent="0.25">
      <c r="A48" s="7"/>
      <c r="B48" s="7"/>
      <c r="C48" s="20">
        <v>46041</v>
      </c>
      <c r="D48" s="18">
        <v>46034</v>
      </c>
      <c r="E48" s="17" t="s">
        <v>185</v>
      </c>
      <c r="F48" s="7" t="s">
        <v>232</v>
      </c>
    </row>
    <row r="49" spans="1:6" x14ac:dyDescent="0.25">
      <c r="A49" s="12" t="s">
        <v>1</v>
      </c>
      <c r="B49" s="12" t="s">
        <v>2</v>
      </c>
      <c r="C49" s="8" t="s">
        <v>14</v>
      </c>
      <c r="D49" s="8"/>
      <c r="E49" s="8"/>
      <c r="F49" s="8"/>
    </row>
    <row r="50" spans="1:6" x14ac:dyDescent="0.25">
      <c r="A50" s="9" t="s">
        <v>17</v>
      </c>
      <c r="B50" t="s">
        <v>18</v>
      </c>
      <c r="C50" s="21">
        <v>0.44100130614964006</v>
      </c>
      <c r="D50" s="22">
        <v>1.5387950973763891</v>
      </c>
      <c r="E50" s="22">
        <v>0.67515460920750847</v>
      </c>
      <c r="F50" s="22">
        <v>0.92518859646627194</v>
      </c>
    </row>
    <row r="51" spans="1:6" x14ac:dyDescent="0.25">
      <c r="A51" s="10" t="s">
        <v>35</v>
      </c>
      <c r="B51" t="s">
        <v>36</v>
      </c>
      <c r="C51" s="21">
        <v>7.6961E-3</v>
      </c>
      <c r="D51" s="21">
        <v>7.3083239999999989E-3</v>
      </c>
      <c r="E51" s="22">
        <v>0.56643978095000014</v>
      </c>
      <c r="F51" s="21">
        <v>6.3339842856200007E-3</v>
      </c>
    </row>
    <row r="52" spans="1:6" x14ac:dyDescent="0.25">
      <c r="A52" s="9"/>
      <c r="B52" t="s">
        <v>49</v>
      </c>
      <c r="C52" s="21">
        <v>9.271537199999999E-2</v>
      </c>
      <c r="D52" s="21">
        <v>0.25212574347222128</v>
      </c>
      <c r="E52" s="21">
        <v>9.0854749856962E-2</v>
      </c>
      <c r="F52" s="21">
        <v>1.9130193714128E-2</v>
      </c>
    </row>
    <row r="53" spans="1:6" x14ac:dyDescent="0.25">
      <c r="A53" s="10" t="s">
        <v>64</v>
      </c>
      <c r="B53" t="s">
        <v>65</v>
      </c>
      <c r="C53" s="21">
        <v>4.3013181799999994E-2</v>
      </c>
      <c r="D53" s="21">
        <v>1.6448299999999999E-2</v>
      </c>
      <c r="E53" s="21">
        <v>3.2960999999999997E-2</v>
      </c>
      <c r="F53" s="21">
        <v>2.6391749999999999E-2</v>
      </c>
    </row>
    <row r="54" spans="1:6" x14ac:dyDescent="0.25">
      <c r="A54" s="10"/>
      <c r="B54" t="s">
        <v>69</v>
      </c>
      <c r="C54" s="22">
        <v>0.82523626629999869</v>
      </c>
      <c r="D54" s="22">
        <v>1.0637793770138888</v>
      </c>
      <c r="E54" s="21">
        <v>0.37422907173333342</v>
      </c>
      <c r="F54" s="21">
        <v>0.42553879546905049</v>
      </c>
    </row>
    <row r="55" spans="1:6" x14ac:dyDescent="0.25">
      <c r="A55" s="10"/>
      <c r="B55" t="s">
        <v>75</v>
      </c>
      <c r="C55" s="22">
        <v>0.51727667469166683</v>
      </c>
      <c r="D55" s="22">
        <v>0.71044398231002825</v>
      </c>
      <c r="E55" s="22">
        <v>0.54975048553055572</v>
      </c>
      <c r="F55" s="22">
        <v>0.58283422400361995</v>
      </c>
    </row>
    <row r="56" spans="1:6" x14ac:dyDescent="0.25">
      <c r="A56" s="10"/>
      <c r="B56" t="s">
        <v>80</v>
      </c>
      <c r="C56" s="21">
        <v>4.1499978E-2</v>
      </c>
      <c r="D56" s="21">
        <v>3.5601298000000003E-2</v>
      </c>
      <c r="E56" s="21">
        <v>9.0702000000000005E-3</v>
      </c>
      <c r="F56" s="21">
        <v>1.7941499999999999E-2</v>
      </c>
    </row>
    <row r="57" spans="1:6" x14ac:dyDescent="0.25">
      <c r="A57" s="9"/>
      <c r="B57" t="s">
        <v>86</v>
      </c>
      <c r="C57" s="21">
        <v>0.37179483654166634</v>
      </c>
      <c r="D57" s="21">
        <v>0.47571070449999997</v>
      </c>
      <c r="E57" s="21">
        <v>6.5571699999999997E-2</v>
      </c>
      <c r="F57" s="21">
        <v>3.1711398000000002E-2</v>
      </c>
    </row>
    <row r="58" spans="1:6" x14ac:dyDescent="0.25">
      <c r="A58" s="10" t="s">
        <v>91</v>
      </c>
      <c r="B58" t="s">
        <v>92</v>
      </c>
      <c r="C58" s="21">
        <v>5.8061063999999996E-2</v>
      </c>
      <c r="D58" s="21">
        <v>5.8154975999999997E-2</v>
      </c>
      <c r="E58" s="22">
        <v>0.69416757355000314</v>
      </c>
      <c r="F58" s="21">
        <v>2.1189547999999999E-2</v>
      </c>
    </row>
    <row r="59" spans="1:6" x14ac:dyDescent="0.25">
      <c r="A59" s="10"/>
      <c r="B59" t="s">
        <v>98</v>
      </c>
      <c r="C59" s="22">
        <v>0.68882145472499989</v>
      </c>
      <c r="D59" s="21">
        <v>3.5158035999999997E-2</v>
      </c>
      <c r="E59" s="22">
        <v>0.9030765003222252</v>
      </c>
      <c r="F59" s="22">
        <v>0.53796220744166678</v>
      </c>
    </row>
    <row r="60" spans="1:6" x14ac:dyDescent="0.25">
      <c r="A60" s="10"/>
      <c r="B60" t="s">
        <v>103</v>
      </c>
      <c r="C60" s="22">
        <v>1.6611845623125001</v>
      </c>
      <c r="D60" s="21">
        <v>3.6973499999999999E-2</v>
      </c>
      <c r="E60" s="22">
        <v>1.578702681226388</v>
      </c>
      <c r="F60" s="21">
        <v>3.5677675999999998E-2</v>
      </c>
    </row>
    <row r="61" spans="1:6" x14ac:dyDescent="0.25">
      <c r="A61" s="9"/>
      <c r="B61" t="s">
        <v>106</v>
      </c>
      <c r="C61" s="21">
        <v>0.28533318009444431</v>
      </c>
      <c r="D61" s="22">
        <v>1.2883801043883332</v>
      </c>
      <c r="E61" s="22">
        <v>0.69727071762222104</v>
      </c>
      <c r="F61" s="22">
        <v>1.831946407846351</v>
      </c>
    </row>
    <row r="62" spans="1:6" x14ac:dyDescent="0.25">
      <c r="A62" s="9" t="s">
        <v>109</v>
      </c>
      <c r="B62" t="s">
        <v>110</v>
      </c>
      <c r="C62" s="23">
        <v>3.097779581336666</v>
      </c>
      <c r="D62" s="23">
        <v>3.137397629303472</v>
      </c>
      <c r="E62" s="23">
        <v>4.1212790261145837</v>
      </c>
      <c r="F62" s="23">
        <v>14.9159623833872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1"/>
  <sheetViews>
    <sheetView workbookViewId="0">
      <selection activeCell="L20" sqref="L20"/>
    </sheetView>
  </sheetViews>
  <sheetFormatPr defaultRowHeight="15" x14ac:dyDescent="0.25"/>
  <cols>
    <col min="1" max="1" width="24.5703125" customWidth="1"/>
    <col min="2" max="2" width="33.7109375" customWidth="1"/>
    <col min="3" max="3" width="31.42578125" customWidth="1"/>
    <col min="4" max="4" width="29.5703125" customWidth="1"/>
    <col min="11" max="11" width="11.28515625" customWidth="1"/>
    <col min="12" max="12" width="19" customWidth="1"/>
    <col min="13" max="13" width="16.5703125" customWidth="1"/>
  </cols>
  <sheetData>
    <row r="1" spans="1:6" x14ac:dyDescent="0.25">
      <c r="A1" s="2" t="s">
        <v>304</v>
      </c>
      <c r="B1" s="2" t="s">
        <v>305</v>
      </c>
      <c r="C1" s="2" t="s">
        <v>306</v>
      </c>
      <c r="D1" s="2" t="s">
        <v>307</v>
      </c>
    </row>
    <row r="2" spans="1:6" x14ac:dyDescent="0.25">
      <c r="A2" s="3" t="s">
        <v>308</v>
      </c>
      <c r="B2" s="3" t="s">
        <v>308</v>
      </c>
      <c r="C2" s="3" t="s">
        <v>308</v>
      </c>
      <c r="D2" s="3" t="s">
        <v>308</v>
      </c>
    </row>
    <row r="3" spans="1:6" x14ac:dyDescent="0.25">
      <c r="A3" s="4" t="s">
        <v>309</v>
      </c>
      <c r="B3" s="4" t="s">
        <v>310</v>
      </c>
      <c r="C3" s="4" t="s">
        <v>311</v>
      </c>
      <c r="D3" s="4" t="s">
        <v>312</v>
      </c>
    </row>
    <row r="4" spans="1:6" x14ac:dyDescent="0.25">
      <c r="A4" s="5" t="s">
        <v>313</v>
      </c>
      <c r="B4" s="5" t="s">
        <v>314</v>
      </c>
      <c r="C4" s="5" t="s">
        <v>315</v>
      </c>
      <c r="D4" s="5" t="s">
        <v>316</v>
      </c>
    </row>
    <row r="8" spans="1:6" x14ac:dyDescent="0.25">
      <c r="A8" s="6" t="s">
        <v>11</v>
      </c>
      <c r="C8" s="6" t="s">
        <v>317</v>
      </c>
      <c r="D8" s="6" t="s">
        <v>15</v>
      </c>
    </row>
    <row r="9" spans="1:6" x14ac:dyDescent="0.25">
      <c r="C9" t="s">
        <v>19</v>
      </c>
      <c r="D9" t="s">
        <v>120</v>
      </c>
      <c r="E9" t="s">
        <v>185</v>
      </c>
      <c r="F9" t="s">
        <v>232</v>
      </c>
    </row>
    <row r="10" spans="1:6" x14ac:dyDescent="0.25">
      <c r="A10" s="6" t="s">
        <v>1</v>
      </c>
      <c r="B10" s="6" t="s">
        <v>2</v>
      </c>
      <c r="C10" t="s">
        <v>27</v>
      </c>
      <c r="D10" t="s">
        <v>27</v>
      </c>
      <c r="E10" t="s">
        <v>27</v>
      </c>
      <c r="F10" t="s">
        <v>27</v>
      </c>
    </row>
    <row r="11" spans="1:6" x14ac:dyDescent="0.25">
      <c r="A11" t="s">
        <v>17</v>
      </c>
      <c r="B11" t="s">
        <v>18</v>
      </c>
      <c r="C11">
        <v>18.8495833333333</v>
      </c>
      <c r="D11">
        <v>232.478194444444</v>
      </c>
      <c r="E11">
        <v>188.495833333333</v>
      </c>
      <c r="F11">
        <v>69.115138888888893</v>
      </c>
    </row>
    <row r="12" spans="1:6" x14ac:dyDescent="0.25">
      <c r="A12" t="s">
        <v>35</v>
      </c>
      <c r="B12" t="s">
        <v>36</v>
      </c>
      <c r="C12">
        <v>16.2</v>
      </c>
      <c r="D12">
        <v>30.6</v>
      </c>
      <c r="E12">
        <v>326.72611111111098</v>
      </c>
      <c r="F12">
        <v>32.6</v>
      </c>
    </row>
    <row r="13" spans="1:6" x14ac:dyDescent="0.25">
      <c r="B13" t="s">
        <v>49</v>
      </c>
      <c r="C13">
        <v>37.200000000000003</v>
      </c>
      <c r="D13">
        <v>383.27486111111102</v>
      </c>
      <c r="E13">
        <v>21.1</v>
      </c>
      <c r="F13">
        <v>18.399999999999999</v>
      </c>
    </row>
    <row r="14" spans="1:6" x14ac:dyDescent="0.25">
      <c r="A14" t="s">
        <v>64</v>
      </c>
      <c r="B14" t="s">
        <v>75</v>
      </c>
      <c r="C14">
        <v>62.831944444444403</v>
      </c>
      <c r="D14">
        <v>56.548749999999998</v>
      </c>
      <c r="F14">
        <v>295.31013888888901</v>
      </c>
    </row>
    <row r="15" spans="1:6" x14ac:dyDescent="0.25">
      <c r="B15" t="s">
        <v>80</v>
      </c>
      <c r="D15">
        <v>7</v>
      </c>
    </row>
    <row r="16" spans="1:6" x14ac:dyDescent="0.25">
      <c r="B16" t="s">
        <v>69</v>
      </c>
      <c r="F16">
        <v>69.115138888888893</v>
      </c>
    </row>
    <row r="17" spans="1:13" x14ac:dyDescent="0.25">
      <c r="B17" t="s">
        <v>86</v>
      </c>
      <c r="F17">
        <v>4.2</v>
      </c>
    </row>
    <row r="18" spans="1:13" x14ac:dyDescent="0.25">
      <c r="A18" t="s">
        <v>91</v>
      </c>
      <c r="B18" t="s">
        <v>98</v>
      </c>
      <c r="C18">
        <v>163.363055555556</v>
      </c>
    </row>
    <row r="19" spans="1:13" x14ac:dyDescent="0.25">
      <c r="B19" t="s">
        <v>103</v>
      </c>
      <c r="E19">
        <v>56.548749999999998</v>
      </c>
    </row>
    <row r="20" spans="1:13" x14ac:dyDescent="0.25">
      <c r="B20" t="s">
        <v>106</v>
      </c>
      <c r="F20">
        <v>157.079861111111</v>
      </c>
    </row>
    <row r="23" spans="1:13" x14ac:dyDescent="0.25">
      <c r="A23" s="13" t="s">
        <v>11</v>
      </c>
      <c r="B23" s="7"/>
      <c r="C23" s="13" t="s">
        <v>317</v>
      </c>
    </row>
    <row r="24" spans="1:13" x14ac:dyDescent="0.25">
      <c r="A24" s="7"/>
      <c r="B24" s="7"/>
      <c r="C24" s="7" t="s">
        <v>19</v>
      </c>
    </row>
    <row r="25" spans="1:13" x14ac:dyDescent="0.25">
      <c r="A25" s="12" t="s">
        <v>1</v>
      </c>
      <c r="B25" s="12" t="s">
        <v>2</v>
      </c>
      <c r="C25" s="8" t="s">
        <v>27</v>
      </c>
      <c r="K25" s="27"/>
      <c r="L25" s="28"/>
      <c r="M25" s="27"/>
    </row>
    <row r="26" spans="1:13" x14ac:dyDescent="0.25">
      <c r="A26" s="14" t="s">
        <v>17</v>
      </c>
      <c r="B26" s="11" t="s">
        <v>18</v>
      </c>
      <c r="C26" s="21">
        <v>18.8495833333333</v>
      </c>
      <c r="K26" s="28"/>
      <c r="L26" s="28"/>
      <c r="M26" s="28"/>
    </row>
    <row r="27" spans="1:13" x14ac:dyDescent="0.25">
      <c r="A27" s="15" t="s">
        <v>35</v>
      </c>
      <c r="B27" s="11" t="s">
        <v>36</v>
      </c>
      <c r="C27" s="21">
        <v>16.2</v>
      </c>
      <c r="K27" s="29"/>
      <c r="L27" s="29"/>
      <c r="M27" s="30"/>
    </row>
    <row r="28" spans="1:13" x14ac:dyDescent="0.25">
      <c r="A28" s="14"/>
      <c r="B28" s="11" t="s">
        <v>49</v>
      </c>
      <c r="C28" s="21">
        <v>37.200000000000003</v>
      </c>
      <c r="K28" s="14"/>
      <c r="L28" s="11"/>
      <c r="M28" s="11"/>
    </row>
    <row r="29" spans="1:13" x14ac:dyDescent="0.25">
      <c r="A29" s="15" t="s">
        <v>64</v>
      </c>
      <c r="B29" s="11" t="s">
        <v>75</v>
      </c>
      <c r="C29" s="21">
        <v>62.831944444444403</v>
      </c>
      <c r="K29" s="15"/>
      <c r="L29" s="11"/>
      <c r="M29" s="11"/>
    </row>
    <row r="30" spans="1:13" x14ac:dyDescent="0.25">
      <c r="A30" s="16" t="s">
        <v>91</v>
      </c>
      <c r="B30" s="11" t="s">
        <v>98</v>
      </c>
      <c r="C30" s="21">
        <v>163.363055555556</v>
      </c>
      <c r="K30" s="14"/>
      <c r="L30" s="11"/>
      <c r="M30" s="11"/>
    </row>
    <row r="31" spans="1:13" x14ac:dyDescent="0.25">
      <c r="A31" s="3" t="s">
        <v>299</v>
      </c>
      <c r="K31" s="15"/>
      <c r="L31" s="11"/>
      <c r="M31" s="11"/>
    </row>
    <row r="32" spans="1:13" x14ac:dyDescent="0.25">
      <c r="A32" s="4" t="s">
        <v>300</v>
      </c>
      <c r="K32" s="16"/>
      <c r="L32" s="11"/>
      <c r="M32" s="11"/>
    </row>
    <row r="33" spans="1:6" x14ac:dyDescent="0.25">
      <c r="A33" s="5" t="s">
        <v>302</v>
      </c>
    </row>
    <row r="37" spans="1:6" x14ac:dyDescent="0.25">
      <c r="A37" s="6" t="s">
        <v>12</v>
      </c>
      <c r="C37" s="6" t="s">
        <v>317</v>
      </c>
    </row>
    <row r="38" spans="1:6" x14ac:dyDescent="0.25">
      <c r="A38" s="6" t="s">
        <v>1</v>
      </c>
      <c r="B38" s="6" t="s">
        <v>2</v>
      </c>
      <c r="C38" t="s">
        <v>19</v>
      </c>
      <c r="D38" t="s">
        <v>120</v>
      </c>
      <c r="E38" t="s">
        <v>185</v>
      </c>
      <c r="F38" t="s">
        <v>232</v>
      </c>
    </row>
    <row r="39" spans="1:6" x14ac:dyDescent="0.25">
      <c r="A39" t="s">
        <v>17</v>
      </c>
      <c r="B39" t="s">
        <v>18</v>
      </c>
      <c r="C39">
        <v>0.48366733802464007</v>
      </c>
      <c r="D39">
        <v>1.5387950973763891</v>
      </c>
      <c r="E39">
        <v>0.67515460920750847</v>
      </c>
      <c r="F39">
        <v>0.96760015896627194</v>
      </c>
    </row>
    <row r="40" spans="1:6" x14ac:dyDescent="0.25">
      <c r="A40" t="s">
        <v>35</v>
      </c>
      <c r="B40" t="s">
        <v>36</v>
      </c>
      <c r="C40">
        <v>7.7537000000000005E-3</v>
      </c>
      <c r="D40">
        <v>7.312823999999999E-3</v>
      </c>
      <c r="E40">
        <v>0.56643978095000014</v>
      </c>
      <c r="F40">
        <v>6.3399842856200006E-3</v>
      </c>
    </row>
    <row r="41" spans="1:6" x14ac:dyDescent="0.25">
      <c r="B41" t="s">
        <v>49</v>
      </c>
      <c r="C41">
        <v>9.5790971999999988E-2</v>
      </c>
      <c r="D41">
        <v>0.25294727114583238</v>
      </c>
      <c r="E41">
        <v>9.1038581856961995E-2</v>
      </c>
      <c r="F41">
        <v>1.9200593714128002E-2</v>
      </c>
    </row>
    <row r="42" spans="1:6" x14ac:dyDescent="0.25">
      <c r="A42" t="s">
        <v>64</v>
      </c>
      <c r="B42" t="s">
        <v>65</v>
      </c>
      <c r="C42">
        <v>5.3633181799999992E-2</v>
      </c>
      <c r="D42">
        <v>1.647935E-2</v>
      </c>
      <c r="E42">
        <v>3.2960999999999997E-2</v>
      </c>
      <c r="F42">
        <v>3.4131749999999995E-2</v>
      </c>
    </row>
    <row r="43" spans="1:6" x14ac:dyDescent="0.25">
      <c r="B43" t="s">
        <v>69</v>
      </c>
      <c r="C43">
        <v>0.82612998787777647</v>
      </c>
      <c r="D43">
        <v>1.0653910163888889</v>
      </c>
      <c r="E43">
        <v>0.37422907173333342</v>
      </c>
      <c r="F43">
        <v>0.42676766263849492</v>
      </c>
    </row>
    <row r="44" spans="1:6" x14ac:dyDescent="0.25">
      <c r="B44" t="s">
        <v>75</v>
      </c>
      <c r="C44">
        <v>0.57948029969166692</v>
      </c>
      <c r="D44">
        <v>0.7105994913725282</v>
      </c>
      <c r="E44">
        <v>0.55196216997500014</v>
      </c>
      <c r="F44">
        <v>0.62524578650362006</v>
      </c>
    </row>
    <row r="45" spans="1:6" x14ac:dyDescent="0.25">
      <c r="B45" t="s">
        <v>80</v>
      </c>
      <c r="C45">
        <v>4.4289978000000001E-2</v>
      </c>
      <c r="D45">
        <v>3.5634148000000004E-2</v>
      </c>
      <c r="E45">
        <v>9.0702000000000005E-3</v>
      </c>
      <c r="F45">
        <v>1.7941499999999999E-2</v>
      </c>
    </row>
    <row r="46" spans="1:6" x14ac:dyDescent="0.25">
      <c r="B46" t="s">
        <v>86</v>
      </c>
      <c r="C46">
        <v>0.45379052404166642</v>
      </c>
      <c r="D46">
        <v>0.47571070449999997</v>
      </c>
      <c r="E46">
        <v>6.5571699999999997E-2</v>
      </c>
      <c r="F46">
        <v>3.1711398000000002E-2</v>
      </c>
    </row>
    <row r="47" spans="1:6" x14ac:dyDescent="0.25">
      <c r="A47" t="s">
        <v>91</v>
      </c>
      <c r="B47" t="s">
        <v>92</v>
      </c>
      <c r="C47">
        <v>5.8061063999999996E-2</v>
      </c>
      <c r="D47">
        <v>5.8154975999999997E-2</v>
      </c>
      <c r="E47">
        <v>0.69416757355000314</v>
      </c>
      <c r="F47">
        <v>2.1189547999999999E-2</v>
      </c>
    </row>
    <row r="48" spans="1:6" x14ac:dyDescent="0.25">
      <c r="B48" t="s">
        <v>98</v>
      </c>
      <c r="C48">
        <v>0.68882145472499989</v>
      </c>
      <c r="D48">
        <v>3.5158035999999997E-2</v>
      </c>
      <c r="E48">
        <v>0.9030765003222252</v>
      </c>
      <c r="F48">
        <v>0.53796220744166678</v>
      </c>
    </row>
    <row r="49" spans="1:6" x14ac:dyDescent="0.25">
      <c r="B49" t="s">
        <v>103</v>
      </c>
      <c r="C49">
        <v>1.6611845623125001</v>
      </c>
      <c r="D49">
        <v>3.6973499999999999E-2</v>
      </c>
      <c r="E49">
        <v>1.578702681226388</v>
      </c>
      <c r="F49">
        <v>3.5677675999999998E-2</v>
      </c>
    </row>
    <row r="50" spans="1:6" x14ac:dyDescent="0.25">
      <c r="B50" t="s">
        <v>106</v>
      </c>
      <c r="C50">
        <v>0.28533318009444431</v>
      </c>
      <c r="D50">
        <v>1.2883801043883332</v>
      </c>
      <c r="E50">
        <v>0.69727071762222104</v>
      </c>
      <c r="F50">
        <v>1.831946407846351</v>
      </c>
    </row>
    <row r="51" spans="1:6" x14ac:dyDescent="0.25">
      <c r="A51" t="s">
        <v>109</v>
      </c>
      <c r="B51" t="s">
        <v>110</v>
      </c>
      <c r="C51">
        <v>3.1061982764929161</v>
      </c>
      <c r="D51">
        <v>3.1984321088972218</v>
      </c>
      <c r="E51">
        <v>4.1212790261145837</v>
      </c>
      <c r="F51">
        <v>14.918111235887222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2026-01-21T22:19:16Z</dcterms:created>
  <dcterms:modified xsi:type="dcterms:W3CDTF">2026-01-21T22:57:07Z</dcterms:modified>
</cp:coreProperties>
</file>