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R\Downloads\"/>
    </mc:Choice>
  </mc:AlternateContent>
  <xr:revisionPtr revIDLastSave="0" documentId="8_{EE6C739C-B907-4EE3-90B1-D0112CCA1C5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118" r:id="rId5"/>
    <pivotCache cacheId="125" r:id="rId6"/>
    <pivotCache cacheId="131" r:id="rId7"/>
  </pivotCaches>
</workbook>
</file>

<file path=xl/sharedStrings.xml><?xml version="1.0" encoding="utf-8"?>
<sst xmlns="http://schemas.openxmlformats.org/spreadsheetml/2006/main" count="777" uniqueCount="153">
  <si>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</si>
  <si>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</si>
  <si>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</si>
  <si>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</si>
  <si>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</si>
  <si>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</si>
  <si>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</si>
  <si>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</si>
  <si>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</si>
  <si>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</si>
  <si>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</si>
  <si>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</si>
  <si>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</si>
  <si>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</si>
  <si>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</si>
  <si>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</si>
  <si>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5606.1</t>
  </si>
  <si>
    <t>Kaituna</t>
  </si>
  <si>
    <t>Trout Pool</t>
  </si>
  <si>
    <t>28/04/2025</t>
  </si>
  <si>
    <t>20A</t>
  </si>
  <si>
    <t>Whole Plate</t>
  </si>
  <si>
    <t>Aphanocapsa delicatissima</t>
  </si>
  <si>
    <t>5606.2</t>
  </si>
  <si>
    <t>Aphanocapsa holsatica</t>
  </si>
  <si>
    <t>5606.3</t>
  </si>
  <si>
    <t>Microcystis aeruginosa</t>
  </si>
  <si>
    <t xml:space="preserve">Microcystis spp.
</t>
  </si>
  <si>
    <t>5606.4</t>
  </si>
  <si>
    <t>Dolichospermum circinale</t>
  </si>
  <si>
    <t>5606.5</t>
  </si>
  <si>
    <t>Microcystis wesenbergii</t>
  </si>
  <si>
    <t>5606.6</t>
  </si>
  <si>
    <t>Pseudanabaena mucicola (rod)</t>
  </si>
  <si>
    <t>5606.7</t>
  </si>
  <si>
    <t>Phormidium sp</t>
  </si>
  <si>
    <t>5606.8</t>
  </si>
  <si>
    <t>Pseudanabaena limnetica (cylinder)</t>
  </si>
  <si>
    <t>5606.9</t>
  </si>
  <si>
    <t>Dolichospermum planctonicum </t>
  </si>
  <si>
    <t>5606.10</t>
  </si>
  <si>
    <t>Limnothrix cf planktonica</t>
  </si>
  <si>
    <t>5606.11</t>
  </si>
  <si>
    <t>Dolichospermum sp</t>
  </si>
  <si>
    <t>5606.12</t>
  </si>
  <si>
    <t>Woronichinia naegeliana</t>
  </si>
  <si>
    <t>5598.1</t>
  </si>
  <si>
    <t>Rotoehu</t>
  </si>
  <si>
    <t>Kennedy Bay</t>
  </si>
  <si>
    <t>160</t>
  </si>
  <si>
    <t>5598.2</t>
  </si>
  <si>
    <t>5599.1</t>
  </si>
  <si>
    <t>Otautu</t>
  </si>
  <si>
    <t>5599.2</t>
  </si>
  <si>
    <t>5597.1</t>
  </si>
  <si>
    <t>Rotoiti</t>
  </si>
  <si>
    <t>Hinehopu</t>
  </si>
  <si>
    <t>5597.2</t>
  </si>
  <si>
    <t>5595.1</t>
  </si>
  <si>
    <t>Okawa Bay</t>
  </si>
  <si>
    <t>Dolichospermum lemmermannii</t>
  </si>
  <si>
    <t>5595.2</t>
  </si>
  <si>
    <t>5595.3</t>
  </si>
  <si>
    <t>Microcystis sp. (large)</t>
  </si>
  <si>
    <t>5595.4</t>
  </si>
  <si>
    <t>5595.5</t>
  </si>
  <si>
    <t>5595.6</t>
  </si>
  <si>
    <t>5595.7</t>
  </si>
  <si>
    <t>5595.8</t>
  </si>
  <si>
    <t>Coelosphaerium kuetzingianum</t>
  </si>
  <si>
    <t>5595.9</t>
  </si>
  <si>
    <t>5595.10</t>
  </si>
  <si>
    <t>5595.11</t>
  </si>
  <si>
    <t>5603.1</t>
  </si>
  <si>
    <t>Okere Arm</t>
  </si>
  <si>
    <t>5603.2</t>
  </si>
  <si>
    <t>5603.3</t>
  </si>
  <si>
    <t>5603.4</t>
  </si>
  <si>
    <t>5603.5</t>
  </si>
  <si>
    <t>5603.6</t>
  </si>
  <si>
    <t>5603.7</t>
  </si>
  <si>
    <t>5602.1</t>
  </si>
  <si>
    <t>Otaramarae</t>
  </si>
  <si>
    <t>5602.2</t>
  </si>
  <si>
    <t>5602.3</t>
  </si>
  <si>
    <t>5602.4</t>
  </si>
  <si>
    <t>5602.5</t>
  </si>
  <si>
    <t>5602.6</t>
  </si>
  <si>
    <t>5596.1</t>
  </si>
  <si>
    <t>Te Weta</t>
  </si>
  <si>
    <t>5596.2</t>
  </si>
  <si>
    <t>5596.3</t>
  </si>
  <si>
    <t>5596.4</t>
  </si>
  <si>
    <t>5596.5</t>
  </si>
  <si>
    <t>5596.6</t>
  </si>
  <si>
    <t>5596.7</t>
  </si>
  <si>
    <t>5596.8</t>
  </si>
  <si>
    <t>5596.9</t>
  </si>
  <si>
    <t>5596.10</t>
  </si>
  <si>
    <t>5596.11</t>
  </si>
  <si>
    <t>5605.1</t>
  </si>
  <si>
    <t>Rotorua</t>
  </si>
  <si>
    <t>Hamurana</t>
  </si>
  <si>
    <t>5605.2</t>
  </si>
  <si>
    <t>5605.3</t>
  </si>
  <si>
    <t>5605.4</t>
  </si>
  <si>
    <t>5604.1</t>
  </si>
  <si>
    <t>Holdens Bay</t>
  </si>
  <si>
    <t>5604.2</t>
  </si>
  <si>
    <t>Geitlerinema sp</t>
  </si>
  <si>
    <t>5604.3</t>
  </si>
  <si>
    <t>5604.4</t>
  </si>
  <si>
    <t>5604.5</t>
  </si>
  <si>
    <t>5604.6</t>
  </si>
  <si>
    <t>5601.1</t>
  </si>
  <si>
    <t>Ngongotaha</t>
  </si>
  <si>
    <t>5601.2</t>
  </si>
  <si>
    <t>5601.3</t>
  </si>
  <si>
    <t>5601.4</t>
  </si>
  <si>
    <t>5607.1</t>
  </si>
  <si>
    <t>Ohau Channel</t>
  </si>
  <si>
    <t>5607.2</t>
  </si>
  <si>
    <t>5607.3</t>
  </si>
  <si>
    <t>5607.4</t>
  </si>
  <si>
    <t>5600.1</t>
  </si>
  <si>
    <t>Lake Okaro</t>
  </si>
  <si>
    <t>Boat ramp</t>
  </si>
  <si>
    <t>5600.2</t>
  </si>
  <si>
    <t>5600.3</t>
  </si>
  <si>
    <t>5600.4</t>
  </si>
  <si>
    <t>5600.5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</si>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</sst>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79.570405671293" refreshedVersion="8" recordCount="76" xr:uid="{00000000-000A-0000-FFFF-FFFF02000000}">
  <cacheSource type="worksheet">
    <worksheetSource ref="A1:P77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28/04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3" maxValue="352.25"/>
    </cacheField>
    <cacheField name="NumberOfColonies" numFmtId="0">
      <sharedItems containsString="0" containsBlank="1" containsNumber="1" containsInteger="1" minValue="8" maxValue="436"/>
    </cacheField>
    <cacheField name="CellsPerMl" numFmtId="0">
      <sharedItems containsSemiMixedTypes="0" containsString="0" containsNumber="1" minValue="0.3" maxValue="9177.2338055555592"/>
    </cacheField>
    <cacheField name="TotalBioVolume" numFmtId="0">
      <sharedItems containsSemiMixedTypes="0" containsString="0" containsNumber="1" minValue="0" maxValue="0.29296550204999999"/>
    </cacheField>
    <cacheField name="PotentiallyToxicCellMl" numFmtId="0">
      <sharedItems containsSemiMixedTypes="0" containsString="0" containsNumber="1" minValue="0" maxValue="4426.5104861111104"/>
    </cacheField>
    <cacheField name="PotentiallyToxicBioVolume" numFmtId="0">
      <sharedItems containsSemiMixedTypes="0" containsString="0" containsNumber="1" minValue="0" maxValue="0.29296550204999999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79.570405902778" refreshedVersion="8" recordCount="13" xr:uid="{00000000-000A-0000-FFFF-FFFF01000000}">
  <cacheSource type="worksheet">
    <worksheetSource ref="A1:P14" sheet="Toxin Data"/>
  </cacheSource>
  <cacheFields count="16">
    <cacheField name="SampleId" numFmtId="0">
      <sharedItems/>
    </cacheField>
    <cacheField name="Location" numFmtId="0">
      <sharedItems count="4">
        <s v="Kaituna"/>
        <s v="Rotoehu"/>
        <s v="Rotoiti"/>
        <s v="Rotorua"/>
      </sharedItems>
    </cacheField>
    <cacheField name="Site" numFmtId="0">
      <sharedItems count="9">
        <s v="Trout Pool"/>
        <s v="Kennedy Bay"/>
        <s v="Otautu"/>
        <s v="Okawa Bay"/>
        <s v="Okere Arm"/>
        <s v="Otaramarae"/>
        <s v="Te Weta"/>
        <s v="Hamurana"/>
        <s v="Ngongotaha"/>
      </sharedItems>
    </cacheField>
    <cacheField name="SampleDate" numFmtId="0">
      <sharedItems count="1">
        <s v="28/04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7.85" maxValue="104.5"/>
    </cacheField>
    <cacheField name="NumberOfColonies" numFmtId="0">
      <sharedItems containsString="0" containsBlank="1" containsNumber="1" containsInteger="1" minValue="36" maxValue="72"/>
    </cacheField>
    <cacheField name="CellsPerMl" numFmtId="0">
      <sharedItems containsSemiMixedTypes="0" containsString="0" containsNumber="1" minValue="2.9" maxValue="3289.8806111111098"/>
    </cacheField>
    <cacheField name="TotalBioVolume" numFmtId="0">
      <sharedItems containsSemiMixedTypes="0" containsString="0" containsNumber="1" minValue="2.5230000000000001E-4" maxValue="0.286219613166667"/>
    </cacheField>
    <cacheField name="PotentiallyToxicCellMl" numFmtId="0">
      <sharedItems containsSemiMixedTypes="0" containsString="0" containsNumber="1" minValue="2.9" maxValue="3289.8806111111098"/>
    </cacheField>
    <cacheField name="PotentiallyToxicBioVolume" numFmtId="0">
      <sharedItems containsSemiMixedTypes="0" containsString="0" containsNumber="1" minValue="2.5230000000000001E-4" maxValue="0.286219613166667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79.570406018516" refreshedVersion="8" recordCount="76" xr:uid="{00000000-000A-0000-FFFF-FFFF00000000}">
  <cacheSource type="worksheet">
    <worksheetSource ref="A1:P77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28/04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3" maxValue="352.25"/>
    </cacheField>
    <cacheField name="NumberOfColonies" numFmtId="0">
      <sharedItems containsString="0" containsBlank="1" containsNumber="1" containsInteger="1" minValue="8" maxValue="436"/>
    </cacheField>
    <cacheField name="CellsPerMl" numFmtId="0">
      <sharedItems containsSemiMixedTypes="0" containsString="0" containsNumber="1" minValue="0.3" maxValue="9177.2338055555592"/>
    </cacheField>
    <cacheField name="TotalBioVolume" numFmtId="0">
      <sharedItems containsSemiMixedTypes="0" containsString="0" containsNumber="1" minValue="0" maxValue="0.29296550204999999"/>
    </cacheField>
    <cacheField name="PotentiallyToxicCellMl" numFmtId="0">
      <sharedItems containsSemiMixedTypes="0" containsString="0" containsNumber="1" minValue="0" maxValue="4426.5104861111104"/>
    </cacheField>
    <cacheField name="PotentiallyToxicBioVolume" numFmtId="0">
      <sharedItems containsSemiMixedTypes="0" containsString="0" containsNumber="1" minValue="0" maxValue="0.29296550204999999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5606.1"/>
    <x v="0"/>
    <x v="0"/>
    <x v="0"/>
    <s v="20A"/>
    <s v="Whole Plate"/>
    <s v="Aphanocapsa delicatissima"/>
    <b v="0"/>
    <n v="10"/>
    <n v="63.631578947368403"/>
    <m/>
    <n v="120.9"/>
    <n v="1.2089999999999999E-5"/>
    <n v="0"/>
    <n v="0"/>
    <m/>
  </r>
  <r>
    <s v="5606.2"/>
    <x v="0"/>
    <x v="0"/>
    <x v="0"/>
    <s v="20A"/>
    <s v="Whole Plate"/>
    <s v="Aphanocapsa holsatica"/>
    <b v="0"/>
    <n v="10"/>
    <n v="23.9"/>
    <n v="386"/>
    <n v="970.34"/>
    <n v="4.8516999999999999E-4"/>
    <n v="0"/>
    <n v="0"/>
    <m/>
  </r>
  <r>
    <s v="5606.3"/>
    <x v="0"/>
    <x v="0"/>
    <x v="0"/>
    <s v="20A"/>
    <s v="Whole Plate"/>
    <s v="Microcystis aeruginosa"/>
    <b v="1"/>
    <n v="10"/>
    <n v="25.5"/>
    <m/>
    <n v="5.0999999999999996"/>
    <n v="4.437E-4"/>
    <n v="5.0999999999999996"/>
    <n v="4.437E-4"/>
    <s v="Microcystis spp._x000a_"/>
  </r>
  <r>
    <s v="5606.4"/>
    <x v="0"/>
    <x v="0"/>
    <x v="0"/>
    <s v="20A"/>
    <s v="Whole Plate"/>
    <s v="Dolichospermum circinale"/>
    <b v="1"/>
    <n v="10"/>
    <n v="49"/>
    <m/>
    <n v="4.9000000000000004"/>
    <n v="2.8206360000000001E-3"/>
    <n v="4.9000000000000004"/>
    <n v="2.8206360000000001E-3"/>
    <m/>
  </r>
  <r>
    <s v="5606.5"/>
    <x v="0"/>
    <x v="0"/>
    <x v="0"/>
    <s v="20A"/>
    <s v="Whole Plate"/>
    <s v="Microcystis wesenbergii"/>
    <b v="1"/>
    <n v="10"/>
    <n v="53"/>
    <m/>
    <n v="5.3"/>
    <n v="1.008749E-3"/>
    <n v="5.3"/>
    <n v="1.008749E-3"/>
    <s v="Microcystis spp._x000a_"/>
  </r>
  <r>
    <s v="5606.6"/>
    <x v="0"/>
    <x v="0"/>
    <x v="0"/>
    <s v="20A"/>
    <s v="Whole Plate"/>
    <s v="Pseudanabaena mucicola (rod)"/>
    <b v="0"/>
    <n v="10"/>
    <n v="3"/>
    <m/>
    <n v="0.3"/>
    <n v="1.38E-5"/>
    <n v="0"/>
    <n v="0"/>
    <m/>
  </r>
  <r>
    <s v="5606.7"/>
    <x v="0"/>
    <x v="0"/>
    <x v="0"/>
    <s v="20A"/>
    <s v="Whole Plate"/>
    <s v="Phormidium sp"/>
    <b v="1"/>
    <n v="10"/>
    <n v="20.3333333333333"/>
    <m/>
    <n v="6.1"/>
    <n v="5.6937399999999999E-4"/>
    <n v="6.1"/>
    <n v="5.6937399999999999E-4"/>
    <m/>
  </r>
  <r>
    <s v="5606.8"/>
    <x v="0"/>
    <x v="0"/>
    <x v="0"/>
    <s v="20A"/>
    <s v="Whole Plate"/>
    <s v="Pseudanabaena limnetica (cylinder)"/>
    <b v="1"/>
    <n v="10"/>
    <n v="11.5"/>
    <m/>
    <n v="2.2999999999999998"/>
    <n v="1.817E-4"/>
    <n v="2.2999999999999998"/>
    <n v="1.817E-4"/>
    <m/>
  </r>
  <r>
    <s v="5606.9"/>
    <x v="0"/>
    <x v="0"/>
    <x v="0"/>
    <s v="20A"/>
    <s v="Whole Plate"/>
    <s v="Dolichospermum planctonicum "/>
    <b v="1"/>
    <n v="10"/>
    <n v="16"/>
    <m/>
    <n v="3.2"/>
    <n v="1.1839999999999999E-3"/>
    <n v="3.2"/>
    <n v="1.1839999999999999E-3"/>
    <m/>
  </r>
  <r>
    <s v="5606.10"/>
    <x v="0"/>
    <x v="0"/>
    <x v="0"/>
    <s v="20A"/>
    <s v="Whole Plate"/>
    <s v="Limnothrix cf planktonica"/>
    <b v="0"/>
    <n v="10"/>
    <n v="19"/>
    <m/>
    <n v="1.9"/>
    <n v="2.9829999999999999E-4"/>
    <n v="0"/>
    <n v="0"/>
    <m/>
  </r>
  <r>
    <s v="5606.11"/>
    <x v="0"/>
    <x v="0"/>
    <x v="0"/>
    <s v="20A"/>
    <s v="Whole Plate"/>
    <s v="Dolichospermum sp"/>
    <b v="1"/>
    <n v="10"/>
    <n v="40"/>
    <m/>
    <n v="4"/>
    <n v="7.6000000000000004E-4"/>
    <n v="4"/>
    <n v="7.6000000000000004E-4"/>
    <m/>
  </r>
  <r>
    <s v="5606.12"/>
    <x v="0"/>
    <x v="0"/>
    <x v="0"/>
    <s v="20A"/>
    <s v="Whole Plate"/>
    <s v="Woronichinia naegeliana"/>
    <b v="1"/>
    <n v="10"/>
    <n v="56"/>
    <m/>
    <n v="5.6"/>
    <n v="0"/>
    <n v="5.6"/>
    <n v="0"/>
    <m/>
  </r>
  <r>
    <s v="5598.1"/>
    <x v="1"/>
    <x v="1"/>
    <x v="0"/>
    <s v="20A"/>
    <s v="160"/>
    <s v="Microcystis aeruginosa"/>
    <b v="1"/>
    <n v="10"/>
    <n v="18.7"/>
    <n v="36"/>
    <n v="3289.8806111111098"/>
    <n v="0.286219613166667"/>
    <n v="3289.8806111111098"/>
    <n v="0.286219613166667"/>
    <s v="Microcystis spp._x000a_"/>
  </r>
  <r>
    <s v="5598.2"/>
    <x v="1"/>
    <x v="1"/>
    <x v="0"/>
    <s v="20A"/>
    <s v="160"/>
    <s v="Pseudanabaena limnetica (cylinder)"/>
    <b v="1"/>
    <n v="10"/>
    <n v="17.5"/>
    <m/>
    <n v="109.95590277777799"/>
    <n v="8.6865163194444605E-3"/>
    <n v="109.95590277777799"/>
    <n v="8.6865163194444605E-3"/>
    <m/>
  </r>
  <r>
    <s v="5599.1"/>
    <x v="1"/>
    <x v="2"/>
    <x v="0"/>
    <s v="20A"/>
    <s v="160"/>
    <s v="Microcystis aeruginosa"/>
    <b v="1"/>
    <n v="10"/>
    <n v="7.85"/>
    <n v="72"/>
    <n v="2268.8615138888899"/>
    <n v="0.19739095170833301"/>
    <n v="2268.8615138888899"/>
    <n v="0.19739095170833301"/>
    <s v="Microcystis spp._x000a_"/>
  </r>
  <r>
    <s v="5599.2"/>
    <x v="1"/>
    <x v="2"/>
    <x v="0"/>
    <s v="20A"/>
    <s v="160"/>
    <s v="Pseudanabaena limnetica (cylinder)"/>
    <b v="1"/>
    <n v="10"/>
    <n v="16"/>
    <m/>
    <n v="50.265555555555601"/>
    <n v="3.9709788888888896E-3"/>
    <n v="50.265555555555601"/>
    <n v="3.9709788888888896E-3"/>
    <m/>
  </r>
  <r>
    <s v="5597.1"/>
    <x v="2"/>
    <x v="3"/>
    <x v="0"/>
    <s v="20A"/>
    <s v="160"/>
    <s v="Aphanocapsa holsatica"/>
    <b v="0"/>
    <n v="10"/>
    <n v="21.8"/>
    <n v="114"/>
    <n v="9177.2338055555592"/>
    <n v="4.5886169027777798E-3"/>
    <n v="0"/>
    <n v="0"/>
    <m/>
  </r>
  <r>
    <s v="5597.2"/>
    <x v="2"/>
    <x v="3"/>
    <x v="0"/>
    <s v="20A"/>
    <s v="160"/>
    <s v="Aphanocapsa delicatissima"/>
    <b v="0"/>
    <n v="10"/>
    <n v="57.6666666666667"/>
    <m/>
    <n v="543.496319444444"/>
    <n v="5.4349631944444403E-5"/>
    <n v="0"/>
    <n v="0"/>
    <m/>
  </r>
  <r>
    <s v="5595.1"/>
    <x v="2"/>
    <x v="4"/>
    <x v="0"/>
    <s v="20A"/>
    <s v="Whole Plate"/>
    <s v="Dolichospermum lemmermannii"/>
    <b v="1"/>
    <n v="10"/>
    <n v="52.15"/>
    <n v="58"/>
    <n v="406.77"/>
    <n v="4.4744699999999998E-2"/>
    <n v="406.77"/>
    <n v="4.4744699999999998E-2"/>
    <m/>
  </r>
  <r>
    <s v="5595.2"/>
    <x v="2"/>
    <x v="4"/>
    <x v="0"/>
    <s v="20A"/>
    <s v="Whole Plate"/>
    <s v="Aphanocapsa delicatissima"/>
    <b v="0"/>
    <n v="10"/>
    <n v="106.25"/>
    <n v="34"/>
    <n v="573.75"/>
    <n v="5.7374999999999999E-5"/>
    <n v="0"/>
    <n v="0"/>
    <m/>
  </r>
  <r>
    <s v="5595.3"/>
    <x v="2"/>
    <x v="4"/>
    <x v="0"/>
    <s v="20A"/>
    <s v="Whole Plate"/>
    <s v="Microcystis sp. (large)"/>
    <b v="1"/>
    <n v="10"/>
    <n v="24.5555555555556"/>
    <m/>
    <n v="22.1"/>
    <n v="2.0566260000000002E-3"/>
    <n v="22.1"/>
    <n v="2.0566260000000002E-3"/>
    <s v="Microcystis spp._x000a_"/>
  </r>
  <r>
    <s v="5595.4"/>
    <x v="2"/>
    <x v="4"/>
    <x v="0"/>
    <s v="20A"/>
    <s v="Whole Plate"/>
    <s v="Woronichinia naegeliana"/>
    <b v="1"/>
    <n v="10"/>
    <n v="266"/>
    <m/>
    <n v="452.2"/>
    <n v="0"/>
    <n v="452.2"/>
    <n v="0"/>
    <m/>
  </r>
  <r>
    <s v="5595.5"/>
    <x v="2"/>
    <x v="4"/>
    <x v="0"/>
    <s v="20A"/>
    <s v="Whole Plate"/>
    <s v="Microcystis wesenbergii"/>
    <b v="1"/>
    <n v="10"/>
    <n v="50.909090909090899"/>
    <m/>
    <n v="56"/>
    <n v="1.065848E-2"/>
    <n v="56"/>
    <n v="1.065848E-2"/>
    <s v="Microcystis spp._x000a_"/>
  </r>
  <r>
    <s v="5595.6"/>
    <x v="2"/>
    <x v="4"/>
    <x v="0"/>
    <s v="20A"/>
    <s v="Whole Plate"/>
    <s v="Aphanocapsa holsatica"/>
    <b v="0"/>
    <n v="10"/>
    <n v="37.818181818181799"/>
    <m/>
    <n v="41.6"/>
    <n v="2.0800000000000001E-5"/>
    <n v="0"/>
    <n v="0"/>
    <m/>
  </r>
  <r>
    <s v="5595.7"/>
    <x v="2"/>
    <x v="4"/>
    <x v="0"/>
    <s v="20A"/>
    <s v="Whole Plate"/>
    <s v="Dolichospermum circinale"/>
    <b v="1"/>
    <n v="10"/>
    <n v="4"/>
    <m/>
    <n v="0.4"/>
    <n v="2.30256E-4"/>
    <n v="0.4"/>
    <n v="2.30256E-4"/>
    <m/>
  </r>
  <r>
    <s v="5595.8"/>
    <x v="2"/>
    <x v="4"/>
    <x v="0"/>
    <s v="20A"/>
    <s v="Whole Plate"/>
    <s v="Coelosphaerium kuetzingianum"/>
    <b v="0"/>
    <n v="10"/>
    <n v="123.75"/>
    <m/>
    <n v="49.5"/>
    <n v="4.4005500000000001E-4"/>
    <n v="0"/>
    <n v="0"/>
    <m/>
  </r>
  <r>
    <s v="5595.9"/>
    <x v="2"/>
    <x v="4"/>
    <x v="0"/>
    <s v="20A"/>
    <s v="Whole Plate"/>
    <s v="Pseudanabaena mucicola (rod)"/>
    <b v="0"/>
    <n v="10"/>
    <n v="9"/>
    <m/>
    <n v="0.9"/>
    <n v="4.1399999999999997E-5"/>
    <n v="0"/>
    <n v="0"/>
    <m/>
  </r>
  <r>
    <s v="5595.10"/>
    <x v="2"/>
    <x v="4"/>
    <x v="0"/>
    <s v="20A"/>
    <s v="Whole Plate"/>
    <s v="Dolichospermum planctonicum "/>
    <b v="1"/>
    <n v="10"/>
    <n v="25"/>
    <m/>
    <n v="25"/>
    <n v="9.2499999999999995E-3"/>
    <n v="25"/>
    <n v="9.2499999999999995E-3"/>
    <m/>
  </r>
  <r>
    <s v="5595.11"/>
    <x v="2"/>
    <x v="4"/>
    <x v="0"/>
    <s v="20A"/>
    <s v="Whole Plate"/>
    <s v="Pseudanabaena limnetica (cylinder)"/>
    <b v="1"/>
    <n v="10"/>
    <n v="6"/>
    <m/>
    <n v="0.6"/>
    <n v="4.74E-5"/>
    <n v="0.6"/>
    <n v="4.74E-5"/>
    <m/>
  </r>
  <r>
    <s v="5603.1"/>
    <x v="2"/>
    <x v="5"/>
    <x v="0"/>
    <s v="20A"/>
    <s v="Whole Plate"/>
    <s v="Aphanocapsa holsatica"/>
    <b v="0"/>
    <n v="10"/>
    <n v="30.8"/>
    <n v="228"/>
    <n v="763.84"/>
    <n v="3.8192E-4"/>
    <n v="0"/>
    <n v="0"/>
    <m/>
  </r>
  <r>
    <s v="5603.2"/>
    <x v="2"/>
    <x v="5"/>
    <x v="0"/>
    <s v="20A"/>
    <s v="Whole Plate"/>
    <s v="Aphanocapsa delicatissima"/>
    <b v="0"/>
    <n v="10"/>
    <n v="142.388888888889"/>
    <m/>
    <n v="256.3"/>
    <n v="2.563E-5"/>
    <n v="0"/>
    <n v="0"/>
    <m/>
  </r>
  <r>
    <s v="5603.3"/>
    <x v="2"/>
    <x v="5"/>
    <x v="0"/>
    <s v="20A"/>
    <s v="Whole Plate"/>
    <s v="Pseudanabaena limnetica (cylinder)"/>
    <b v="1"/>
    <n v="10"/>
    <n v="22"/>
    <m/>
    <n v="6.6"/>
    <n v="5.2139999999999999E-4"/>
    <n v="6.6"/>
    <n v="5.2139999999999999E-4"/>
    <m/>
  </r>
  <r>
    <s v="5603.4"/>
    <x v="2"/>
    <x v="5"/>
    <x v="0"/>
    <s v="20A"/>
    <s v="Whole Plate"/>
    <s v="Microcystis aeruginosa"/>
    <b v="1"/>
    <n v="10"/>
    <n v="29"/>
    <m/>
    <n v="2.9"/>
    <n v="2.5230000000000001E-4"/>
    <n v="2.9"/>
    <n v="2.5230000000000001E-4"/>
    <s v="Microcystis spp._x000a_"/>
  </r>
  <r>
    <s v="5603.5"/>
    <x v="2"/>
    <x v="5"/>
    <x v="0"/>
    <s v="20A"/>
    <s v="Whole Plate"/>
    <s v="Phormidium sp"/>
    <b v="1"/>
    <n v="10"/>
    <n v="29.6666666666667"/>
    <m/>
    <n v="8.9"/>
    <n v="8.3072599999999995E-4"/>
    <n v="8.9"/>
    <n v="8.3072599999999995E-4"/>
    <m/>
  </r>
  <r>
    <s v="5603.6"/>
    <x v="2"/>
    <x v="5"/>
    <x v="0"/>
    <s v="20A"/>
    <s v="Whole Plate"/>
    <s v="Dolichospermum planctonicum "/>
    <b v="1"/>
    <n v="10"/>
    <n v="35.5"/>
    <m/>
    <n v="7.1"/>
    <n v="2.627E-3"/>
    <n v="7.1"/>
    <n v="2.627E-3"/>
    <m/>
  </r>
  <r>
    <s v="5603.7"/>
    <x v="2"/>
    <x v="5"/>
    <x v="0"/>
    <s v="20A"/>
    <s v="Whole Plate"/>
    <s v="Microcystis aeruginosa"/>
    <b v="1"/>
    <n v="10"/>
    <n v="103"/>
    <m/>
    <n v="10.3"/>
    <n v="8.9610000000000004E-4"/>
    <n v="10.3"/>
    <n v="8.9610000000000004E-4"/>
    <s v="Microcystis spp._x000a_"/>
  </r>
  <r>
    <s v="5602.1"/>
    <x v="2"/>
    <x v="6"/>
    <x v="0"/>
    <s v="20A"/>
    <s v="Whole Plate"/>
    <s v="Aphanocapsa holsatica"/>
    <b v="0"/>
    <n v="10"/>
    <n v="18.8"/>
    <n v="436"/>
    <n v="857.28"/>
    <n v="4.2863999999999999E-4"/>
    <n v="0"/>
    <n v="0"/>
    <m/>
  </r>
  <r>
    <s v="5602.2"/>
    <x v="2"/>
    <x v="6"/>
    <x v="0"/>
    <s v="20A"/>
    <s v="Whole Plate"/>
    <s v="Microcystis aeruginosa"/>
    <b v="1"/>
    <n v="10"/>
    <n v="35.75"/>
    <m/>
    <n v="14.3"/>
    <n v="1.2440999999999999E-3"/>
    <n v="14.3"/>
    <n v="1.2440999999999999E-3"/>
    <s v="Microcystis spp._x000a_"/>
  </r>
  <r>
    <s v="5602.3"/>
    <x v="2"/>
    <x v="6"/>
    <x v="0"/>
    <s v="20A"/>
    <s v="Whole Plate"/>
    <s v="Phormidium sp"/>
    <b v="1"/>
    <n v="10"/>
    <n v="64"/>
    <m/>
    <n v="6.4"/>
    <n v="5.9737600000000005E-4"/>
    <n v="6.4"/>
    <n v="5.9737600000000005E-4"/>
    <m/>
  </r>
  <r>
    <s v="5602.4"/>
    <x v="2"/>
    <x v="6"/>
    <x v="0"/>
    <s v="20A"/>
    <s v="Whole Plate"/>
    <s v="Dolichospermum lemmermannii"/>
    <b v="1"/>
    <n v="10"/>
    <n v="58.7"/>
    <n v="8"/>
    <n v="164.36"/>
    <n v="1.8079600000000001E-2"/>
    <n v="164.36"/>
    <n v="1.8079600000000001E-2"/>
    <m/>
  </r>
  <r>
    <s v="5602.5"/>
    <x v="2"/>
    <x v="6"/>
    <x v="0"/>
    <s v="20A"/>
    <s v="Whole Plate"/>
    <s v="Aphanocapsa delicatissima"/>
    <b v="0"/>
    <n v="10"/>
    <n v="98.8"/>
    <n v="21"/>
    <n v="405.08"/>
    <n v="4.0507999999999999E-5"/>
    <n v="0"/>
    <n v="0"/>
    <m/>
  </r>
  <r>
    <s v="5602.6"/>
    <x v="2"/>
    <x v="6"/>
    <x v="0"/>
    <s v="20A"/>
    <s v="Whole Plate"/>
    <s v="Dolichospermum planctonicum "/>
    <b v="1"/>
    <n v="10"/>
    <n v="17.95"/>
    <n v="18"/>
    <n v="68.209999999999994"/>
    <n v="2.5237699999999998E-2"/>
    <n v="68.209999999999994"/>
    <n v="2.5237699999999998E-2"/>
    <m/>
  </r>
  <r>
    <s v="5596.1"/>
    <x v="2"/>
    <x v="7"/>
    <x v="0"/>
    <s v="20A"/>
    <s v="Whole Plate"/>
    <s v="Aphanocapsa delicatissima"/>
    <b v="0"/>
    <n v="10"/>
    <n v="85.95"/>
    <n v="43"/>
    <n v="541.48500000000001"/>
    <n v="5.4148499999999998E-5"/>
    <n v="0"/>
    <n v="0"/>
    <m/>
  </r>
  <r>
    <s v="5596.2"/>
    <x v="2"/>
    <x v="7"/>
    <x v="0"/>
    <s v="20A"/>
    <s v="Whole Plate"/>
    <s v="Dolichospermum planctonicum "/>
    <b v="1"/>
    <n v="10"/>
    <n v="29.684210526315798"/>
    <m/>
    <n v="56.4"/>
    <n v="2.0868000000000001E-2"/>
    <n v="56.4"/>
    <n v="2.0868000000000001E-2"/>
    <m/>
  </r>
  <r>
    <s v="5596.3"/>
    <x v="2"/>
    <x v="7"/>
    <x v="0"/>
    <s v="20A"/>
    <s v="Whole Plate"/>
    <s v="Aphanocapsa holsatica"/>
    <b v="0"/>
    <n v="10"/>
    <n v="34"/>
    <n v="73"/>
    <n v="316.2"/>
    <n v="1.5809999999999999E-4"/>
    <n v="0"/>
    <n v="0"/>
    <m/>
  </r>
  <r>
    <s v="5596.4"/>
    <x v="2"/>
    <x v="7"/>
    <x v="0"/>
    <s v="20A"/>
    <s v="Whole Plate"/>
    <s v="Microcystis aeruginosa"/>
    <b v="1"/>
    <n v="10"/>
    <n v="59.285714285714299"/>
    <m/>
    <n v="41.5"/>
    <n v="3.6105E-3"/>
    <n v="41.5"/>
    <n v="3.6105E-3"/>
    <s v="Microcystis spp._x000a_"/>
  </r>
  <r>
    <s v="5596.5"/>
    <x v="2"/>
    <x v="7"/>
    <x v="0"/>
    <s v="20A"/>
    <s v="Whole Plate"/>
    <s v="Dolichospermum lemmermannii"/>
    <b v="1"/>
    <n v="10"/>
    <n v="34.857142857142897"/>
    <m/>
    <n v="24.4"/>
    <n v="2.6840000000000002E-3"/>
    <n v="24.4"/>
    <n v="2.6840000000000002E-3"/>
    <m/>
  </r>
  <r>
    <s v="5596.6"/>
    <x v="2"/>
    <x v="7"/>
    <x v="0"/>
    <s v="20A"/>
    <s v="Whole Plate"/>
    <s v="Dolichospermum circinale"/>
    <b v="1"/>
    <n v="10"/>
    <n v="18"/>
    <m/>
    <n v="1.8"/>
    <n v="1.036152E-3"/>
    <n v="1.8"/>
    <n v="1.036152E-3"/>
    <m/>
  </r>
  <r>
    <s v="5596.7"/>
    <x v="2"/>
    <x v="7"/>
    <x v="0"/>
    <s v="20A"/>
    <s v="Whole Plate"/>
    <s v="Phormidium sp"/>
    <b v="1"/>
    <n v="10"/>
    <n v="20.75"/>
    <m/>
    <n v="8.3000000000000007"/>
    <n v="7.7472200000000004E-4"/>
    <n v="8.3000000000000007"/>
    <n v="7.7472200000000004E-4"/>
    <m/>
  </r>
  <r>
    <s v="5596.8"/>
    <x v="2"/>
    <x v="7"/>
    <x v="0"/>
    <s v="20A"/>
    <s v="Whole Plate"/>
    <s v="Pseudanabaena limnetica (cylinder)"/>
    <b v="1"/>
    <n v="10"/>
    <n v="9"/>
    <m/>
    <n v="0.9"/>
    <n v="7.1099999999999994E-5"/>
    <n v="0.9"/>
    <n v="7.1099999999999994E-5"/>
    <m/>
  </r>
  <r>
    <s v="5596.9"/>
    <x v="2"/>
    <x v="7"/>
    <x v="0"/>
    <s v="20A"/>
    <s v="Whole Plate"/>
    <s v="Microcystis wesenbergii"/>
    <b v="1"/>
    <n v="10"/>
    <n v="30.25"/>
    <m/>
    <n v="12.1"/>
    <n v="2.3029930000000001E-3"/>
    <n v="12.1"/>
    <n v="2.3029930000000001E-3"/>
    <s v="Microcystis spp._x000a_"/>
  </r>
  <r>
    <s v="5596.10"/>
    <x v="2"/>
    <x v="7"/>
    <x v="0"/>
    <s v="20A"/>
    <s v="Whole Plate"/>
    <s v="Pseudanabaena mucicola (rod)"/>
    <b v="0"/>
    <n v="10"/>
    <n v="5"/>
    <m/>
    <n v="1"/>
    <n v="4.6E-5"/>
    <n v="0"/>
    <n v="0"/>
    <m/>
  </r>
  <r>
    <s v="5596.11"/>
    <x v="2"/>
    <x v="7"/>
    <x v="0"/>
    <s v="20A"/>
    <s v="Whole Plate"/>
    <s v="Limnothrix cf planktonica"/>
    <b v="0"/>
    <n v="10"/>
    <n v="20"/>
    <m/>
    <n v="2"/>
    <n v="3.1399999999999999E-4"/>
    <n v="0"/>
    <n v="0"/>
    <m/>
  </r>
  <r>
    <s v="5605.1"/>
    <x v="3"/>
    <x v="8"/>
    <x v="0"/>
    <s v="20A"/>
    <s v="Whole Plate"/>
    <s v="Microcystis aeruginosa"/>
    <b v="1"/>
    <n v="10"/>
    <n v="78"/>
    <m/>
    <n v="7.8"/>
    <n v="6.7860000000000001E-4"/>
    <n v="7.8"/>
    <n v="6.7860000000000001E-4"/>
    <s v="Microcystis spp._x000a_"/>
  </r>
  <r>
    <s v="5605.2"/>
    <x v="3"/>
    <x v="8"/>
    <x v="0"/>
    <s v="20A"/>
    <s v="Whole Plate"/>
    <s v="Dolichospermum circinale"/>
    <b v="1"/>
    <n v="10"/>
    <n v="14"/>
    <m/>
    <n v="1.4"/>
    <n v="8.0589599999999996E-4"/>
    <n v="1.4"/>
    <n v="8.0589599999999996E-4"/>
    <m/>
  </r>
  <r>
    <s v="5605.3"/>
    <x v="3"/>
    <x v="8"/>
    <x v="0"/>
    <s v="20A"/>
    <s v="Whole Plate"/>
    <s v="Phormidium sp"/>
    <b v="1"/>
    <n v="10"/>
    <n v="20"/>
    <m/>
    <n v="2"/>
    <n v="1.8667999999999999E-4"/>
    <n v="2"/>
    <n v="1.8667999999999999E-4"/>
    <m/>
  </r>
  <r>
    <s v="5605.4"/>
    <x v="3"/>
    <x v="8"/>
    <x v="0"/>
    <s v="20A"/>
    <s v="Whole Plate"/>
    <s v="Pseudanabaena limnetica (cylinder)"/>
    <b v="1"/>
    <n v="10"/>
    <n v="13.5"/>
    <m/>
    <n v="2.7"/>
    <n v="2.1330000000000001E-4"/>
    <n v="2.7"/>
    <n v="2.1330000000000001E-4"/>
    <m/>
  </r>
  <r>
    <s v="5604.1"/>
    <x v="3"/>
    <x v="9"/>
    <x v="0"/>
    <s v="20A"/>
    <s v="Whole Plate"/>
    <s v="Pseudanabaena limnetica (cylinder)"/>
    <b v="1"/>
    <n v="10"/>
    <n v="39.4444444444444"/>
    <m/>
    <n v="35.5"/>
    <n v="2.8045000000000001E-3"/>
    <n v="35.5"/>
    <n v="2.8045000000000001E-3"/>
    <m/>
  </r>
  <r>
    <s v="5604.2"/>
    <x v="3"/>
    <x v="9"/>
    <x v="0"/>
    <s v="20A"/>
    <s v="Whole Plate"/>
    <s v="Geitlerinema sp"/>
    <b v="0"/>
    <n v="10"/>
    <n v="9"/>
    <m/>
    <n v="0.9"/>
    <n v="1.98E-5"/>
    <n v="0"/>
    <n v="0"/>
    <m/>
  </r>
  <r>
    <s v="5604.3"/>
    <x v="3"/>
    <x v="9"/>
    <x v="0"/>
    <s v="20A"/>
    <s v="Whole Plate"/>
    <s v="Limnothrix cf planktonica"/>
    <b v="0"/>
    <n v="10"/>
    <n v="9.5"/>
    <m/>
    <n v="1.9"/>
    <n v="2.9829999999999999E-4"/>
    <n v="0"/>
    <n v="0"/>
    <m/>
  </r>
  <r>
    <s v="5604.4"/>
    <x v="3"/>
    <x v="9"/>
    <x v="0"/>
    <s v="20A"/>
    <s v="Whole Plate"/>
    <s v="Dolichospermum sp"/>
    <b v="1"/>
    <n v="10"/>
    <n v="22"/>
    <m/>
    <n v="2.2000000000000002"/>
    <n v="4.1800000000000002E-4"/>
    <n v="2.2000000000000002"/>
    <n v="4.1800000000000002E-4"/>
    <m/>
  </r>
  <r>
    <s v="5604.5"/>
    <x v="3"/>
    <x v="9"/>
    <x v="0"/>
    <s v="20A"/>
    <s v="Whole Plate"/>
    <s v="Phormidium sp"/>
    <b v="1"/>
    <n v="10"/>
    <n v="34"/>
    <m/>
    <n v="3.4"/>
    <n v="3.1735599999999997E-4"/>
    <n v="3.4"/>
    <n v="3.1735599999999997E-4"/>
    <m/>
  </r>
  <r>
    <s v="5604.6"/>
    <x v="3"/>
    <x v="9"/>
    <x v="0"/>
    <s v="20A"/>
    <s v="Whole Plate"/>
    <s v="Dolichospermum planctonicum "/>
    <b v="1"/>
    <n v="10"/>
    <n v="24"/>
    <m/>
    <n v="2.4"/>
    <n v="8.8800000000000001E-4"/>
    <n v="2.4"/>
    <n v="8.8800000000000001E-4"/>
    <m/>
  </r>
  <r>
    <s v="5601.1"/>
    <x v="3"/>
    <x v="10"/>
    <x v="0"/>
    <s v="20A"/>
    <s v="Whole Plate"/>
    <s v="Pseudanabaena limnetica (cylinder)"/>
    <b v="1"/>
    <n v="10"/>
    <n v="13"/>
    <m/>
    <n v="2.6"/>
    <n v="2.0540000000000001E-4"/>
    <n v="2.6"/>
    <n v="2.0540000000000001E-4"/>
    <m/>
  </r>
  <r>
    <s v="5601.2"/>
    <x v="3"/>
    <x v="10"/>
    <x v="0"/>
    <s v="20A"/>
    <s v="Whole Plate"/>
    <s v="Dolichospermum planctonicum "/>
    <b v="1"/>
    <n v="10"/>
    <n v="112"/>
    <m/>
    <n v="56"/>
    <n v="2.0719999999999999E-2"/>
    <n v="56"/>
    <n v="2.0719999999999999E-2"/>
    <m/>
  </r>
  <r>
    <s v="5601.3"/>
    <x v="3"/>
    <x v="10"/>
    <x v="0"/>
    <s v="20A"/>
    <s v="Whole Plate"/>
    <s v="Dolichospermum circinale"/>
    <b v="1"/>
    <n v="10"/>
    <n v="58"/>
    <m/>
    <n v="5.8"/>
    <n v="3.3387120000000002E-3"/>
    <n v="5.8"/>
    <n v="3.3387120000000002E-3"/>
    <m/>
  </r>
  <r>
    <s v="5601.4"/>
    <x v="3"/>
    <x v="10"/>
    <x v="0"/>
    <s v="20A"/>
    <s v="Whole Plate"/>
    <s v="Microcystis aeruginosa"/>
    <b v="1"/>
    <n v="10"/>
    <n v="104.5"/>
    <m/>
    <n v="20.9"/>
    <n v="1.8182999999999999E-3"/>
    <n v="20.9"/>
    <n v="1.8182999999999999E-3"/>
    <s v="Microcystis spp._x000a_"/>
  </r>
  <r>
    <s v="5607.1"/>
    <x v="3"/>
    <x v="11"/>
    <x v="0"/>
    <s v="20A"/>
    <s v="Whole Plate"/>
    <s v="Pseudanabaena limnetica (cylinder)"/>
    <b v="1"/>
    <n v="10"/>
    <n v="7"/>
    <m/>
    <n v="0.7"/>
    <n v="5.5300000000000002E-5"/>
    <n v="0.7"/>
    <n v="5.5300000000000002E-5"/>
    <m/>
  </r>
  <r>
    <s v="5607.2"/>
    <x v="3"/>
    <x v="11"/>
    <x v="0"/>
    <s v="20A"/>
    <s v="Whole Plate"/>
    <s v="Limnothrix cf planktonica"/>
    <b v="0"/>
    <n v="10"/>
    <n v="32.35"/>
    <n v="8"/>
    <n v="90.58"/>
    <n v="1.4221060000000001E-2"/>
    <n v="0"/>
    <n v="0"/>
    <m/>
  </r>
  <r>
    <s v="5607.3"/>
    <x v="3"/>
    <x v="11"/>
    <x v="0"/>
    <s v="20A"/>
    <s v="Whole Plate"/>
    <s v="Dolichospermum sp"/>
    <b v="1"/>
    <n v="10"/>
    <n v="35.3333333333333"/>
    <m/>
    <n v="10.6"/>
    <n v="2.0140000000000002E-3"/>
    <n v="10.6"/>
    <n v="2.0140000000000002E-3"/>
    <m/>
  </r>
  <r>
    <s v="5607.4"/>
    <x v="3"/>
    <x v="11"/>
    <x v="0"/>
    <s v="20A"/>
    <s v="Whole Plate"/>
    <s v="Dolichospermum planctonicum "/>
    <b v="1"/>
    <n v="10"/>
    <n v="22.5"/>
    <m/>
    <n v="4.5"/>
    <n v="1.665E-3"/>
    <n v="4.5"/>
    <n v="1.665E-3"/>
    <m/>
  </r>
  <r>
    <s v="5600.1"/>
    <x v="4"/>
    <x v="12"/>
    <x v="0"/>
    <s v="20A"/>
    <s v="160"/>
    <s v="Pseudanabaena limnetica (cylinder)"/>
    <b v="1"/>
    <n v="10"/>
    <n v="16.8333333333333"/>
    <m/>
    <n v="317.301319444444"/>
    <n v="2.5066804236111101E-2"/>
    <n v="317.301319444444"/>
    <n v="2.5066804236111101E-2"/>
    <m/>
  </r>
  <r>
    <s v="5600.2"/>
    <x v="4"/>
    <x v="12"/>
    <x v="0"/>
    <s v="20A"/>
    <s v="160"/>
    <s v="Woronichinia naegeliana"/>
    <b v="1"/>
    <n v="10"/>
    <n v="352.25"/>
    <m/>
    <n v="4426.5104861111104"/>
    <n v="0"/>
    <n v="4426.5104861111104"/>
    <n v="0"/>
    <m/>
  </r>
  <r>
    <s v="5600.3"/>
    <x v="4"/>
    <x v="12"/>
    <x v="0"/>
    <s v="20A"/>
    <s v="160"/>
    <s v="Dolichospermum circinale"/>
    <b v="1"/>
    <n v="10"/>
    <n v="18"/>
    <m/>
    <n v="508.93875000000003"/>
    <n v="0.29296550204999999"/>
    <n v="508.93875000000003"/>
    <n v="0.29296550204999999"/>
    <m/>
  </r>
  <r>
    <s v="5600.4"/>
    <x v="4"/>
    <x v="12"/>
    <x v="0"/>
    <s v="20A"/>
    <s v="160"/>
    <s v="Dolichospermum planctonicum "/>
    <b v="1"/>
    <n v="10"/>
    <n v="14"/>
    <m/>
    <n v="43.982361111111103"/>
    <n v="1.6273473611111099E-2"/>
    <n v="43.982361111111103"/>
    <n v="1.6273473611111099E-2"/>
    <m/>
  </r>
  <r>
    <s v="5600.5"/>
    <x v="4"/>
    <x v="12"/>
    <x v="0"/>
    <s v="20A"/>
    <s v="160"/>
    <s v="Aphanocapsa delicatissima"/>
    <b v="0"/>
    <n v="10"/>
    <n v="75"/>
    <m/>
    <n v="235.619791666667"/>
    <n v="2.35619791666667E-5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5606.3"/>
    <x v="0"/>
    <x v="0"/>
    <x v="0"/>
    <s v="20A"/>
    <s v="Whole Plate"/>
    <s v="Microcystis aeruginosa"/>
    <b v="1"/>
    <n v="10"/>
    <n v="25.5"/>
    <m/>
    <n v="5.0999999999999996"/>
    <n v="4.437E-4"/>
    <n v="5.0999999999999996"/>
    <n v="4.437E-4"/>
    <x v="0"/>
  </r>
  <r>
    <s v="5606.5"/>
    <x v="0"/>
    <x v="0"/>
    <x v="0"/>
    <s v="20A"/>
    <s v="Whole Plate"/>
    <s v="Microcystis wesenbergii"/>
    <b v="1"/>
    <n v="10"/>
    <n v="53"/>
    <m/>
    <n v="5.3"/>
    <n v="1.008749E-3"/>
    <n v="5.3"/>
    <n v="1.008749E-3"/>
    <x v="0"/>
  </r>
  <r>
    <s v="5598.1"/>
    <x v="1"/>
    <x v="1"/>
    <x v="0"/>
    <s v="20A"/>
    <s v="160"/>
    <s v="Microcystis aeruginosa"/>
    <b v="1"/>
    <n v="10"/>
    <n v="18.7"/>
    <n v="36"/>
    <n v="3289.8806111111098"/>
    <n v="0.286219613166667"/>
    <n v="3289.8806111111098"/>
    <n v="0.286219613166667"/>
    <x v="0"/>
  </r>
  <r>
    <s v="5599.1"/>
    <x v="1"/>
    <x v="2"/>
    <x v="0"/>
    <s v="20A"/>
    <s v="160"/>
    <s v="Microcystis aeruginosa"/>
    <b v="1"/>
    <n v="10"/>
    <n v="7.85"/>
    <n v="72"/>
    <n v="2268.8615138888899"/>
    <n v="0.19739095170833301"/>
    <n v="2268.8615138888899"/>
    <n v="0.19739095170833301"/>
    <x v="0"/>
  </r>
  <r>
    <s v="5595.3"/>
    <x v="2"/>
    <x v="3"/>
    <x v="0"/>
    <s v="20A"/>
    <s v="Whole Plate"/>
    <s v="Microcystis sp. (large)"/>
    <b v="1"/>
    <n v="10"/>
    <n v="24.5555555555556"/>
    <m/>
    <n v="22.1"/>
    <n v="2.0566260000000002E-3"/>
    <n v="22.1"/>
    <n v="2.0566260000000002E-3"/>
    <x v="0"/>
  </r>
  <r>
    <s v="5595.5"/>
    <x v="2"/>
    <x v="3"/>
    <x v="0"/>
    <s v="20A"/>
    <s v="Whole Plate"/>
    <s v="Microcystis wesenbergii"/>
    <b v="1"/>
    <n v="10"/>
    <n v="50.909090909090899"/>
    <m/>
    <n v="56"/>
    <n v="1.065848E-2"/>
    <n v="56"/>
    <n v="1.065848E-2"/>
    <x v="0"/>
  </r>
  <r>
    <s v="5603.4"/>
    <x v="2"/>
    <x v="4"/>
    <x v="0"/>
    <s v="20A"/>
    <s v="Whole Plate"/>
    <s v="Microcystis aeruginosa"/>
    <b v="1"/>
    <n v="10"/>
    <n v="29"/>
    <m/>
    <n v="2.9"/>
    <n v="2.5230000000000001E-4"/>
    <n v="2.9"/>
    <n v="2.5230000000000001E-4"/>
    <x v="0"/>
  </r>
  <r>
    <s v="5603.7"/>
    <x v="2"/>
    <x v="4"/>
    <x v="0"/>
    <s v="20A"/>
    <s v="Whole Plate"/>
    <s v="Microcystis aeruginosa"/>
    <b v="1"/>
    <n v="10"/>
    <n v="103"/>
    <m/>
    <n v="10.3"/>
    <n v="8.9610000000000004E-4"/>
    <n v="10.3"/>
    <n v="8.9610000000000004E-4"/>
    <x v="0"/>
  </r>
  <r>
    <s v="5602.2"/>
    <x v="2"/>
    <x v="5"/>
    <x v="0"/>
    <s v="20A"/>
    <s v="Whole Plate"/>
    <s v="Microcystis aeruginosa"/>
    <b v="1"/>
    <n v="10"/>
    <n v="35.75"/>
    <m/>
    <n v="14.3"/>
    <n v="1.2440999999999999E-3"/>
    <n v="14.3"/>
    <n v="1.2440999999999999E-3"/>
    <x v="0"/>
  </r>
  <r>
    <s v="5596.4"/>
    <x v="2"/>
    <x v="6"/>
    <x v="0"/>
    <s v="20A"/>
    <s v="Whole Plate"/>
    <s v="Microcystis aeruginosa"/>
    <b v="1"/>
    <n v="10"/>
    <n v="59.285714285714299"/>
    <m/>
    <n v="41.5"/>
    <n v="3.6105E-3"/>
    <n v="41.5"/>
    <n v="3.6105E-3"/>
    <x v="0"/>
  </r>
  <r>
    <s v="5596.9"/>
    <x v="2"/>
    <x v="6"/>
    <x v="0"/>
    <s v="20A"/>
    <s v="Whole Plate"/>
    <s v="Microcystis wesenbergii"/>
    <b v="1"/>
    <n v="10"/>
    <n v="30.25"/>
    <m/>
    <n v="12.1"/>
    <n v="2.3029930000000001E-3"/>
    <n v="12.1"/>
    <n v="2.3029930000000001E-3"/>
    <x v="0"/>
  </r>
  <r>
    <s v="5605.1"/>
    <x v="3"/>
    <x v="7"/>
    <x v="0"/>
    <s v="20A"/>
    <s v="Whole Plate"/>
    <s v="Microcystis aeruginosa"/>
    <b v="1"/>
    <n v="10"/>
    <n v="78"/>
    <m/>
    <n v="7.8"/>
    <n v="6.7860000000000001E-4"/>
    <n v="7.8"/>
    <n v="6.7860000000000001E-4"/>
    <x v="0"/>
  </r>
  <r>
    <s v="5601.4"/>
    <x v="3"/>
    <x v="8"/>
    <x v="0"/>
    <s v="20A"/>
    <s v="Whole Plate"/>
    <s v="Microcystis aeruginosa"/>
    <b v="1"/>
    <n v="10"/>
    <n v="104.5"/>
    <m/>
    <n v="20.9"/>
    <n v="1.8182999999999999E-3"/>
    <n v="20.9"/>
    <n v="1.8182999999999999E-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5606.1"/>
    <x v="0"/>
    <x v="0"/>
    <x v="0"/>
    <s v="20A"/>
    <s v="Whole Plate"/>
    <s v="Aphanocapsa delicatissima"/>
    <b v="0"/>
    <n v="10"/>
    <n v="63.631578947368403"/>
    <m/>
    <n v="120.9"/>
    <n v="1.2089999999999999E-5"/>
    <n v="0"/>
    <n v="0"/>
    <m/>
  </r>
  <r>
    <s v="5606.2"/>
    <x v="0"/>
    <x v="0"/>
    <x v="0"/>
    <s v="20A"/>
    <s v="Whole Plate"/>
    <s v="Aphanocapsa holsatica"/>
    <b v="0"/>
    <n v="10"/>
    <n v="23.9"/>
    <n v="386"/>
    <n v="970.34"/>
    <n v="4.8516999999999999E-4"/>
    <n v="0"/>
    <n v="0"/>
    <m/>
  </r>
  <r>
    <s v="5606.3"/>
    <x v="0"/>
    <x v="0"/>
    <x v="0"/>
    <s v="20A"/>
    <s v="Whole Plate"/>
    <s v="Microcystis aeruginosa"/>
    <b v="1"/>
    <n v="10"/>
    <n v="25.5"/>
    <m/>
    <n v="5.0999999999999996"/>
    <n v="4.437E-4"/>
    <n v="5.0999999999999996"/>
    <n v="4.437E-4"/>
    <s v="Microcystis spp._x000a_"/>
  </r>
  <r>
    <s v="5606.4"/>
    <x v="0"/>
    <x v="0"/>
    <x v="0"/>
    <s v="20A"/>
    <s v="Whole Plate"/>
    <s v="Dolichospermum circinale"/>
    <b v="1"/>
    <n v="10"/>
    <n v="49"/>
    <m/>
    <n v="4.9000000000000004"/>
    <n v="2.8206360000000001E-3"/>
    <n v="4.9000000000000004"/>
    <n v="2.8206360000000001E-3"/>
    <m/>
  </r>
  <r>
    <s v="5606.5"/>
    <x v="0"/>
    <x v="0"/>
    <x v="0"/>
    <s v="20A"/>
    <s v="Whole Plate"/>
    <s v="Microcystis wesenbergii"/>
    <b v="1"/>
    <n v="10"/>
    <n v="53"/>
    <m/>
    <n v="5.3"/>
    <n v="1.008749E-3"/>
    <n v="5.3"/>
    <n v="1.008749E-3"/>
    <s v="Microcystis spp._x000a_"/>
  </r>
  <r>
    <s v="5606.6"/>
    <x v="0"/>
    <x v="0"/>
    <x v="0"/>
    <s v="20A"/>
    <s v="Whole Plate"/>
    <s v="Pseudanabaena mucicola (rod)"/>
    <b v="0"/>
    <n v="10"/>
    <n v="3"/>
    <m/>
    <n v="0.3"/>
    <n v="1.38E-5"/>
    <n v="0"/>
    <n v="0"/>
    <m/>
  </r>
  <r>
    <s v="5606.7"/>
    <x v="0"/>
    <x v="0"/>
    <x v="0"/>
    <s v="20A"/>
    <s v="Whole Plate"/>
    <s v="Phormidium sp"/>
    <b v="1"/>
    <n v="10"/>
    <n v="20.3333333333333"/>
    <m/>
    <n v="6.1"/>
    <n v="5.6937399999999999E-4"/>
    <n v="6.1"/>
    <n v="5.6937399999999999E-4"/>
    <m/>
  </r>
  <r>
    <s v="5606.8"/>
    <x v="0"/>
    <x v="0"/>
    <x v="0"/>
    <s v="20A"/>
    <s v="Whole Plate"/>
    <s v="Pseudanabaena limnetica (cylinder)"/>
    <b v="1"/>
    <n v="10"/>
    <n v="11.5"/>
    <m/>
    <n v="2.2999999999999998"/>
    <n v="1.817E-4"/>
    <n v="2.2999999999999998"/>
    <n v="1.817E-4"/>
    <m/>
  </r>
  <r>
    <s v="5606.9"/>
    <x v="0"/>
    <x v="0"/>
    <x v="0"/>
    <s v="20A"/>
    <s v="Whole Plate"/>
    <s v="Dolichospermum planctonicum "/>
    <b v="1"/>
    <n v="10"/>
    <n v="16"/>
    <m/>
    <n v="3.2"/>
    <n v="1.1839999999999999E-3"/>
    <n v="3.2"/>
    <n v="1.1839999999999999E-3"/>
    <m/>
  </r>
  <r>
    <s v="5606.10"/>
    <x v="0"/>
    <x v="0"/>
    <x v="0"/>
    <s v="20A"/>
    <s v="Whole Plate"/>
    <s v="Limnothrix cf planktonica"/>
    <b v="0"/>
    <n v="10"/>
    <n v="19"/>
    <m/>
    <n v="1.9"/>
    <n v="2.9829999999999999E-4"/>
    <n v="0"/>
    <n v="0"/>
    <m/>
  </r>
  <r>
    <s v="5606.11"/>
    <x v="0"/>
    <x v="0"/>
    <x v="0"/>
    <s v="20A"/>
    <s v="Whole Plate"/>
    <s v="Dolichospermum sp"/>
    <b v="1"/>
    <n v="10"/>
    <n v="40"/>
    <m/>
    <n v="4"/>
    <n v="7.6000000000000004E-4"/>
    <n v="4"/>
    <n v="7.6000000000000004E-4"/>
    <m/>
  </r>
  <r>
    <s v="5606.12"/>
    <x v="0"/>
    <x v="0"/>
    <x v="0"/>
    <s v="20A"/>
    <s v="Whole Plate"/>
    <s v="Woronichinia naegeliana"/>
    <b v="1"/>
    <n v="10"/>
    <n v="56"/>
    <m/>
    <n v="5.6"/>
    <n v="0"/>
    <n v="5.6"/>
    <n v="0"/>
    <m/>
  </r>
  <r>
    <s v="5598.1"/>
    <x v="1"/>
    <x v="1"/>
    <x v="0"/>
    <s v="20A"/>
    <s v="160"/>
    <s v="Microcystis aeruginosa"/>
    <b v="1"/>
    <n v="10"/>
    <n v="18.7"/>
    <n v="36"/>
    <n v="3289.8806111111098"/>
    <n v="0.286219613166667"/>
    <n v="3289.8806111111098"/>
    <n v="0.286219613166667"/>
    <s v="Microcystis spp._x000a_"/>
  </r>
  <r>
    <s v="5598.2"/>
    <x v="1"/>
    <x v="1"/>
    <x v="0"/>
    <s v="20A"/>
    <s v="160"/>
    <s v="Pseudanabaena limnetica (cylinder)"/>
    <b v="1"/>
    <n v="10"/>
    <n v="17.5"/>
    <m/>
    <n v="109.95590277777799"/>
    <n v="8.6865163194444605E-3"/>
    <n v="109.95590277777799"/>
    <n v="8.6865163194444605E-3"/>
    <m/>
  </r>
  <r>
    <s v="5599.1"/>
    <x v="1"/>
    <x v="2"/>
    <x v="0"/>
    <s v="20A"/>
    <s v="160"/>
    <s v="Microcystis aeruginosa"/>
    <b v="1"/>
    <n v="10"/>
    <n v="7.85"/>
    <n v="72"/>
    <n v="2268.8615138888899"/>
    <n v="0.19739095170833301"/>
    <n v="2268.8615138888899"/>
    <n v="0.19739095170833301"/>
    <s v="Microcystis spp._x000a_"/>
  </r>
  <r>
    <s v="5599.2"/>
    <x v="1"/>
    <x v="2"/>
    <x v="0"/>
    <s v="20A"/>
    <s v="160"/>
    <s v="Pseudanabaena limnetica (cylinder)"/>
    <b v="1"/>
    <n v="10"/>
    <n v="16"/>
    <m/>
    <n v="50.265555555555601"/>
    <n v="3.9709788888888896E-3"/>
    <n v="50.265555555555601"/>
    <n v="3.9709788888888896E-3"/>
    <m/>
  </r>
  <r>
    <s v="5597.1"/>
    <x v="2"/>
    <x v="3"/>
    <x v="0"/>
    <s v="20A"/>
    <s v="160"/>
    <s v="Aphanocapsa holsatica"/>
    <b v="0"/>
    <n v="10"/>
    <n v="21.8"/>
    <n v="114"/>
    <n v="9177.2338055555592"/>
    <n v="4.5886169027777798E-3"/>
    <n v="0"/>
    <n v="0"/>
    <m/>
  </r>
  <r>
    <s v="5597.2"/>
    <x v="2"/>
    <x v="3"/>
    <x v="0"/>
    <s v="20A"/>
    <s v="160"/>
    <s v="Aphanocapsa delicatissima"/>
    <b v="0"/>
    <n v="10"/>
    <n v="57.6666666666667"/>
    <m/>
    <n v="543.496319444444"/>
    <n v="5.4349631944444403E-5"/>
    <n v="0"/>
    <n v="0"/>
    <m/>
  </r>
  <r>
    <s v="5595.1"/>
    <x v="2"/>
    <x v="4"/>
    <x v="0"/>
    <s v="20A"/>
    <s v="Whole Plate"/>
    <s v="Dolichospermum lemmermannii"/>
    <b v="1"/>
    <n v="10"/>
    <n v="52.15"/>
    <n v="58"/>
    <n v="406.77"/>
    <n v="4.4744699999999998E-2"/>
    <n v="406.77"/>
    <n v="4.4744699999999998E-2"/>
    <m/>
  </r>
  <r>
    <s v="5595.2"/>
    <x v="2"/>
    <x v="4"/>
    <x v="0"/>
    <s v="20A"/>
    <s v="Whole Plate"/>
    <s v="Aphanocapsa delicatissima"/>
    <b v="0"/>
    <n v="10"/>
    <n v="106.25"/>
    <n v="34"/>
    <n v="573.75"/>
    <n v="5.7374999999999999E-5"/>
    <n v="0"/>
    <n v="0"/>
    <m/>
  </r>
  <r>
    <s v="5595.3"/>
    <x v="2"/>
    <x v="4"/>
    <x v="0"/>
    <s v="20A"/>
    <s v="Whole Plate"/>
    <s v="Microcystis sp. (large)"/>
    <b v="1"/>
    <n v="10"/>
    <n v="24.5555555555556"/>
    <m/>
    <n v="22.1"/>
    <n v="2.0566260000000002E-3"/>
    <n v="22.1"/>
    <n v="2.0566260000000002E-3"/>
    <s v="Microcystis spp._x000a_"/>
  </r>
  <r>
    <s v="5595.4"/>
    <x v="2"/>
    <x v="4"/>
    <x v="0"/>
    <s v="20A"/>
    <s v="Whole Plate"/>
    <s v="Woronichinia naegeliana"/>
    <b v="1"/>
    <n v="10"/>
    <n v="266"/>
    <m/>
    <n v="452.2"/>
    <n v="0"/>
    <n v="452.2"/>
    <n v="0"/>
    <m/>
  </r>
  <r>
    <s v="5595.5"/>
    <x v="2"/>
    <x v="4"/>
    <x v="0"/>
    <s v="20A"/>
    <s v="Whole Plate"/>
    <s v="Microcystis wesenbergii"/>
    <b v="1"/>
    <n v="10"/>
    <n v="50.909090909090899"/>
    <m/>
    <n v="56"/>
    <n v="1.065848E-2"/>
    <n v="56"/>
    <n v="1.065848E-2"/>
    <s v="Microcystis spp._x000a_"/>
  </r>
  <r>
    <s v="5595.6"/>
    <x v="2"/>
    <x v="4"/>
    <x v="0"/>
    <s v="20A"/>
    <s v="Whole Plate"/>
    <s v="Aphanocapsa holsatica"/>
    <b v="0"/>
    <n v="10"/>
    <n v="37.818181818181799"/>
    <m/>
    <n v="41.6"/>
    <n v="2.0800000000000001E-5"/>
    <n v="0"/>
    <n v="0"/>
    <m/>
  </r>
  <r>
    <s v="5595.7"/>
    <x v="2"/>
    <x v="4"/>
    <x v="0"/>
    <s v="20A"/>
    <s v="Whole Plate"/>
    <s v="Dolichospermum circinale"/>
    <b v="1"/>
    <n v="10"/>
    <n v="4"/>
    <m/>
    <n v="0.4"/>
    <n v="2.30256E-4"/>
    <n v="0.4"/>
    <n v="2.30256E-4"/>
    <m/>
  </r>
  <r>
    <s v="5595.8"/>
    <x v="2"/>
    <x v="4"/>
    <x v="0"/>
    <s v="20A"/>
    <s v="Whole Plate"/>
    <s v="Coelosphaerium kuetzingianum"/>
    <b v="0"/>
    <n v="10"/>
    <n v="123.75"/>
    <m/>
    <n v="49.5"/>
    <n v="4.4005500000000001E-4"/>
    <n v="0"/>
    <n v="0"/>
    <m/>
  </r>
  <r>
    <s v="5595.9"/>
    <x v="2"/>
    <x v="4"/>
    <x v="0"/>
    <s v="20A"/>
    <s v="Whole Plate"/>
    <s v="Pseudanabaena mucicola (rod)"/>
    <b v="0"/>
    <n v="10"/>
    <n v="9"/>
    <m/>
    <n v="0.9"/>
    <n v="4.1399999999999997E-5"/>
    <n v="0"/>
    <n v="0"/>
    <m/>
  </r>
  <r>
    <s v="5595.10"/>
    <x v="2"/>
    <x v="4"/>
    <x v="0"/>
    <s v="20A"/>
    <s v="Whole Plate"/>
    <s v="Dolichospermum planctonicum "/>
    <b v="1"/>
    <n v="10"/>
    <n v="25"/>
    <m/>
    <n v="25"/>
    <n v="9.2499999999999995E-3"/>
    <n v="25"/>
    <n v="9.2499999999999995E-3"/>
    <m/>
  </r>
  <r>
    <s v="5595.11"/>
    <x v="2"/>
    <x v="4"/>
    <x v="0"/>
    <s v="20A"/>
    <s v="Whole Plate"/>
    <s v="Pseudanabaena limnetica (cylinder)"/>
    <b v="1"/>
    <n v="10"/>
    <n v="6"/>
    <m/>
    <n v="0.6"/>
    <n v="4.74E-5"/>
    <n v="0.6"/>
    <n v="4.74E-5"/>
    <m/>
  </r>
  <r>
    <s v="5603.1"/>
    <x v="2"/>
    <x v="5"/>
    <x v="0"/>
    <s v="20A"/>
    <s v="Whole Plate"/>
    <s v="Aphanocapsa holsatica"/>
    <b v="0"/>
    <n v="10"/>
    <n v="30.8"/>
    <n v="228"/>
    <n v="763.84"/>
    <n v="3.8192E-4"/>
    <n v="0"/>
    <n v="0"/>
    <m/>
  </r>
  <r>
    <s v="5603.2"/>
    <x v="2"/>
    <x v="5"/>
    <x v="0"/>
    <s v="20A"/>
    <s v="Whole Plate"/>
    <s v="Aphanocapsa delicatissima"/>
    <b v="0"/>
    <n v="10"/>
    <n v="142.388888888889"/>
    <m/>
    <n v="256.3"/>
    <n v="2.563E-5"/>
    <n v="0"/>
    <n v="0"/>
    <m/>
  </r>
  <r>
    <s v="5603.3"/>
    <x v="2"/>
    <x v="5"/>
    <x v="0"/>
    <s v="20A"/>
    <s v="Whole Plate"/>
    <s v="Pseudanabaena limnetica (cylinder)"/>
    <b v="1"/>
    <n v="10"/>
    <n v="22"/>
    <m/>
    <n v="6.6"/>
    <n v="5.2139999999999999E-4"/>
    <n v="6.6"/>
    <n v="5.2139999999999999E-4"/>
    <m/>
  </r>
  <r>
    <s v="5603.4"/>
    <x v="2"/>
    <x v="5"/>
    <x v="0"/>
    <s v="20A"/>
    <s v="Whole Plate"/>
    <s v="Microcystis aeruginosa"/>
    <b v="1"/>
    <n v="10"/>
    <n v="29"/>
    <m/>
    <n v="2.9"/>
    <n v="2.5230000000000001E-4"/>
    <n v="2.9"/>
    <n v="2.5230000000000001E-4"/>
    <s v="Microcystis spp._x000a_"/>
  </r>
  <r>
    <s v="5603.5"/>
    <x v="2"/>
    <x v="5"/>
    <x v="0"/>
    <s v="20A"/>
    <s v="Whole Plate"/>
    <s v="Phormidium sp"/>
    <b v="1"/>
    <n v="10"/>
    <n v="29.6666666666667"/>
    <m/>
    <n v="8.9"/>
    <n v="8.3072599999999995E-4"/>
    <n v="8.9"/>
    <n v="8.3072599999999995E-4"/>
    <m/>
  </r>
  <r>
    <s v="5603.6"/>
    <x v="2"/>
    <x v="5"/>
    <x v="0"/>
    <s v="20A"/>
    <s v="Whole Plate"/>
    <s v="Dolichospermum planctonicum "/>
    <b v="1"/>
    <n v="10"/>
    <n v="35.5"/>
    <m/>
    <n v="7.1"/>
    <n v="2.627E-3"/>
    <n v="7.1"/>
    <n v="2.627E-3"/>
    <m/>
  </r>
  <r>
    <s v="5603.7"/>
    <x v="2"/>
    <x v="5"/>
    <x v="0"/>
    <s v="20A"/>
    <s v="Whole Plate"/>
    <s v="Microcystis aeruginosa"/>
    <b v="1"/>
    <n v="10"/>
    <n v="103"/>
    <m/>
    <n v="10.3"/>
    <n v="8.9610000000000004E-4"/>
    <n v="10.3"/>
    <n v="8.9610000000000004E-4"/>
    <s v="Microcystis spp._x000a_"/>
  </r>
  <r>
    <s v="5602.1"/>
    <x v="2"/>
    <x v="6"/>
    <x v="0"/>
    <s v="20A"/>
    <s v="Whole Plate"/>
    <s v="Aphanocapsa holsatica"/>
    <b v="0"/>
    <n v="10"/>
    <n v="18.8"/>
    <n v="436"/>
    <n v="857.28"/>
    <n v="4.2863999999999999E-4"/>
    <n v="0"/>
    <n v="0"/>
    <m/>
  </r>
  <r>
    <s v="5602.2"/>
    <x v="2"/>
    <x v="6"/>
    <x v="0"/>
    <s v="20A"/>
    <s v="Whole Plate"/>
    <s v="Microcystis aeruginosa"/>
    <b v="1"/>
    <n v="10"/>
    <n v="35.75"/>
    <m/>
    <n v="14.3"/>
    <n v="1.2440999999999999E-3"/>
    <n v="14.3"/>
    <n v="1.2440999999999999E-3"/>
    <s v="Microcystis spp._x000a_"/>
  </r>
  <r>
    <s v="5602.3"/>
    <x v="2"/>
    <x v="6"/>
    <x v="0"/>
    <s v="20A"/>
    <s v="Whole Plate"/>
    <s v="Phormidium sp"/>
    <b v="1"/>
    <n v="10"/>
    <n v="64"/>
    <m/>
    <n v="6.4"/>
    <n v="5.9737600000000005E-4"/>
    <n v="6.4"/>
    <n v="5.9737600000000005E-4"/>
    <m/>
  </r>
  <r>
    <s v="5602.4"/>
    <x v="2"/>
    <x v="6"/>
    <x v="0"/>
    <s v="20A"/>
    <s v="Whole Plate"/>
    <s v="Dolichospermum lemmermannii"/>
    <b v="1"/>
    <n v="10"/>
    <n v="58.7"/>
    <n v="8"/>
    <n v="164.36"/>
    <n v="1.8079600000000001E-2"/>
    <n v="164.36"/>
    <n v="1.8079600000000001E-2"/>
    <m/>
  </r>
  <r>
    <s v="5602.5"/>
    <x v="2"/>
    <x v="6"/>
    <x v="0"/>
    <s v="20A"/>
    <s v="Whole Plate"/>
    <s v="Aphanocapsa delicatissima"/>
    <b v="0"/>
    <n v="10"/>
    <n v="98.8"/>
    <n v="21"/>
    <n v="405.08"/>
    <n v="4.0507999999999999E-5"/>
    <n v="0"/>
    <n v="0"/>
    <m/>
  </r>
  <r>
    <s v="5602.6"/>
    <x v="2"/>
    <x v="6"/>
    <x v="0"/>
    <s v="20A"/>
    <s v="Whole Plate"/>
    <s v="Dolichospermum planctonicum "/>
    <b v="1"/>
    <n v="10"/>
    <n v="17.95"/>
    <n v="18"/>
    <n v="68.209999999999994"/>
    <n v="2.5237699999999998E-2"/>
    <n v="68.209999999999994"/>
    <n v="2.5237699999999998E-2"/>
    <m/>
  </r>
  <r>
    <s v="5596.1"/>
    <x v="2"/>
    <x v="7"/>
    <x v="0"/>
    <s v="20A"/>
    <s v="Whole Plate"/>
    <s v="Aphanocapsa delicatissima"/>
    <b v="0"/>
    <n v="10"/>
    <n v="85.95"/>
    <n v="43"/>
    <n v="541.48500000000001"/>
    <n v="5.4148499999999998E-5"/>
    <n v="0"/>
    <n v="0"/>
    <m/>
  </r>
  <r>
    <s v="5596.2"/>
    <x v="2"/>
    <x v="7"/>
    <x v="0"/>
    <s v="20A"/>
    <s v="Whole Plate"/>
    <s v="Dolichospermum planctonicum "/>
    <b v="1"/>
    <n v="10"/>
    <n v="29.684210526315798"/>
    <m/>
    <n v="56.4"/>
    <n v="2.0868000000000001E-2"/>
    <n v="56.4"/>
    <n v="2.0868000000000001E-2"/>
    <m/>
  </r>
  <r>
    <s v="5596.3"/>
    <x v="2"/>
    <x v="7"/>
    <x v="0"/>
    <s v="20A"/>
    <s v="Whole Plate"/>
    <s v="Aphanocapsa holsatica"/>
    <b v="0"/>
    <n v="10"/>
    <n v="34"/>
    <n v="73"/>
    <n v="316.2"/>
    <n v="1.5809999999999999E-4"/>
    <n v="0"/>
    <n v="0"/>
    <m/>
  </r>
  <r>
    <s v="5596.4"/>
    <x v="2"/>
    <x v="7"/>
    <x v="0"/>
    <s v="20A"/>
    <s v="Whole Plate"/>
    <s v="Microcystis aeruginosa"/>
    <b v="1"/>
    <n v="10"/>
    <n v="59.285714285714299"/>
    <m/>
    <n v="41.5"/>
    <n v="3.6105E-3"/>
    <n v="41.5"/>
    <n v="3.6105E-3"/>
    <s v="Microcystis spp._x000a_"/>
  </r>
  <r>
    <s v="5596.5"/>
    <x v="2"/>
    <x v="7"/>
    <x v="0"/>
    <s v="20A"/>
    <s v="Whole Plate"/>
    <s v="Dolichospermum lemmermannii"/>
    <b v="1"/>
    <n v="10"/>
    <n v="34.857142857142897"/>
    <m/>
    <n v="24.4"/>
    <n v="2.6840000000000002E-3"/>
    <n v="24.4"/>
    <n v="2.6840000000000002E-3"/>
    <m/>
  </r>
  <r>
    <s v="5596.6"/>
    <x v="2"/>
    <x v="7"/>
    <x v="0"/>
    <s v="20A"/>
    <s v="Whole Plate"/>
    <s v="Dolichospermum circinale"/>
    <b v="1"/>
    <n v="10"/>
    <n v="18"/>
    <m/>
    <n v="1.8"/>
    <n v="1.036152E-3"/>
    <n v="1.8"/>
    <n v="1.036152E-3"/>
    <m/>
  </r>
  <r>
    <s v="5596.7"/>
    <x v="2"/>
    <x v="7"/>
    <x v="0"/>
    <s v="20A"/>
    <s v="Whole Plate"/>
    <s v="Phormidium sp"/>
    <b v="1"/>
    <n v="10"/>
    <n v="20.75"/>
    <m/>
    <n v="8.3000000000000007"/>
    <n v="7.7472200000000004E-4"/>
    <n v="8.3000000000000007"/>
    <n v="7.7472200000000004E-4"/>
    <m/>
  </r>
  <r>
    <s v="5596.8"/>
    <x v="2"/>
    <x v="7"/>
    <x v="0"/>
    <s v="20A"/>
    <s v="Whole Plate"/>
    <s v="Pseudanabaena limnetica (cylinder)"/>
    <b v="1"/>
    <n v="10"/>
    <n v="9"/>
    <m/>
    <n v="0.9"/>
    <n v="7.1099999999999994E-5"/>
    <n v="0.9"/>
    <n v="7.1099999999999994E-5"/>
    <m/>
  </r>
  <r>
    <s v="5596.9"/>
    <x v="2"/>
    <x v="7"/>
    <x v="0"/>
    <s v="20A"/>
    <s v="Whole Plate"/>
    <s v="Microcystis wesenbergii"/>
    <b v="1"/>
    <n v="10"/>
    <n v="30.25"/>
    <m/>
    <n v="12.1"/>
    <n v="2.3029930000000001E-3"/>
    <n v="12.1"/>
    <n v="2.3029930000000001E-3"/>
    <s v="Microcystis spp._x000a_"/>
  </r>
  <r>
    <s v="5596.10"/>
    <x v="2"/>
    <x v="7"/>
    <x v="0"/>
    <s v="20A"/>
    <s v="Whole Plate"/>
    <s v="Pseudanabaena mucicola (rod)"/>
    <b v="0"/>
    <n v="10"/>
    <n v="5"/>
    <m/>
    <n v="1"/>
    <n v="4.6E-5"/>
    <n v="0"/>
    <n v="0"/>
    <m/>
  </r>
  <r>
    <s v="5596.11"/>
    <x v="2"/>
    <x v="7"/>
    <x v="0"/>
    <s v="20A"/>
    <s v="Whole Plate"/>
    <s v="Limnothrix cf planktonica"/>
    <b v="0"/>
    <n v="10"/>
    <n v="20"/>
    <m/>
    <n v="2"/>
    <n v="3.1399999999999999E-4"/>
    <n v="0"/>
    <n v="0"/>
    <m/>
  </r>
  <r>
    <s v="5605.1"/>
    <x v="3"/>
    <x v="8"/>
    <x v="0"/>
    <s v="20A"/>
    <s v="Whole Plate"/>
    <s v="Microcystis aeruginosa"/>
    <b v="1"/>
    <n v="10"/>
    <n v="78"/>
    <m/>
    <n v="7.8"/>
    <n v="6.7860000000000001E-4"/>
    <n v="7.8"/>
    <n v="6.7860000000000001E-4"/>
    <s v="Microcystis spp._x000a_"/>
  </r>
  <r>
    <s v="5605.2"/>
    <x v="3"/>
    <x v="8"/>
    <x v="0"/>
    <s v="20A"/>
    <s v="Whole Plate"/>
    <s v="Dolichospermum circinale"/>
    <b v="1"/>
    <n v="10"/>
    <n v="14"/>
    <m/>
    <n v="1.4"/>
    <n v="8.0589599999999996E-4"/>
    <n v="1.4"/>
    <n v="8.0589599999999996E-4"/>
    <m/>
  </r>
  <r>
    <s v="5605.3"/>
    <x v="3"/>
    <x v="8"/>
    <x v="0"/>
    <s v="20A"/>
    <s v="Whole Plate"/>
    <s v="Phormidium sp"/>
    <b v="1"/>
    <n v="10"/>
    <n v="20"/>
    <m/>
    <n v="2"/>
    <n v="1.8667999999999999E-4"/>
    <n v="2"/>
    <n v="1.8667999999999999E-4"/>
    <m/>
  </r>
  <r>
    <s v="5605.4"/>
    <x v="3"/>
    <x v="8"/>
    <x v="0"/>
    <s v="20A"/>
    <s v="Whole Plate"/>
    <s v="Pseudanabaena limnetica (cylinder)"/>
    <b v="1"/>
    <n v="10"/>
    <n v="13.5"/>
    <m/>
    <n v="2.7"/>
    <n v="2.1330000000000001E-4"/>
    <n v="2.7"/>
    <n v="2.1330000000000001E-4"/>
    <m/>
  </r>
  <r>
    <s v="5604.1"/>
    <x v="3"/>
    <x v="9"/>
    <x v="0"/>
    <s v="20A"/>
    <s v="Whole Plate"/>
    <s v="Pseudanabaena limnetica (cylinder)"/>
    <b v="1"/>
    <n v="10"/>
    <n v="39.4444444444444"/>
    <m/>
    <n v="35.5"/>
    <n v="2.8045000000000001E-3"/>
    <n v="35.5"/>
    <n v="2.8045000000000001E-3"/>
    <m/>
  </r>
  <r>
    <s v="5604.2"/>
    <x v="3"/>
    <x v="9"/>
    <x v="0"/>
    <s v="20A"/>
    <s v="Whole Plate"/>
    <s v="Geitlerinema sp"/>
    <b v="0"/>
    <n v="10"/>
    <n v="9"/>
    <m/>
    <n v="0.9"/>
    <n v="1.98E-5"/>
    <n v="0"/>
    <n v="0"/>
    <m/>
  </r>
  <r>
    <s v="5604.3"/>
    <x v="3"/>
    <x v="9"/>
    <x v="0"/>
    <s v="20A"/>
    <s v="Whole Plate"/>
    <s v="Limnothrix cf planktonica"/>
    <b v="0"/>
    <n v="10"/>
    <n v="9.5"/>
    <m/>
    <n v="1.9"/>
    <n v="2.9829999999999999E-4"/>
    <n v="0"/>
    <n v="0"/>
    <m/>
  </r>
  <r>
    <s v="5604.4"/>
    <x v="3"/>
    <x v="9"/>
    <x v="0"/>
    <s v="20A"/>
    <s v="Whole Plate"/>
    <s v="Dolichospermum sp"/>
    <b v="1"/>
    <n v="10"/>
    <n v="22"/>
    <m/>
    <n v="2.2000000000000002"/>
    <n v="4.1800000000000002E-4"/>
    <n v="2.2000000000000002"/>
    <n v="4.1800000000000002E-4"/>
    <m/>
  </r>
  <r>
    <s v="5604.5"/>
    <x v="3"/>
    <x v="9"/>
    <x v="0"/>
    <s v="20A"/>
    <s v="Whole Plate"/>
    <s v="Phormidium sp"/>
    <b v="1"/>
    <n v="10"/>
    <n v="34"/>
    <m/>
    <n v="3.4"/>
    <n v="3.1735599999999997E-4"/>
    <n v="3.4"/>
    <n v="3.1735599999999997E-4"/>
    <m/>
  </r>
  <r>
    <s v="5604.6"/>
    <x v="3"/>
    <x v="9"/>
    <x v="0"/>
    <s v="20A"/>
    <s v="Whole Plate"/>
    <s v="Dolichospermum planctonicum "/>
    <b v="1"/>
    <n v="10"/>
    <n v="24"/>
    <m/>
    <n v="2.4"/>
    <n v="8.8800000000000001E-4"/>
    <n v="2.4"/>
    <n v="8.8800000000000001E-4"/>
    <m/>
  </r>
  <r>
    <s v="5601.1"/>
    <x v="3"/>
    <x v="10"/>
    <x v="0"/>
    <s v="20A"/>
    <s v="Whole Plate"/>
    <s v="Pseudanabaena limnetica (cylinder)"/>
    <b v="1"/>
    <n v="10"/>
    <n v="13"/>
    <m/>
    <n v="2.6"/>
    <n v="2.0540000000000001E-4"/>
    <n v="2.6"/>
    <n v="2.0540000000000001E-4"/>
    <m/>
  </r>
  <r>
    <s v="5601.2"/>
    <x v="3"/>
    <x v="10"/>
    <x v="0"/>
    <s v="20A"/>
    <s v="Whole Plate"/>
    <s v="Dolichospermum planctonicum "/>
    <b v="1"/>
    <n v="10"/>
    <n v="112"/>
    <m/>
    <n v="56"/>
    <n v="2.0719999999999999E-2"/>
    <n v="56"/>
    <n v="2.0719999999999999E-2"/>
    <m/>
  </r>
  <r>
    <s v="5601.3"/>
    <x v="3"/>
    <x v="10"/>
    <x v="0"/>
    <s v="20A"/>
    <s v="Whole Plate"/>
    <s v="Dolichospermum circinale"/>
    <b v="1"/>
    <n v="10"/>
    <n v="58"/>
    <m/>
    <n v="5.8"/>
    <n v="3.3387120000000002E-3"/>
    <n v="5.8"/>
    <n v="3.3387120000000002E-3"/>
    <m/>
  </r>
  <r>
    <s v="5601.4"/>
    <x v="3"/>
    <x v="10"/>
    <x v="0"/>
    <s v="20A"/>
    <s v="Whole Plate"/>
    <s v="Microcystis aeruginosa"/>
    <b v="1"/>
    <n v="10"/>
    <n v="104.5"/>
    <m/>
    <n v="20.9"/>
    <n v="1.8182999999999999E-3"/>
    <n v="20.9"/>
    <n v="1.8182999999999999E-3"/>
    <s v="Microcystis spp._x000a_"/>
  </r>
  <r>
    <s v="5607.1"/>
    <x v="3"/>
    <x v="11"/>
    <x v="0"/>
    <s v="20A"/>
    <s v="Whole Plate"/>
    <s v="Pseudanabaena limnetica (cylinder)"/>
    <b v="1"/>
    <n v="10"/>
    <n v="7"/>
    <m/>
    <n v="0.7"/>
    <n v="5.5300000000000002E-5"/>
    <n v="0.7"/>
    <n v="5.5300000000000002E-5"/>
    <m/>
  </r>
  <r>
    <s v="5607.2"/>
    <x v="3"/>
    <x v="11"/>
    <x v="0"/>
    <s v="20A"/>
    <s v="Whole Plate"/>
    <s v="Limnothrix cf planktonica"/>
    <b v="0"/>
    <n v="10"/>
    <n v="32.35"/>
    <n v="8"/>
    <n v="90.58"/>
    <n v="1.4221060000000001E-2"/>
    <n v="0"/>
    <n v="0"/>
    <m/>
  </r>
  <r>
    <s v="5607.3"/>
    <x v="3"/>
    <x v="11"/>
    <x v="0"/>
    <s v="20A"/>
    <s v="Whole Plate"/>
    <s v="Dolichospermum sp"/>
    <b v="1"/>
    <n v="10"/>
    <n v="35.3333333333333"/>
    <m/>
    <n v="10.6"/>
    <n v="2.0140000000000002E-3"/>
    <n v="10.6"/>
    <n v="2.0140000000000002E-3"/>
    <m/>
  </r>
  <r>
    <s v="5607.4"/>
    <x v="3"/>
    <x v="11"/>
    <x v="0"/>
    <s v="20A"/>
    <s v="Whole Plate"/>
    <s v="Dolichospermum planctonicum "/>
    <b v="1"/>
    <n v="10"/>
    <n v="22.5"/>
    <m/>
    <n v="4.5"/>
    <n v="1.665E-3"/>
    <n v="4.5"/>
    <n v="1.665E-3"/>
    <m/>
  </r>
  <r>
    <s v="5600.1"/>
    <x v="4"/>
    <x v="12"/>
    <x v="0"/>
    <s v="20A"/>
    <s v="160"/>
    <s v="Pseudanabaena limnetica (cylinder)"/>
    <b v="1"/>
    <n v="10"/>
    <n v="16.8333333333333"/>
    <m/>
    <n v="317.301319444444"/>
    <n v="2.5066804236111101E-2"/>
    <n v="317.301319444444"/>
    <n v="2.5066804236111101E-2"/>
    <m/>
  </r>
  <r>
    <s v="5600.2"/>
    <x v="4"/>
    <x v="12"/>
    <x v="0"/>
    <s v="20A"/>
    <s v="160"/>
    <s v="Woronichinia naegeliana"/>
    <b v="1"/>
    <n v="10"/>
    <n v="352.25"/>
    <m/>
    <n v="4426.5104861111104"/>
    <n v="0"/>
    <n v="4426.5104861111104"/>
    <n v="0"/>
    <m/>
  </r>
  <r>
    <s v="5600.3"/>
    <x v="4"/>
    <x v="12"/>
    <x v="0"/>
    <s v="20A"/>
    <s v="160"/>
    <s v="Dolichospermum circinale"/>
    <b v="1"/>
    <n v="10"/>
    <n v="18"/>
    <m/>
    <n v="508.93875000000003"/>
    <n v="0.29296550204999999"/>
    <n v="508.93875000000003"/>
    <n v="0.29296550204999999"/>
    <m/>
  </r>
  <r>
    <s v="5600.4"/>
    <x v="4"/>
    <x v="12"/>
    <x v="0"/>
    <s v="20A"/>
    <s v="160"/>
    <s v="Dolichospermum planctonicum "/>
    <b v="1"/>
    <n v="10"/>
    <n v="14"/>
    <m/>
    <n v="43.982361111111103"/>
    <n v="1.6273473611111099E-2"/>
    <n v="43.982361111111103"/>
    <n v="1.6273473611111099E-2"/>
    <m/>
  </r>
  <r>
    <s v="5600.5"/>
    <x v="4"/>
    <x v="12"/>
    <x v="0"/>
    <s v="20A"/>
    <s v="160"/>
    <s v="Aphanocapsa delicatissima"/>
    <b v="0"/>
    <n v="10"/>
    <n v="75"/>
    <m/>
    <n v="235.619791666667"/>
    <n v="2.35619791666667E-5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AlertWarning" cacheId="13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CellsPermL" cacheId="12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19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9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>
      <x v="3"/>
      <x v="7"/>
    </i>
    <i r="1">
      <x v="8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AlertWarning" cacheId="11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77" totalsRowShown="0">
  <autoFilter ref="A1:P77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14" totalsRowShown="0">
  <autoFilter ref="A1:P14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32.17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0</v>
      </c>
      <c r="I2">
        <v>10</v>
      </c>
      <c r="J2">
        <v>63.631578947368403</v>
      </c>
      <c r="L2">
        <v>120.9</v>
      </c>
      <c r="M2">
        <v>1.2089999999999999E-5</v>
      </c>
      <c r="N2">
        <v>0</v>
      </c>
      <c r="O2">
        <v>0</v>
      </c>
    </row>
    <row r="3" spans="1:16" x14ac:dyDescent="0.3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0</v>
      </c>
      <c r="I3">
        <v>10</v>
      </c>
      <c r="J3">
        <v>23.9</v>
      </c>
      <c r="K3">
        <v>386</v>
      </c>
      <c r="L3">
        <v>970.34</v>
      </c>
      <c r="M3">
        <v>4.8516999999999999E-4</v>
      </c>
      <c r="N3">
        <v>0</v>
      </c>
      <c r="O3">
        <v>0</v>
      </c>
    </row>
    <row r="4" spans="1:16" ht="29" x14ac:dyDescent="0.35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1</v>
      </c>
      <c r="I4">
        <v>10</v>
      </c>
      <c r="J4">
        <v>25.5</v>
      </c>
      <c r="L4">
        <v>5.0999999999999996</v>
      </c>
      <c r="M4">
        <v>4.437E-4</v>
      </c>
      <c r="N4">
        <v>5.0999999999999996</v>
      </c>
      <c r="O4">
        <v>4.437E-4</v>
      </c>
      <c r="P4" s="1" t="s">
        <v>27</v>
      </c>
    </row>
    <row r="5" spans="1:16" x14ac:dyDescent="0.35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1</v>
      </c>
      <c r="I5">
        <v>10</v>
      </c>
      <c r="J5">
        <v>49</v>
      </c>
      <c r="L5">
        <v>4.9000000000000004</v>
      </c>
      <c r="M5">
        <v>2.8206360000000001E-3</v>
      </c>
      <c r="N5">
        <v>4.9000000000000004</v>
      </c>
      <c r="O5">
        <v>2.8206360000000001E-3</v>
      </c>
    </row>
    <row r="6" spans="1:16" ht="29" x14ac:dyDescent="0.35">
      <c r="A6" t="s">
        <v>30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b">
        <v>1</v>
      </c>
      <c r="I6">
        <v>10</v>
      </c>
      <c r="J6">
        <v>53</v>
      </c>
      <c r="L6">
        <v>5.3</v>
      </c>
      <c r="M6">
        <v>1.008749E-3</v>
      </c>
      <c r="N6">
        <v>5.3</v>
      </c>
      <c r="O6">
        <v>1.008749E-3</v>
      </c>
      <c r="P6" s="1" t="s">
        <v>27</v>
      </c>
    </row>
    <row r="7" spans="1:16" x14ac:dyDescent="0.35">
      <c r="A7" t="s">
        <v>32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33</v>
      </c>
      <c r="H7" t="b">
        <v>0</v>
      </c>
      <c r="I7">
        <v>10</v>
      </c>
      <c r="J7">
        <v>3</v>
      </c>
      <c r="L7">
        <v>0.3</v>
      </c>
      <c r="M7">
        <v>1.38E-5</v>
      </c>
      <c r="N7">
        <v>0</v>
      </c>
      <c r="O7">
        <v>0</v>
      </c>
    </row>
    <row r="8" spans="1:16" x14ac:dyDescent="0.35">
      <c r="A8" t="s">
        <v>34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35</v>
      </c>
      <c r="H8" t="b">
        <v>1</v>
      </c>
      <c r="I8">
        <v>10</v>
      </c>
      <c r="J8">
        <v>20.3333333333333</v>
      </c>
      <c r="L8">
        <v>6.1</v>
      </c>
      <c r="M8">
        <v>5.6937399999999999E-4</v>
      </c>
      <c r="N8">
        <v>6.1</v>
      </c>
      <c r="O8">
        <v>5.6937399999999999E-4</v>
      </c>
    </row>
    <row r="9" spans="1:16" x14ac:dyDescent="0.35">
      <c r="A9" t="s">
        <v>36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37</v>
      </c>
      <c r="H9" t="b">
        <v>1</v>
      </c>
      <c r="I9">
        <v>10</v>
      </c>
      <c r="J9">
        <v>11.5</v>
      </c>
      <c r="L9">
        <v>2.2999999999999998</v>
      </c>
      <c r="M9">
        <v>1.817E-4</v>
      </c>
      <c r="N9">
        <v>2.2999999999999998</v>
      </c>
      <c r="O9">
        <v>1.817E-4</v>
      </c>
    </row>
    <row r="10" spans="1:16" x14ac:dyDescent="0.35">
      <c r="A10" t="s">
        <v>38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39</v>
      </c>
      <c r="H10" t="b">
        <v>1</v>
      </c>
      <c r="I10">
        <v>10</v>
      </c>
      <c r="J10">
        <v>16</v>
      </c>
      <c r="L10">
        <v>3.2</v>
      </c>
      <c r="M10">
        <v>1.1839999999999999E-3</v>
      </c>
      <c r="N10">
        <v>3.2</v>
      </c>
      <c r="O10">
        <v>1.1839999999999999E-3</v>
      </c>
    </row>
    <row r="11" spans="1:16" x14ac:dyDescent="0.35">
      <c r="A11" t="s">
        <v>40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41</v>
      </c>
      <c r="H11" t="b">
        <v>0</v>
      </c>
      <c r="I11">
        <v>10</v>
      </c>
      <c r="J11">
        <v>19</v>
      </c>
      <c r="L11">
        <v>1.9</v>
      </c>
      <c r="M11">
        <v>2.9829999999999999E-4</v>
      </c>
      <c r="N11">
        <v>0</v>
      </c>
      <c r="O11">
        <v>0</v>
      </c>
    </row>
    <row r="12" spans="1:16" x14ac:dyDescent="0.35">
      <c r="A12" t="s">
        <v>42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43</v>
      </c>
      <c r="H12" t="b">
        <v>1</v>
      </c>
      <c r="I12">
        <v>10</v>
      </c>
      <c r="J12">
        <v>40</v>
      </c>
      <c r="L12">
        <v>4</v>
      </c>
      <c r="M12">
        <v>7.6000000000000004E-4</v>
      </c>
      <c r="N12">
        <v>4</v>
      </c>
      <c r="O12">
        <v>7.6000000000000004E-4</v>
      </c>
    </row>
    <row r="13" spans="1:16" x14ac:dyDescent="0.35">
      <c r="A13" t="s">
        <v>44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45</v>
      </c>
      <c r="H13" t="b">
        <v>1</v>
      </c>
      <c r="I13">
        <v>10</v>
      </c>
      <c r="J13">
        <v>56</v>
      </c>
      <c r="L13">
        <v>5.6</v>
      </c>
      <c r="M13">
        <v>0</v>
      </c>
      <c r="N13">
        <v>5.6</v>
      </c>
      <c r="O13">
        <v>0</v>
      </c>
    </row>
    <row r="14" spans="1:16" ht="29" x14ac:dyDescent="0.35">
      <c r="A14" t="s">
        <v>46</v>
      </c>
      <c r="B14" t="s">
        <v>47</v>
      </c>
      <c r="C14" t="s">
        <v>48</v>
      </c>
      <c r="D14" t="s">
        <v>19</v>
      </c>
      <c r="E14" t="s">
        <v>20</v>
      </c>
      <c r="F14" t="s">
        <v>49</v>
      </c>
      <c r="G14" t="s">
        <v>26</v>
      </c>
      <c r="H14" t="b">
        <v>1</v>
      </c>
      <c r="I14">
        <v>10</v>
      </c>
      <c r="J14">
        <v>18.7</v>
      </c>
      <c r="K14">
        <v>36</v>
      </c>
      <c r="L14">
        <v>3289.8806111111098</v>
      </c>
      <c r="M14">
        <v>0.286219613166667</v>
      </c>
      <c r="N14">
        <v>3289.8806111111098</v>
      </c>
      <c r="O14">
        <v>0.286219613166667</v>
      </c>
      <c r="P14" s="1" t="s">
        <v>27</v>
      </c>
    </row>
    <row r="15" spans="1:16" x14ac:dyDescent="0.35">
      <c r="A15" t="s">
        <v>50</v>
      </c>
      <c r="B15" t="s">
        <v>47</v>
      </c>
      <c r="C15" t="s">
        <v>48</v>
      </c>
      <c r="D15" t="s">
        <v>19</v>
      </c>
      <c r="E15" t="s">
        <v>20</v>
      </c>
      <c r="F15" t="s">
        <v>49</v>
      </c>
      <c r="G15" t="s">
        <v>37</v>
      </c>
      <c r="H15" t="b">
        <v>1</v>
      </c>
      <c r="I15">
        <v>10</v>
      </c>
      <c r="J15">
        <v>17.5</v>
      </c>
      <c r="L15">
        <v>109.95590277777799</v>
      </c>
      <c r="M15">
        <v>8.6865163194444605E-3</v>
      </c>
      <c r="N15">
        <v>109.95590277777799</v>
      </c>
      <c r="O15">
        <v>8.6865163194444605E-3</v>
      </c>
    </row>
    <row r="16" spans="1:16" ht="29" x14ac:dyDescent="0.35">
      <c r="A16" t="s">
        <v>51</v>
      </c>
      <c r="B16" t="s">
        <v>47</v>
      </c>
      <c r="C16" t="s">
        <v>52</v>
      </c>
      <c r="D16" t="s">
        <v>19</v>
      </c>
      <c r="E16" t="s">
        <v>20</v>
      </c>
      <c r="F16" t="s">
        <v>49</v>
      </c>
      <c r="G16" t="s">
        <v>26</v>
      </c>
      <c r="H16" t="b">
        <v>1</v>
      </c>
      <c r="I16">
        <v>10</v>
      </c>
      <c r="J16">
        <v>7.85</v>
      </c>
      <c r="K16">
        <v>72</v>
      </c>
      <c r="L16">
        <v>2268.8615138888899</v>
      </c>
      <c r="M16">
        <v>0.19739095170833301</v>
      </c>
      <c r="N16">
        <v>2268.8615138888899</v>
      </c>
      <c r="O16">
        <v>0.19739095170833301</v>
      </c>
      <c r="P16" s="1" t="s">
        <v>27</v>
      </c>
    </row>
    <row r="17" spans="1:16" x14ac:dyDescent="0.35">
      <c r="A17" t="s">
        <v>53</v>
      </c>
      <c r="B17" t="s">
        <v>47</v>
      </c>
      <c r="C17" t="s">
        <v>52</v>
      </c>
      <c r="D17" t="s">
        <v>19</v>
      </c>
      <c r="E17" t="s">
        <v>20</v>
      </c>
      <c r="F17" t="s">
        <v>49</v>
      </c>
      <c r="G17" t="s">
        <v>37</v>
      </c>
      <c r="H17" t="b">
        <v>1</v>
      </c>
      <c r="I17">
        <v>10</v>
      </c>
      <c r="J17">
        <v>16</v>
      </c>
      <c r="L17">
        <v>50.265555555555601</v>
      </c>
      <c r="M17">
        <v>3.9709788888888896E-3</v>
      </c>
      <c r="N17">
        <v>50.265555555555601</v>
      </c>
      <c r="O17">
        <v>3.9709788888888896E-3</v>
      </c>
    </row>
    <row r="18" spans="1:16" x14ac:dyDescent="0.35">
      <c r="A18" t="s">
        <v>54</v>
      </c>
      <c r="B18" t="s">
        <v>55</v>
      </c>
      <c r="C18" t="s">
        <v>56</v>
      </c>
      <c r="D18" t="s">
        <v>19</v>
      </c>
      <c r="E18" t="s">
        <v>20</v>
      </c>
      <c r="F18" t="s">
        <v>49</v>
      </c>
      <c r="G18" t="s">
        <v>24</v>
      </c>
      <c r="H18" t="b">
        <v>0</v>
      </c>
      <c r="I18">
        <v>10</v>
      </c>
      <c r="J18">
        <v>21.8</v>
      </c>
      <c r="K18">
        <v>114</v>
      </c>
      <c r="L18">
        <v>9177.2338055555592</v>
      </c>
      <c r="M18">
        <v>4.5886169027777798E-3</v>
      </c>
      <c r="N18">
        <v>0</v>
      </c>
      <c r="O18">
        <v>0</v>
      </c>
    </row>
    <row r="19" spans="1:16" x14ac:dyDescent="0.35">
      <c r="A19" t="s">
        <v>57</v>
      </c>
      <c r="B19" t="s">
        <v>55</v>
      </c>
      <c r="C19" t="s">
        <v>56</v>
      </c>
      <c r="D19" t="s">
        <v>19</v>
      </c>
      <c r="E19" t="s">
        <v>20</v>
      </c>
      <c r="F19" t="s">
        <v>49</v>
      </c>
      <c r="G19" t="s">
        <v>22</v>
      </c>
      <c r="H19" t="b">
        <v>0</v>
      </c>
      <c r="I19">
        <v>10</v>
      </c>
      <c r="J19">
        <v>57.6666666666667</v>
      </c>
      <c r="L19">
        <v>543.496319444444</v>
      </c>
      <c r="M19">
        <v>5.4349631944444403E-5</v>
      </c>
      <c r="N19">
        <v>0</v>
      </c>
      <c r="O19">
        <v>0</v>
      </c>
    </row>
    <row r="20" spans="1:16" x14ac:dyDescent="0.35">
      <c r="A20" t="s">
        <v>58</v>
      </c>
      <c r="B20" t="s">
        <v>55</v>
      </c>
      <c r="C20" t="s">
        <v>59</v>
      </c>
      <c r="D20" t="s">
        <v>19</v>
      </c>
      <c r="E20" t="s">
        <v>20</v>
      </c>
      <c r="F20" t="s">
        <v>21</v>
      </c>
      <c r="G20" t="s">
        <v>60</v>
      </c>
      <c r="H20" t="b">
        <v>1</v>
      </c>
      <c r="I20">
        <v>10</v>
      </c>
      <c r="J20">
        <v>52.15</v>
      </c>
      <c r="K20">
        <v>58</v>
      </c>
      <c r="L20">
        <v>406.77</v>
      </c>
      <c r="M20">
        <v>4.4744699999999998E-2</v>
      </c>
      <c r="N20">
        <v>406.77</v>
      </c>
      <c r="O20">
        <v>4.4744699999999998E-2</v>
      </c>
    </row>
    <row r="21" spans="1:16" x14ac:dyDescent="0.35">
      <c r="A21" t="s">
        <v>61</v>
      </c>
      <c r="B21" t="s">
        <v>55</v>
      </c>
      <c r="C21" t="s">
        <v>59</v>
      </c>
      <c r="D21" t="s">
        <v>19</v>
      </c>
      <c r="E21" t="s">
        <v>20</v>
      </c>
      <c r="F21" t="s">
        <v>21</v>
      </c>
      <c r="G21" t="s">
        <v>22</v>
      </c>
      <c r="H21" t="b">
        <v>0</v>
      </c>
      <c r="I21">
        <v>10</v>
      </c>
      <c r="J21">
        <v>106.25</v>
      </c>
      <c r="K21">
        <v>34</v>
      </c>
      <c r="L21">
        <v>573.75</v>
      </c>
      <c r="M21">
        <v>5.7374999999999999E-5</v>
      </c>
      <c r="N21">
        <v>0</v>
      </c>
      <c r="O21">
        <v>0</v>
      </c>
    </row>
    <row r="22" spans="1:16" ht="29" x14ac:dyDescent="0.35">
      <c r="A22" t="s">
        <v>62</v>
      </c>
      <c r="B22" t="s">
        <v>55</v>
      </c>
      <c r="C22" t="s">
        <v>59</v>
      </c>
      <c r="D22" t="s">
        <v>19</v>
      </c>
      <c r="E22" t="s">
        <v>20</v>
      </c>
      <c r="F22" t="s">
        <v>21</v>
      </c>
      <c r="G22" t="s">
        <v>63</v>
      </c>
      <c r="H22" t="b">
        <v>1</v>
      </c>
      <c r="I22">
        <v>10</v>
      </c>
      <c r="J22">
        <v>24.5555555555556</v>
      </c>
      <c r="L22">
        <v>22.1</v>
      </c>
      <c r="M22">
        <v>2.0566260000000002E-3</v>
      </c>
      <c r="N22">
        <v>22.1</v>
      </c>
      <c r="O22">
        <v>2.0566260000000002E-3</v>
      </c>
      <c r="P22" s="1" t="s">
        <v>27</v>
      </c>
    </row>
    <row r="23" spans="1:16" x14ac:dyDescent="0.35">
      <c r="A23" t="s">
        <v>64</v>
      </c>
      <c r="B23" t="s">
        <v>55</v>
      </c>
      <c r="C23" t="s">
        <v>59</v>
      </c>
      <c r="D23" t="s">
        <v>19</v>
      </c>
      <c r="E23" t="s">
        <v>20</v>
      </c>
      <c r="F23" t="s">
        <v>21</v>
      </c>
      <c r="G23" t="s">
        <v>45</v>
      </c>
      <c r="H23" t="b">
        <v>1</v>
      </c>
      <c r="I23">
        <v>10</v>
      </c>
      <c r="J23">
        <v>266</v>
      </c>
      <c r="L23">
        <v>452.2</v>
      </c>
      <c r="M23">
        <v>0</v>
      </c>
      <c r="N23">
        <v>452.2</v>
      </c>
      <c r="O23">
        <v>0</v>
      </c>
    </row>
    <row r="24" spans="1:16" ht="29" x14ac:dyDescent="0.35">
      <c r="A24" t="s">
        <v>65</v>
      </c>
      <c r="B24" t="s">
        <v>55</v>
      </c>
      <c r="C24" t="s">
        <v>59</v>
      </c>
      <c r="D24" t="s">
        <v>19</v>
      </c>
      <c r="E24" t="s">
        <v>20</v>
      </c>
      <c r="F24" t="s">
        <v>21</v>
      </c>
      <c r="G24" t="s">
        <v>31</v>
      </c>
      <c r="H24" t="b">
        <v>1</v>
      </c>
      <c r="I24">
        <v>10</v>
      </c>
      <c r="J24">
        <v>50.909090909090899</v>
      </c>
      <c r="L24">
        <v>56</v>
      </c>
      <c r="M24">
        <v>1.065848E-2</v>
      </c>
      <c r="N24">
        <v>56</v>
      </c>
      <c r="O24">
        <v>1.065848E-2</v>
      </c>
      <c r="P24" s="1" t="s">
        <v>27</v>
      </c>
    </row>
    <row r="25" spans="1:16" x14ac:dyDescent="0.35">
      <c r="A25" t="s">
        <v>66</v>
      </c>
      <c r="B25" t="s">
        <v>55</v>
      </c>
      <c r="C25" t="s">
        <v>59</v>
      </c>
      <c r="D25" t="s">
        <v>19</v>
      </c>
      <c r="E25" t="s">
        <v>20</v>
      </c>
      <c r="F25" t="s">
        <v>21</v>
      </c>
      <c r="G25" t="s">
        <v>24</v>
      </c>
      <c r="H25" t="b">
        <v>0</v>
      </c>
      <c r="I25">
        <v>10</v>
      </c>
      <c r="J25">
        <v>37.818181818181799</v>
      </c>
      <c r="L25">
        <v>41.6</v>
      </c>
      <c r="M25">
        <v>2.0800000000000001E-5</v>
      </c>
      <c r="N25">
        <v>0</v>
      </c>
      <c r="O25">
        <v>0</v>
      </c>
    </row>
    <row r="26" spans="1:16" x14ac:dyDescent="0.35">
      <c r="A26" t="s">
        <v>67</v>
      </c>
      <c r="B26" t="s">
        <v>55</v>
      </c>
      <c r="C26" t="s">
        <v>59</v>
      </c>
      <c r="D26" t="s">
        <v>19</v>
      </c>
      <c r="E26" t="s">
        <v>20</v>
      </c>
      <c r="F26" t="s">
        <v>21</v>
      </c>
      <c r="G26" t="s">
        <v>29</v>
      </c>
      <c r="H26" t="b">
        <v>1</v>
      </c>
      <c r="I26">
        <v>10</v>
      </c>
      <c r="J26">
        <v>4</v>
      </c>
      <c r="L26">
        <v>0.4</v>
      </c>
      <c r="M26">
        <v>2.30256E-4</v>
      </c>
      <c r="N26">
        <v>0.4</v>
      </c>
      <c r="O26">
        <v>2.30256E-4</v>
      </c>
    </row>
    <row r="27" spans="1:16" x14ac:dyDescent="0.35">
      <c r="A27" t="s">
        <v>68</v>
      </c>
      <c r="B27" t="s">
        <v>55</v>
      </c>
      <c r="C27" t="s">
        <v>59</v>
      </c>
      <c r="D27" t="s">
        <v>19</v>
      </c>
      <c r="E27" t="s">
        <v>20</v>
      </c>
      <c r="F27" t="s">
        <v>21</v>
      </c>
      <c r="G27" t="s">
        <v>69</v>
      </c>
      <c r="H27" t="b">
        <v>0</v>
      </c>
      <c r="I27">
        <v>10</v>
      </c>
      <c r="J27">
        <v>123.75</v>
      </c>
      <c r="L27">
        <v>49.5</v>
      </c>
      <c r="M27">
        <v>4.4005500000000001E-4</v>
      </c>
      <c r="N27">
        <v>0</v>
      </c>
      <c r="O27">
        <v>0</v>
      </c>
    </row>
    <row r="28" spans="1:16" x14ac:dyDescent="0.35">
      <c r="A28" t="s">
        <v>70</v>
      </c>
      <c r="B28" t="s">
        <v>55</v>
      </c>
      <c r="C28" t="s">
        <v>59</v>
      </c>
      <c r="D28" t="s">
        <v>19</v>
      </c>
      <c r="E28" t="s">
        <v>20</v>
      </c>
      <c r="F28" t="s">
        <v>21</v>
      </c>
      <c r="G28" t="s">
        <v>33</v>
      </c>
      <c r="H28" t="b">
        <v>0</v>
      </c>
      <c r="I28">
        <v>10</v>
      </c>
      <c r="J28">
        <v>9</v>
      </c>
      <c r="L28">
        <v>0.9</v>
      </c>
      <c r="M28">
        <v>4.1399999999999997E-5</v>
      </c>
      <c r="N28">
        <v>0</v>
      </c>
      <c r="O28">
        <v>0</v>
      </c>
    </row>
    <row r="29" spans="1:16" x14ac:dyDescent="0.35">
      <c r="A29" t="s">
        <v>71</v>
      </c>
      <c r="B29" t="s">
        <v>55</v>
      </c>
      <c r="C29" t="s">
        <v>59</v>
      </c>
      <c r="D29" t="s">
        <v>19</v>
      </c>
      <c r="E29" t="s">
        <v>20</v>
      </c>
      <c r="F29" t="s">
        <v>21</v>
      </c>
      <c r="G29" t="s">
        <v>39</v>
      </c>
      <c r="H29" t="b">
        <v>1</v>
      </c>
      <c r="I29">
        <v>10</v>
      </c>
      <c r="J29">
        <v>25</v>
      </c>
      <c r="L29">
        <v>25</v>
      </c>
      <c r="M29">
        <v>9.2499999999999995E-3</v>
      </c>
      <c r="N29">
        <v>25</v>
      </c>
      <c r="O29">
        <v>9.2499999999999995E-3</v>
      </c>
    </row>
    <row r="30" spans="1:16" x14ac:dyDescent="0.35">
      <c r="A30" t="s">
        <v>72</v>
      </c>
      <c r="B30" t="s">
        <v>55</v>
      </c>
      <c r="C30" t="s">
        <v>59</v>
      </c>
      <c r="D30" t="s">
        <v>19</v>
      </c>
      <c r="E30" t="s">
        <v>20</v>
      </c>
      <c r="F30" t="s">
        <v>21</v>
      </c>
      <c r="G30" t="s">
        <v>37</v>
      </c>
      <c r="H30" t="b">
        <v>1</v>
      </c>
      <c r="I30">
        <v>10</v>
      </c>
      <c r="J30">
        <v>6</v>
      </c>
      <c r="L30">
        <v>0.6</v>
      </c>
      <c r="M30">
        <v>4.74E-5</v>
      </c>
      <c r="N30">
        <v>0.6</v>
      </c>
      <c r="O30">
        <v>4.74E-5</v>
      </c>
    </row>
    <row r="31" spans="1:16" x14ac:dyDescent="0.35">
      <c r="A31" t="s">
        <v>73</v>
      </c>
      <c r="B31" t="s">
        <v>55</v>
      </c>
      <c r="C31" t="s">
        <v>74</v>
      </c>
      <c r="D31" t="s">
        <v>19</v>
      </c>
      <c r="E31" t="s">
        <v>20</v>
      </c>
      <c r="F31" t="s">
        <v>21</v>
      </c>
      <c r="G31" t="s">
        <v>24</v>
      </c>
      <c r="H31" t="b">
        <v>0</v>
      </c>
      <c r="I31">
        <v>10</v>
      </c>
      <c r="J31">
        <v>30.8</v>
      </c>
      <c r="K31">
        <v>228</v>
      </c>
      <c r="L31">
        <v>763.84</v>
      </c>
      <c r="M31">
        <v>3.8192E-4</v>
      </c>
      <c r="N31">
        <v>0</v>
      </c>
      <c r="O31">
        <v>0</v>
      </c>
    </row>
    <row r="32" spans="1:16" x14ac:dyDescent="0.35">
      <c r="A32" t="s">
        <v>75</v>
      </c>
      <c r="B32" t="s">
        <v>55</v>
      </c>
      <c r="C32" t="s">
        <v>74</v>
      </c>
      <c r="D32" t="s">
        <v>19</v>
      </c>
      <c r="E32" t="s">
        <v>20</v>
      </c>
      <c r="F32" t="s">
        <v>21</v>
      </c>
      <c r="G32" t="s">
        <v>22</v>
      </c>
      <c r="H32" t="b">
        <v>0</v>
      </c>
      <c r="I32">
        <v>10</v>
      </c>
      <c r="J32">
        <v>142.388888888889</v>
      </c>
      <c r="L32">
        <v>256.3</v>
      </c>
      <c r="M32">
        <v>2.563E-5</v>
      </c>
      <c r="N32">
        <v>0</v>
      </c>
      <c r="O32">
        <v>0</v>
      </c>
    </row>
    <row r="33" spans="1:16" x14ac:dyDescent="0.35">
      <c r="A33" t="s">
        <v>76</v>
      </c>
      <c r="B33" t="s">
        <v>55</v>
      </c>
      <c r="C33" t="s">
        <v>74</v>
      </c>
      <c r="D33" t="s">
        <v>19</v>
      </c>
      <c r="E33" t="s">
        <v>20</v>
      </c>
      <c r="F33" t="s">
        <v>21</v>
      </c>
      <c r="G33" t="s">
        <v>37</v>
      </c>
      <c r="H33" t="b">
        <v>1</v>
      </c>
      <c r="I33">
        <v>10</v>
      </c>
      <c r="J33">
        <v>22</v>
      </c>
      <c r="L33">
        <v>6.6</v>
      </c>
      <c r="M33">
        <v>5.2139999999999999E-4</v>
      </c>
      <c r="N33">
        <v>6.6</v>
      </c>
      <c r="O33">
        <v>5.2139999999999999E-4</v>
      </c>
    </row>
    <row r="34" spans="1:16" ht="29" x14ac:dyDescent="0.35">
      <c r="A34" t="s">
        <v>77</v>
      </c>
      <c r="B34" t="s">
        <v>55</v>
      </c>
      <c r="C34" t="s">
        <v>74</v>
      </c>
      <c r="D34" t="s">
        <v>19</v>
      </c>
      <c r="E34" t="s">
        <v>20</v>
      </c>
      <c r="F34" t="s">
        <v>21</v>
      </c>
      <c r="G34" t="s">
        <v>26</v>
      </c>
      <c r="H34" t="b">
        <v>1</v>
      </c>
      <c r="I34">
        <v>10</v>
      </c>
      <c r="J34">
        <v>29</v>
      </c>
      <c r="L34">
        <v>2.9</v>
      </c>
      <c r="M34">
        <v>2.5230000000000001E-4</v>
      </c>
      <c r="N34">
        <v>2.9</v>
      </c>
      <c r="O34">
        <v>2.5230000000000001E-4</v>
      </c>
      <c r="P34" s="1" t="s">
        <v>27</v>
      </c>
    </row>
    <row r="35" spans="1:16" x14ac:dyDescent="0.35">
      <c r="A35" t="s">
        <v>78</v>
      </c>
      <c r="B35" t="s">
        <v>55</v>
      </c>
      <c r="C35" t="s">
        <v>74</v>
      </c>
      <c r="D35" t="s">
        <v>19</v>
      </c>
      <c r="E35" t="s">
        <v>20</v>
      </c>
      <c r="F35" t="s">
        <v>21</v>
      </c>
      <c r="G35" t="s">
        <v>35</v>
      </c>
      <c r="H35" t="b">
        <v>1</v>
      </c>
      <c r="I35">
        <v>10</v>
      </c>
      <c r="J35">
        <v>29.6666666666667</v>
      </c>
      <c r="L35">
        <v>8.9</v>
      </c>
      <c r="M35">
        <v>8.3072599999999995E-4</v>
      </c>
      <c r="N35">
        <v>8.9</v>
      </c>
      <c r="O35">
        <v>8.3072599999999995E-4</v>
      </c>
    </row>
    <row r="36" spans="1:16" x14ac:dyDescent="0.35">
      <c r="A36" t="s">
        <v>79</v>
      </c>
      <c r="B36" t="s">
        <v>55</v>
      </c>
      <c r="C36" t="s">
        <v>74</v>
      </c>
      <c r="D36" t="s">
        <v>19</v>
      </c>
      <c r="E36" t="s">
        <v>20</v>
      </c>
      <c r="F36" t="s">
        <v>21</v>
      </c>
      <c r="G36" t="s">
        <v>39</v>
      </c>
      <c r="H36" t="b">
        <v>1</v>
      </c>
      <c r="I36">
        <v>10</v>
      </c>
      <c r="J36">
        <v>35.5</v>
      </c>
      <c r="L36">
        <v>7.1</v>
      </c>
      <c r="M36">
        <v>2.627E-3</v>
      </c>
      <c r="N36">
        <v>7.1</v>
      </c>
      <c r="O36">
        <v>2.627E-3</v>
      </c>
    </row>
    <row r="37" spans="1:16" ht="29" x14ac:dyDescent="0.35">
      <c r="A37" t="s">
        <v>80</v>
      </c>
      <c r="B37" t="s">
        <v>55</v>
      </c>
      <c r="C37" t="s">
        <v>74</v>
      </c>
      <c r="D37" t="s">
        <v>19</v>
      </c>
      <c r="E37" t="s">
        <v>20</v>
      </c>
      <c r="F37" t="s">
        <v>21</v>
      </c>
      <c r="G37" t="s">
        <v>26</v>
      </c>
      <c r="H37" t="b">
        <v>1</v>
      </c>
      <c r="I37">
        <v>10</v>
      </c>
      <c r="J37">
        <v>103</v>
      </c>
      <c r="L37">
        <v>10.3</v>
      </c>
      <c r="M37">
        <v>8.9610000000000004E-4</v>
      </c>
      <c r="N37">
        <v>10.3</v>
      </c>
      <c r="O37">
        <v>8.9610000000000004E-4</v>
      </c>
      <c r="P37" s="1" t="s">
        <v>27</v>
      </c>
    </row>
    <row r="38" spans="1:16" x14ac:dyDescent="0.35">
      <c r="A38" t="s">
        <v>81</v>
      </c>
      <c r="B38" t="s">
        <v>55</v>
      </c>
      <c r="C38" t="s">
        <v>82</v>
      </c>
      <c r="D38" t="s">
        <v>19</v>
      </c>
      <c r="E38" t="s">
        <v>20</v>
      </c>
      <c r="F38" t="s">
        <v>21</v>
      </c>
      <c r="G38" t="s">
        <v>24</v>
      </c>
      <c r="H38" t="b">
        <v>0</v>
      </c>
      <c r="I38">
        <v>10</v>
      </c>
      <c r="J38">
        <v>18.8</v>
      </c>
      <c r="K38">
        <v>436</v>
      </c>
      <c r="L38">
        <v>857.28</v>
      </c>
      <c r="M38">
        <v>4.2863999999999999E-4</v>
      </c>
      <c r="N38">
        <v>0</v>
      </c>
      <c r="O38">
        <v>0</v>
      </c>
    </row>
    <row r="39" spans="1:16" ht="29" x14ac:dyDescent="0.35">
      <c r="A39" t="s">
        <v>83</v>
      </c>
      <c r="B39" t="s">
        <v>55</v>
      </c>
      <c r="C39" t="s">
        <v>82</v>
      </c>
      <c r="D39" t="s">
        <v>19</v>
      </c>
      <c r="E39" t="s">
        <v>20</v>
      </c>
      <c r="F39" t="s">
        <v>21</v>
      </c>
      <c r="G39" t="s">
        <v>26</v>
      </c>
      <c r="H39" t="b">
        <v>1</v>
      </c>
      <c r="I39">
        <v>10</v>
      </c>
      <c r="J39">
        <v>35.75</v>
      </c>
      <c r="L39">
        <v>14.3</v>
      </c>
      <c r="M39">
        <v>1.2440999999999999E-3</v>
      </c>
      <c r="N39">
        <v>14.3</v>
      </c>
      <c r="O39">
        <v>1.2440999999999999E-3</v>
      </c>
      <c r="P39" s="1" t="s">
        <v>27</v>
      </c>
    </row>
    <row r="40" spans="1:16" x14ac:dyDescent="0.35">
      <c r="A40" t="s">
        <v>84</v>
      </c>
      <c r="B40" t="s">
        <v>55</v>
      </c>
      <c r="C40" t="s">
        <v>82</v>
      </c>
      <c r="D40" t="s">
        <v>19</v>
      </c>
      <c r="E40" t="s">
        <v>20</v>
      </c>
      <c r="F40" t="s">
        <v>21</v>
      </c>
      <c r="G40" t="s">
        <v>35</v>
      </c>
      <c r="H40" t="b">
        <v>1</v>
      </c>
      <c r="I40">
        <v>10</v>
      </c>
      <c r="J40">
        <v>64</v>
      </c>
      <c r="L40">
        <v>6.4</v>
      </c>
      <c r="M40">
        <v>5.9737600000000005E-4</v>
      </c>
      <c r="N40">
        <v>6.4</v>
      </c>
      <c r="O40">
        <v>5.9737600000000005E-4</v>
      </c>
    </row>
    <row r="41" spans="1:16" x14ac:dyDescent="0.35">
      <c r="A41" t="s">
        <v>85</v>
      </c>
      <c r="B41" t="s">
        <v>55</v>
      </c>
      <c r="C41" t="s">
        <v>82</v>
      </c>
      <c r="D41" t="s">
        <v>19</v>
      </c>
      <c r="E41" t="s">
        <v>20</v>
      </c>
      <c r="F41" t="s">
        <v>21</v>
      </c>
      <c r="G41" t="s">
        <v>60</v>
      </c>
      <c r="H41" t="b">
        <v>1</v>
      </c>
      <c r="I41">
        <v>10</v>
      </c>
      <c r="J41">
        <v>58.7</v>
      </c>
      <c r="K41">
        <v>8</v>
      </c>
      <c r="L41">
        <v>164.36</v>
      </c>
      <c r="M41">
        <v>1.8079600000000001E-2</v>
      </c>
      <c r="N41">
        <v>164.36</v>
      </c>
      <c r="O41">
        <v>1.8079600000000001E-2</v>
      </c>
    </row>
    <row r="42" spans="1:16" x14ac:dyDescent="0.35">
      <c r="A42" t="s">
        <v>86</v>
      </c>
      <c r="B42" t="s">
        <v>55</v>
      </c>
      <c r="C42" t="s">
        <v>82</v>
      </c>
      <c r="D42" t="s">
        <v>19</v>
      </c>
      <c r="E42" t="s">
        <v>20</v>
      </c>
      <c r="F42" t="s">
        <v>21</v>
      </c>
      <c r="G42" t="s">
        <v>22</v>
      </c>
      <c r="H42" t="b">
        <v>0</v>
      </c>
      <c r="I42">
        <v>10</v>
      </c>
      <c r="J42">
        <v>98.8</v>
      </c>
      <c r="K42">
        <v>21</v>
      </c>
      <c r="L42">
        <v>405.08</v>
      </c>
      <c r="M42">
        <v>4.0507999999999999E-5</v>
      </c>
      <c r="N42">
        <v>0</v>
      </c>
      <c r="O42">
        <v>0</v>
      </c>
    </row>
    <row r="43" spans="1:16" x14ac:dyDescent="0.35">
      <c r="A43" t="s">
        <v>87</v>
      </c>
      <c r="B43" t="s">
        <v>55</v>
      </c>
      <c r="C43" t="s">
        <v>82</v>
      </c>
      <c r="D43" t="s">
        <v>19</v>
      </c>
      <c r="E43" t="s">
        <v>20</v>
      </c>
      <c r="F43" t="s">
        <v>21</v>
      </c>
      <c r="G43" t="s">
        <v>39</v>
      </c>
      <c r="H43" t="b">
        <v>1</v>
      </c>
      <c r="I43">
        <v>10</v>
      </c>
      <c r="J43">
        <v>17.95</v>
      </c>
      <c r="K43">
        <v>18</v>
      </c>
      <c r="L43">
        <v>68.209999999999994</v>
      </c>
      <c r="M43">
        <v>2.5237699999999998E-2</v>
      </c>
      <c r="N43">
        <v>68.209999999999994</v>
      </c>
      <c r="O43">
        <v>2.5237699999999998E-2</v>
      </c>
    </row>
    <row r="44" spans="1:16" x14ac:dyDescent="0.35">
      <c r="A44" t="s">
        <v>88</v>
      </c>
      <c r="B44" t="s">
        <v>55</v>
      </c>
      <c r="C44" t="s">
        <v>89</v>
      </c>
      <c r="D44" t="s">
        <v>19</v>
      </c>
      <c r="E44" t="s">
        <v>20</v>
      </c>
      <c r="F44" t="s">
        <v>21</v>
      </c>
      <c r="G44" t="s">
        <v>22</v>
      </c>
      <c r="H44" t="b">
        <v>0</v>
      </c>
      <c r="I44">
        <v>10</v>
      </c>
      <c r="J44">
        <v>85.95</v>
      </c>
      <c r="K44">
        <v>43</v>
      </c>
      <c r="L44">
        <v>541.48500000000001</v>
      </c>
      <c r="M44">
        <v>5.4148499999999998E-5</v>
      </c>
      <c r="N44">
        <v>0</v>
      </c>
      <c r="O44">
        <v>0</v>
      </c>
    </row>
    <row r="45" spans="1:16" x14ac:dyDescent="0.35">
      <c r="A45" t="s">
        <v>90</v>
      </c>
      <c r="B45" t="s">
        <v>55</v>
      </c>
      <c r="C45" t="s">
        <v>89</v>
      </c>
      <c r="D45" t="s">
        <v>19</v>
      </c>
      <c r="E45" t="s">
        <v>20</v>
      </c>
      <c r="F45" t="s">
        <v>21</v>
      </c>
      <c r="G45" t="s">
        <v>39</v>
      </c>
      <c r="H45" t="b">
        <v>1</v>
      </c>
      <c r="I45">
        <v>10</v>
      </c>
      <c r="J45">
        <v>29.684210526315798</v>
      </c>
      <c r="L45">
        <v>56.4</v>
      </c>
      <c r="M45">
        <v>2.0868000000000001E-2</v>
      </c>
      <c r="N45">
        <v>56.4</v>
      </c>
      <c r="O45">
        <v>2.0868000000000001E-2</v>
      </c>
    </row>
    <row r="46" spans="1:16" x14ac:dyDescent="0.35">
      <c r="A46" t="s">
        <v>91</v>
      </c>
      <c r="B46" t="s">
        <v>55</v>
      </c>
      <c r="C46" t="s">
        <v>89</v>
      </c>
      <c r="D46" t="s">
        <v>19</v>
      </c>
      <c r="E46" t="s">
        <v>20</v>
      </c>
      <c r="F46" t="s">
        <v>21</v>
      </c>
      <c r="G46" t="s">
        <v>24</v>
      </c>
      <c r="H46" t="b">
        <v>0</v>
      </c>
      <c r="I46">
        <v>10</v>
      </c>
      <c r="J46">
        <v>34</v>
      </c>
      <c r="K46">
        <v>73</v>
      </c>
      <c r="L46">
        <v>316.2</v>
      </c>
      <c r="M46">
        <v>1.5809999999999999E-4</v>
      </c>
      <c r="N46">
        <v>0</v>
      </c>
      <c r="O46">
        <v>0</v>
      </c>
    </row>
    <row r="47" spans="1:16" ht="29" x14ac:dyDescent="0.35">
      <c r="A47" t="s">
        <v>92</v>
      </c>
      <c r="B47" t="s">
        <v>55</v>
      </c>
      <c r="C47" t="s">
        <v>89</v>
      </c>
      <c r="D47" t="s">
        <v>19</v>
      </c>
      <c r="E47" t="s">
        <v>20</v>
      </c>
      <c r="F47" t="s">
        <v>21</v>
      </c>
      <c r="G47" t="s">
        <v>26</v>
      </c>
      <c r="H47" t="b">
        <v>1</v>
      </c>
      <c r="I47">
        <v>10</v>
      </c>
      <c r="J47">
        <v>59.285714285714299</v>
      </c>
      <c r="L47">
        <v>41.5</v>
      </c>
      <c r="M47">
        <v>3.6105E-3</v>
      </c>
      <c r="N47">
        <v>41.5</v>
      </c>
      <c r="O47">
        <v>3.6105E-3</v>
      </c>
      <c r="P47" s="1" t="s">
        <v>27</v>
      </c>
    </row>
    <row r="48" spans="1:16" x14ac:dyDescent="0.35">
      <c r="A48" t="s">
        <v>93</v>
      </c>
      <c r="B48" t="s">
        <v>55</v>
      </c>
      <c r="C48" t="s">
        <v>89</v>
      </c>
      <c r="D48" t="s">
        <v>19</v>
      </c>
      <c r="E48" t="s">
        <v>20</v>
      </c>
      <c r="F48" t="s">
        <v>21</v>
      </c>
      <c r="G48" t="s">
        <v>60</v>
      </c>
      <c r="H48" t="b">
        <v>1</v>
      </c>
      <c r="I48">
        <v>10</v>
      </c>
      <c r="J48">
        <v>34.857142857142897</v>
      </c>
      <c r="L48">
        <v>24.4</v>
      </c>
      <c r="M48">
        <v>2.6840000000000002E-3</v>
      </c>
      <c r="N48">
        <v>24.4</v>
      </c>
      <c r="O48">
        <v>2.6840000000000002E-3</v>
      </c>
    </row>
    <row r="49" spans="1:16" x14ac:dyDescent="0.35">
      <c r="A49" t="s">
        <v>94</v>
      </c>
      <c r="B49" t="s">
        <v>55</v>
      </c>
      <c r="C49" t="s">
        <v>89</v>
      </c>
      <c r="D49" t="s">
        <v>19</v>
      </c>
      <c r="E49" t="s">
        <v>20</v>
      </c>
      <c r="F49" t="s">
        <v>21</v>
      </c>
      <c r="G49" t="s">
        <v>29</v>
      </c>
      <c r="H49" t="b">
        <v>1</v>
      </c>
      <c r="I49">
        <v>10</v>
      </c>
      <c r="J49">
        <v>18</v>
      </c>
      <c r="L49">
        <v>1.8</v>
      </c>
      <c r="M49">
        <v>1.036152E-3</v>
      </c>
      <c r="N49">
        <v>1.8</v>
      </c>
      <c r="O49">
        <v>1.036152E-3</v>
      </c>
    </row>
    <row r="50" spans="1:16" x14ac:dyDescent="0.35">
      <c r="A50" t="s">
        <v>95</v>
      </c>
      <c r="B50" t="s">
        <v>55</v>
      </c>
      <c r="C50" t="s">
        <v>89</v>
      </c>
      <c r="D50" t="s">
        <v>19</v>
      </c>
      <c r="E50" t="s">
        <v>20</v>
      </c>
      <c r="F50" t="s">
        <v>21</v>
      </c>
      <c r="G50" t="s">
        <v>35</v>
      </c>
      <c r="H50" t="b">
        <v>1</v>
      </c>
      <c r="I50">
        <v>10</v>
      </c>
      <c r="J50">
        <v>20.75</v>
      </c>
      <c r="L50">
        <v>8.3000000000000007</v>
      </c>
      <c r="M50">
        <v>7.7472200000000004E-4</v>
      </c>
      <c r="N50">
        <v>8.3000000000000007</v>
      </c>
      <c r="O50">
        <v>7.7472200000000004E-4</v>
      </c>
    </row>
    <row r="51" spans="1:16" x14ac:dyDescent="0.35">
      <c r="A51" t="s">
        <v>96</v>
      </c>
      <c r="B51" t="s">
        <v>55</v>
      </c>
      <c r="C51" t="s">
        <v>89</v>
      </c>
      <c r="D51" t="s">
        <v>19</v>
      </c>
      <c r="E51" t="s">
        <v>20</v>
      </c>
      <c r="F51" t="s">
        <v>21</v>
      </c>
      <c r="G51" t="s">
        <v>37</v>
      </c>
      <c r="H51" t="b">
        <v>1</v>
      </c>
      <c r="I51">
        <v>10</v>
      </c>
      <c r="J51">
        <v>9</v>
      </c>
      <c r="L51">
        <v>0.9</v>
      </c>
      <c r="M51">
        <v>7.1099999999999994E-5</v>
      </c>
      <c r="N51">
        <v>0.9</v>
      </c>
      <c r="O51">
        <v>7.1099999999999994E-5</v>
      </c>
    </row>
    <row r="52" spans="1:16" ht="29" x14ac:dyDescent="0.35">
      <c r="A52" t="s">
        <v>97</v>
      </c>
      <c r="B52" t="s">
        <v>55</v>
      </c>
      <c r="C52" t="s">
        <v>89</v>
      </c>
      <c r="D52" t="s">
        <v>19</v>
      </c>
      <c r="E52" t="s">
        <v>20</v>
      </c>
      <c r="F52" t="s">
        <v>21</v>
      </c>
      <c r="G52" t="s">
        <v>31</v>
      </c>
      <c r="H52" t="b">
        <v>1</v>
      </c>
      <c r="I52">
        <v>10</v>
      </c>
      <c r="J52">
        <v>30.25</v>
      </c>
      <c r="L52">
        <v>12.1</v>
      </c>
      <c r="M52">
        <v>2.3029930000000001E-3</v>
      </c>
      <c r="N52">
        <v>12.1</v>
      </c>
      <c r="O52">
        <v>2.3029930000000001E-3</v>
      </c>
      <c r="P52" s="1" t="s">
        <v>27</v>
      </c>
    </row>
    <row r="53" spans="1:16" x14ac:dyDescent="0.35">
      <c r="A53" t="s">
        <v>98</v>
      </c>
      <c r="B53" t="s">
        <v>55</v>
      </c>
      <c r="C53" t="s">
        <v>89</v>
      </c>
      <c r="D53" t="s">
        <v>19</v>
      </c>
      <c r="E53" t="s">
        <v>20</v>
      </c>
      <c r="F53" t="s">
        <v>21</v>
      </c>
      <c r="G53" t="s">
        <v>33</v>
      </c>
      <c r="H53" t="b">
        <v>0</v>
      </c>
      <c r="I53">
        <v>10</v>
      </c>
      <c r="J53">
        <v>5</v>
      </c>
      <c r="L53">
        <v>1</v>
      </c>
      <c r="M53">
        <v>4.6E-5</v>
      </c>
      <c r="N53">
        <v>0</v>
      </c>
      <c r="O53">
        <v>0</v>
      </c>
    </row>
    <row r="54" spans="1:16" x14ac:dyDescent="0.35">
      <c r="A54" t="s">
        <v>99</v>
      </c>
      <c r="B54" t="s">
        <v>55</v>
      </c>
      <c r="C54" t="s">
        <v>89</v>
      </c>
      <c r="D54" t="s">
        <v>19</v>
      </c>
      <c r="E54" t="s">
        <v>20</v>
      </c>
      <c r="F54" t="s">
        <v>21</v>
      </c>
      <c r="G54" t="s">
        <v>41</v>
      </c>
      <c r="H54" t="b">
        <v>0</v>
      </c>
      <c r="I54">
        <v>10</v>
      </c>
      <c r="J54">
        <v>20</v>
      </c>
      <c r="L54">
        <v>2</v>
      </c>
      <c r="M54">
        <v>3.1399999999999999E-4</v>
      </c>
      <c r="N54">
        <v>0</v>
      </c>
      <c r="O54">
        <v>0</v>
      </c>
    </row>
    <row r="55" spans="1:16" ht="29" x14ac:dyDescent="0.35">
      <c r="A55" t="s">
        <v>100</v>
      </c>
      <c r="B55" t="s">
        <v>101</v>
      </c>
      <c r="C55" t="s">
        <v>102</v>
      </c>
      <c r="D55" t="s">
        <v>19</v>
      </c>
      <c r="E55" t="s">
        <v>20</v>
      </c>
      <c r="F55" t="s">
        <v>21</v>
      </c>
      <c r="G55" t="s">
        <v>26</v>
      </c>
      <c r="H55" t="b">
        <v>1</v>
      </c>
      <c r="I55">
        <v>10</v>
      </c>
      <c r="J55">
        <v>78</v>
      </c>
      <c r="L55">
        <v>7.8</v>
      </c>
      <c r="M55">
        <v>6.7860000000000001E-4</v>
      </c>
      <c r="N55">
        <v>7.8</v>
      </c>
      <c r="O55">
        <v>6.7860000000000001E-4</v>
      </c>
      <c r="P55" s="1" t="s">
        <v>27</v>
      </c>
    </row>
    <row r="56" spans="1:16" x14ac:dyDescent="0.35">
      <c r="A56" t="s">
        <v>103</v>
      </c>
      <c r="B56" t="s">
        <v>101</v>
      </c>
      <c r="C56" t="s">
        <v>102</v>
      </c>
      <c r="D56" t="s">
        <v>19</v>
      </c>
      <c r="E56" t="s">
        <v>20</v>
      </c>
      <c r="F56" t="s">
        <v>21</v>
      </c>
      <c r="G56" t="s">
        <v>29</v>
      </c>
      <c r="H56" t="b">
        <v>1</v>
      </c>
      <c r="I56">
        <v>10</v>
      </c>
      <c r="J56">
        <v>14</v>
      </c>
      <c r="L56">
        <v>1.4</v>
      </c>
      <c r="M56">
        <v>8.0589599999999996E-4</v>
      </c>
      <c r="N56">
        <v>1.4</v>
      </c>
      <c r="O56">
        <v>8.0589599999999996E-4</v>
      </c>
    </row>
    <row r="57" spans="1:16" x14ac:dyDescent="0.35">
      <c r="A57" t="s">
        <v>104</v>
      </c>
      <c r="B57" t="s">
        <v>101</v>
      </c>
      <c r="C57" t="s">
        <v>102</v>
      </c>
      <c r="D57" t="s">
        <v>19</v>
      </c>
      <c r="E57" t="s">
        <v>20</v>
      </c>
      <c r="F57" t="s">
        <v>21</v>
      </c>
      <c r="G57" t="s">
        <v>35</v>
      </c>
      <c r="H57" t="b">
        <v>1</v>
      </c>
      <c r="I57">
        <v>10</v>
      </c>
      <c r="J57">
        <v>20</v>
      </c>
      <c r="L57">
        <v>2</v>
      </c>
      <c r="M57">
        <v>1.8667999999999999E-4</v>
      </c>
      <c r="N57">
        <v>2</v>
      </c>
      <c r="O57">
        <v>1.8667999999999999E-4</v>
      </c>
    </row>
    <row r="58" spans="1:16" x14ac:dyDescent="0.35">
      <c r="A58" t="s">
        <v>105</v>
      </c>
      <c r="B58" t="s">
        <v>101</v>
      </c>
      <c r="C58" t="s">
        <v>102</v>
      </c>
      <c r="D58" t="s">
        <v>19</v>
      </c>
      <c r="E58" t="s">
        <v>20</v>
      </c>
      <c r="F58" t="s">
        <v>21</v>
      </c>
      <c r="G58" t="s">
        <v>37</v>
      </c>
      <c r="H58" t="b">
        <v>1</v>
      </c>
      <c r="I58">
        <v>10</v>
      </c>
      <c r="J58">
        <v>13.5</v>
      </c>
      <c r="L58">
        <v>2.7</v>
      </c>
      <c r="M58">
        <v>2.1330000000000001E-4</v>
      </c>
      <c r="N58">
        <v>2.7</v>
      </c>
      <c r="O58">
        <v>2.1330000000000001E-4</v>
      </c>
    </row>
    <row r="59" spans="1:16" x14ac:dyDescent="0.35">
      <c r="A59" t="s">
        <v>106</v>
      </c>
      <c r="B59" t="s">
        <v>101</v>
      </c>
      <c r="C59" t="s">
        <v>107</v>
      </c>
      <c r="D59" t="s">
        <v>19</v>
      </c>
      <c r="E59" t="s">
        <v>20</v>
      </c>
      <c r="F59" t="s">
        <v>21</v>
      </c>
      <c r="G59" t="s">
        <v>37</v>
      </c>
      <c r="H59" t="b">
        <v>1</v>
      </c>
      <c r="I59">
        <v>10</v>
      </c>
      <c r="J59">
        <v>39.4444444444444</v>
      </c>
      <c r="L59">
        <v>35.5</v>
      </c>
      <c r="M59">
        <v>2.8045000000000001E-3</v>
      </c>
      <c r="N59">
        <v>35.5</v>
      </c>
      <c r="O59">
        <v>2.8045000000000001E-3</v>
      </c>
    </row>
    <row r="60" spans="1:16" x14ac:dyDescent="0.35">
      <c r="A60" t="s">
        <v>108</v>
      </c>
      <c r="B60" t="s">
        <v>101</v>
      </c>
      <c r="C60" t="s">
        <v>107</v>
      </c>
      <c r="D60" t="s">
        <v>19</v>
      </c>
      <c r="E60" t="s">
        <v>20</v>
      </c>
      <c r="F60" t="s">
        <v>21</v>
      </c>
      <c r="G60" t="s">
        <v>109</v>
      </c>
      <c r="H60" t="b">
        <v>0</v>
      </c>
      <c r="I60">
        <v>10</v>
      </c>
      <c r="J60">
        <v>9</v>
      </c>
      <c r="L60">
        <v>0.9</v>
      </c>
      <c r="M60">
        <v>1.98E-5</v>
      </c>
      <c r="N60">
        <v>0</v>
      </c>
      <c r="O60">
        <v>0</v>
      </c>
    </row>
    <row r="61" spans="1:16" x14ac:dyDescent="0.35">
      <c r="A61" t="s">
        <v>110</v>
      </c>
      <c r="B61" t="s">
        <v>101</v>
      </c>
      <c r="C61" t="s">
        <v>107</v>
      </c>
      <c r="D61" t="s">
        <v>19</v>
      </c>
      <c r="E61" t="s">
        <v>20</v>
      </c>
      <c r="F61" t="s">
        <v>21</v>
      </c>
      <c r="G61" t="s">
        <v>41</v>
      </c>
      <c r="H61" t="b">
        <v>0</v>
      </c>
      <c r="I61">
        <v>10</v>
      </c>
      <c r="J61">
        <v>9.5</v>
      </c>
      <c r="L61">
        <v>1.9</v>
      </c>
      <c r="M61">
        <v>2.9829999999999999E-4</v>
      </c>
      <c r="N61">
        <v>0</v>
      </c>
      <c r="O61">
        <v>0</v>
      </c>
    </row>
    <row r="62" spans="1:16" x14ac:dyDescent="0.35">
      <c r="A62" t="s">
        <v>111</v>
      </c>
      <c r="B62" t="s">
        <v>101</v>
      </c>
      <c r="C62" t="s">
        <v>107</v>
      </c>
      <c r="D62" t="s">
        <v>19</v>
      </c>
      <c r="E62" t="s">
        <v>20</v>
      </c>
      <c r="F62" t="s">
        <v>21</v>
      </c>
      <c r="G62" t="s">
        <v>43</v>
      </c>
      <c r="H62" t="b">
        <v>1</v>
      </c>
      <c r="I62">
        <v>10</v>
      </c>
      <c r="J62">
        <v>22</v>
      </c>
      <c r="L62">
        <v>2.2000000000000002</v>
      </c>
      <c r="M62">
        <v>4.1800000000000002E-4</v>
      </c>
      <c r="N62">
        <v>2.2000000000000002</v>
      </c>
      <c r="O62">
        <v>4.1800000000000002E-4</v>
      </c>
    </row>
    <row r="63" spans="1:16" x14ac:dyDescent="0.35">
      <c r="A63" t="s">
        <v>112</v>
      </c>
      <c r="B63" t="s">
        <v>101</v>
      </c>
      <c r="C63" t="s">
        <v>107</v>
      </c>
      <c r="D63" t="s">
        <v>19</v>
      </c>
      <c r="E63" t="s">
        <v>20</v>
      </c>
      <c r="F63" t="s">
        <v>21</v>
      </c>
      <c r="G63" t="s">
        <v>35</v>
      </c>
      <c r="H63" t="b">
        <v>1</v>
      </c>
      <c r="I63">
        <v>10</v>
      </c>
      <c r="J63">
        <v>34</v>
      </c>
      <c r="L63">
        <v>3.4</v>
      </c>
      <c r="M63">
        <v>3.1735599999999997E-4</v>
      </c>
      <c r="N63">
        <v>3.4</v>
      </c>
      <c r="O63">
        <v>3.1735599999999997E-4</v>
      </c>
    </row>
    <row r="64" spans="1:16" x14ac:dyDescent="0.35">
      <c r="A64" t="s">
        <v>113</v>
      </c>
      <c r="B64" t="s">
        <v>101</v>
      </c>
      <c r="C64" t="s">
        <v>107</v>
      </c>
      <c r="D64" t="s">
        <v>19</v>
      </c>
      <c r="E64" t="s">
        <v>20</v>
      </c>
      <c r="F64" t="s">
        <v>21</v>
      </c>
      <c r="G64" t="s">
        <v>39</v>
      </c>
      <c r="H64" t="b">
        <v>1</v>
      </c>
      <c r="I64">
        <v>10</v>
      </c>
      <c r="J64">
        <v>24</v>
      </c>
      <c r="L64">
        <v>2.4</v>
      </c>
      <c r="M64">
        <v>8.8800000000000001E-4</v>
      </c>
      <c r="N64">
        <v>2.4</v>
      </c>
      <c r="O64">
        <v>8.8800000000000001E-4</v>
      </c>
    </row>
    <row r="65" spans="1:16" x14ac:dyDescent="0.35">
      <c r="A65" t="s">
        <v>114</v>
      </c>
      <c r="B65" t="s">
        <v>101</v>
      </c>
      <c r="C65" t="s">
        <v>115</v>
      </c>
      <c r="D65" t="s">
        <v>19</v>
      </c>
      <c r="E65" t="s">
        <v>20</v>
      </c>
      <c r="F65" t="s">
        <v>21</v>
      </c>
      <c r="G65" t="s">
        <v>37</v>
      </c>
      <c r="H65" t="b">
        <v>1</v>
      </c>
      <c r="I65">
        <v>10</v>
      </c>
      <c r="J65">
        <v>13</v>
      </c>
      <c r="L65">
        <v>2.6</v>
      </c>
      <c r="M65">
        <v>2.0540000000000001E-4</v>
      </c>
      <c r="N65">
        <v>2.6</v>
      </c>
      <c r="O65">
        <v>2.0540000000000001E-4</v>
      </c>
    </row>
    <row r="66" spans="1:16" x14ac:dyDescent="0.35">
      <c r="A66" t="s">
        <v>116</v>
      </c>
      <c r="B66" t="s">
        <v>101</v>
      </c>
      <c r="C66" t="s">
        <v>115</v>
      </c>
      <c r="D66" t="s">
        <v>19</v>
      </c>
      <c r="E66" t="s">
        <v>20</v>
      </c>
      <c r="F66" t="s">
        <v>21</v>
      </c>
      <c r="G66" t="s">
        <v>39</v>
      </c>
      <c r="H66" t="b">
        <v>1</v>
      </c>
      <c r="I66">
        <v>10</v>
      </c>
      <c r="J66">
        <v>112</v>
      </c>
      <c r="L66">
        <v>56</v>
      </c>
      <c r="M66">
        <v>2.0719999999999999E-2</v>
      </c>
      <c r="N66">
        <v>56</v>
      </c>
      <c r="O66">
        <v>2.0719999999999999E-2</v>
      </c>
    </row>
    <row r="67" spans="1:16" x14ac:dyDescent="0.35">
      <c r="A67" t="s">
        <v>117</v>
      </c>
      <c r="B67" t="s">
        <v>101</v>
      </c>
      <c r="C67" t="s">
        <v>115</v>
      </c>
      <c r="D67" t="s">
        <v>19</v>
      </c>
      <c r="E67" t="s">
        <v>20</v>
      </c>
      <c r="F67" t="s">
        <v>21</v>
      </c>
      <c r="G67" t="s">
        <v>29</v>
      </c>
      <c r="H67" t="b">
        <v>1</v>
      </c>
      <c r="I67">
        <v>10</v>
      </c>
      <c r="J67">
        <v>58</v>
      </c>
      <c r="L67">
        <v>5.8</v>
      </c>
      <c r="M67">
        <v>3.3387120000000002E-3</v>
      </c>
      <c r="N67">
        <v>5.8</v>
      </c>
      <c r="O67">
        <v>3.3387120000000002E-3</v>
      </c>
    </row>
    <row r="68" spans="1:16" ht="29" x14ac:dyDescent="0.35">
      <c r="A68" t="s">
        <v>118</v>
      </c>
      <c r="B68" t="s">
        <v>101</v>
      </c>
      <c r="C68" t="s">
        <v>115</v>
      </c>
      <c r="D68" t="s">
        <v>19</v>
      </c>
      <c r="E68" t="s">
        <v>20</v>
      </c>
      <c r="F68" t="s">
        <v>21</v>
      </c>
      <c r="G68" t="s">
        <v>26</v>
      </c>
      <c r="H68" t="b">
        <v>1</v>
      </c>
      <c r="I68">
        <v>10</v>
      </c>
      <c r="J68">
        <v>104.5</v>
      </c>
      <c r="L68">
        <v>20.9</v>
      </c>
      <c r="M68">
        <v>1.8182999999999999E-3</v>
      </c>
      <c r="N68">
        <v>20.9</v>
      </c>
      <c r="O68">
        <v>1.8182999999999999E-3</v>
      </c>
      <c r="P68" s="1" t="s">
        <v>27</v>
      </c>
    </row>
    <row r="69" spans="1:16" x14ac:dyDescent="0.35">
      <c r="A69" t="s">
        <v>119</v>
      </c>
      <c r="B69" t="s">
        <v>101</v>
      </c>
      <c r="C69" t="s">
        <v>120</v>
      </c>
      <c r="D69" t="s">
        <v>19</v>
      </c>
      <c r="E69" t="s">
        <v>20</v>
      </c>
      <c r="F69" t="s">
        <v>21</v>
      </c>
      <c r="G69" t="s">
        <v>37</v>
      </c>
      <c r="H69" t="b">
        <v>1</v>
      </c>
      <c r="I69">
        <v>10</v>
      </c>
      <c r="J69">
        <v>7</v>
      </c>
      <c r="L69">
        <v>0.7</v>
      </c>
      <c r="M69">
        <v>5.5300000000000002E-5</v>
      </c>
      <c r="N69">
        <v>0.7</v>
      </c>
      <c r="O69">
        <v>5.5300000000000002E-5</v>
      </c>
    </row>
    <row r="70" spans="1:16" x14ac:dyDescent="0.35">
      <c r="A70" t="s">
        <v>121</v>
      </c>
      <c r="B70" t="s">
        <v>101</v>
      </c>
      <c r="C70" t="s">
        <v>120</v>
      </c>
      <c r="D70" t="s">
        <v>19</v>
      </c>
      <c r="E70" t="s">
        <v>20</v>
      </c>
      <c r="F70" t="s">
        <v>21</v>
      </c>
      <c r="G70" t="s">
        <v>41</v>
      </c>
      <c r="H70" t="b">
        <v>0</v>
      </c>
      <c r="I70">
        <v>10</v>
      </c>
      <c r="J70">
        <v>32.35</v>
      </c>
      <c r="K70">
        <v>8</v>
      </c>
      <c r="L70">
        <v>90.58</v>
      </c>
      <c r="M70">
        <v>1.4221060000000001E-2</v>
      </c>
      <c r="N70">
        <v>0</v>
      </c>
      <c r="O70">
        <v>0</v>
      </c>
    </row>
    <row r="71" spans="1:16" x14ac:dyDescent="0.35">
      <c r="A71" t="s">
        <v>122</v>
      </c>
      <c r="B71" t="s">
        <v>101</v>
      </c>
      <c r="C71" t="s">
        <v>120</v>
      </c>
      <c r="D71" t="s">
        <v>19</v>
      </c>
      <c r="E71" t="s">
        <v>20</v>
      </c>
      <c r="F71" t="s">
        <v>21</v>
      </c>
      <c r="G71" t="s">
        <v>43</v>
      </c>
      <c r="H71" t="b">
        <v>1</v>
      </c>
      <c r="I71">
        <v>10</v>
      </c>
      <c r="J71">
        <v>35.3333333333333</v>
      </c>
      <c r="L71">
        <v>10.6</v>
      </c>
      <c r="M71">
        <v>2.0140000000000002E-3</v>
      </c>
      <c r="N71">
        <v>10.6</v>
      </c>
      <c r="O71">
        <v>2.0140000000000002E-3</v>
      </c>
    </row>
    <row r="72" spans="1:16" x14ac:dyDescent="0.35">
      <c r="A72" t="s">
        <v>123</v>
      </c>
      <c r="B72" t="s">
        <v>101</v>
      </c>
      <c r="C72" t="s">
        <v>120</v>
      </c>
      <c r="D72" t="s">
        <v>19</v>
      </c>
      <c r="E72" t="s">
        <v>20</v>
      </c>
      <c r="F72" t="s">
        <v>21</v>
      </c>
      <c r="G72" t="s">
        <v>39</v>
      </c>
      <c r="H72" t="b">
        <v>1</v>
      </c>
      <c r="I72">
        <v>10</v>
      </c>
      <c r="J72">
        <v>22.5</v>
      </c>
      <c r="L72">
        <v>4.5</v>
      </c>
      <c r="M72">
        <v>1.665E-3</v>
      </c>
      <c r="N72">
        <v>4.5</v>
      </c>
      <c r="O72">
        <v>1.665E-3</v>
      </c>
    </row>
    <row r="73" spans="1:16" x14ac:dyDescent="0.35">
      <c r="A73" t="s">
        <v>124</v>
      </c>
      <c r="B73" t="s">
        <v>125</v>
      </c>
      <c r="C73" t="s">
        <v>126</v>
      </c>
      <c r="D73" t="s">
        <v>19</v>
      </c>
      <c r="E73" t="s">
        <v>20</v>
      </c>
      <c r="F73" t="s">
        <v>49</v>
      </c>
      <c r="G73" t="s">
        <v>37</v>
      </c>
      <c r="H73" t="b">
        <v>1</v>
      </c>
      <c r="I73">
        <v>10</v>
      </c>
      <c r="J73">
        <v>16.8333333333333</v>
      </c>
      <c r="L73">
        <v>317.301319444444</v>
      </c>
      <c r="M73">
        <v>2.5066804236111101E-2</v>
      </c>
      <c r="N73">
        <v>317.301319444444</v>
      </c>
      <c r="O73">
        <v>2.5066804236111101E-2</v>
      </c>
    </row>
    <row r="74" spans="1:16" x14ac:dyDescent="0.35">
      <c r="A74" t="s">
        <v>127</v>
      </c>
      <c r="B74" t="s">
        <v>125</v>
      </c>
      <c r="C74" t="s">
        <v>126</v>
      </c>
      <c r="D74" t="s">
        <v>19</v>
      </c>
      <c r="E74" t="s">
        <v>20</v>
      </c>
      <c r="F74" t="s">
        <v>49</v>
      </c>
      <c r="G74" t="s">
        <v>45</v>
      </c>
      <c r="H74" t="b">
        <v>1</v>
      </c>
      <c r="I74">
        <v>10</v>
      </c>
      <c r="J74">
        <v>352.25</v>
      </c>
      <c r="L74">
        <v>4426.5104861111104</v>
      </c>
      <c r="M74">
        <v>0</v>
      </c>
      <c r="N74">
        <v>4426.5104861111104</v>
      </c>
      <c r="O74">
        <v>0</v>
      </c>
    </row>
    <row r="75" spans="1:16" x14ac:dyDescent="0.35">
      <c r="A75" t="s">
        <v>128</v>
      </c>
      <c r="B75" t="s">
        <v>125</v>
      </c>
      <c r="C75" t="s">
        <v>126</v>
      </c>
      <c r="D75" t="s">
        <v>19</v>
      </c>
      <c r="E75" t="s">
        <v>20</v>
      </c>
      <c r="F75" t="s">
        <v>49</v>
      </c>
      <c r="G75" t="s">
        <v>29</v>
      </c>
      <c r="H75" t="b">
        <v>1</v>
      </c>
      <c r="I75">
        <v>10</v>
      </c>
      <c r="J75">
        <v>18</v>
      </c>
      <c r="L75">
        <v>508.93875000000003</v>
      </c>
      <c r="M75">
        <v>0.29296550204999999</v>
      </c>
      <c r="N75">
        <v>508.93875000000003</v>
      </c>
      <c r="O75">
        <v>0.29296550204999999</v>
      </c>
    </row>
    <row r="76" spans="1:16" x14ac:dyDescent="0.35">
      <c r="A76" t="s">
        <v>129</v>
      </c>
      <c r="B76" t="s">
        <v>125</v>
      </c>
      <c r="C76" t="s">
        <v>126</v>
      </c>
      <c r="D76" t="s">
        <v>19</v>
      </c>
      <c r="E76" t="s">
        <v>20</v>
      </c>
      <c r="F76" t="s">
        <v>49</v>
      </c>
      <c r="G76" t="s">
        <v>39</v>
      </c>
      <c r="H76" t="b">
        <v>1</v>
      </c>
      <c r="I76">
        <v>10</v>
      </c>
      <c r="J76">
        <v>14</v>
      </c>
      <c r="L76">
        <v>43.982361111111103</v>
      </c>
      <c r="M76">
        <v>1.6273473611111099E-2</v>
      </c>
      <c r="N76">
        <v>43.982361111111103</v>
      </c>
      <c r="O76">
        <v>1.6273473611111099E-2</v>
      </c>
    </row>
    <row r="77" spans="1:16" x14ac:dyDescent="0.35">
      <c r="A77" t="s">
        <v>130</v>
      </c>
      <c r="B77" t="s">
        <v>125</v>
      </c>
      <c r="C77" t="s">
        <v>126</v>
      </c>
      <c r="D77" t="s">
        <v>19</v>
      </c>
      <c r="E77" t="s">
        <v>20</v>
      </c>
      <c r="F77" t="s">
        <v>49</v>
      </c>
      <c r="G77" t="s">
        <v>22</v>
      </c>
      <c r="H77" t="b">
        <v>0</v>
      </c>
      <c r="I77">
        <v>10</v>
      </c>
      <c r="J77">
        <v>75</v>
      </c>
      <c r="L77">
        <v>235.619791666667</v>
      </c>
      <c r="M77">
        <v>2.35619791666667E-5</v>
      </c>
      <c r="N77">
        <v>0</v>
      </c>
      <c r="O77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2.81640625" customWidth="1"/>
    <col min="4" max="4" width="14.81640625" customWidth="1"/>
    <col min="5" max="5" width="18.6328125" customWidth="1"/>
    <col min="6" max="6" width="14.453125" customWidth="1"/>
    <col min="7" max="7" width="21.36328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19.36328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25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26</v>
      </c>
      <c r="H2" t="b">
        <v>1</v>
      </c>
      <c r="I2">
        <v>10</v>
      </c>
      <c r="J2">
        <v>25.5</v>
      </c>
      <c r="L2">
        <v>5.0999999999999996</v>
      </c>
      <c r="M2">
        <v>4.437E-4</v>
      </c>
      <c r="N2">
        <v>5.0999999999999996</v>
      </c>
      <c r="O2">
        <v>4.437E-4</v>
      </c>
      <c r="P2" s="1" t="s">
        <v>27</v>
      </c>
    </row>
    <row r="3" spans="1:16" ht="29" x14ac:dyDescent="0.35">
      <c r="A3" t="s">
        <v>30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31</v>
      </c>
      <c r="H3" t="b">
        <v>1</v>
      </c>
      <c r="I3">
        <v>10</v>
      </c>
      <c r="J3">
        <v>53</v>
      </c>
      <c r="L3">
        <v>5.3</v>
      </c>
      <c r="M3">
        <v>1.008749E-3</v>
      </c>
      <c r="N3">
        <v>5.3</v>
      </c>
      <c r="O3">
        <v>1.008749E-3</v>
      </c>
      <c r="P3" s="1" t="s">
        <v>27</v>
      </c>
    </row>
    <row r="4" spans="1:16" ht="29" x14ac:dyDescent="0.35">
      <c r="A4" t="s">
        <v>46</v>
      </c>
      <c r="B4" t="s">
        <v>47</v>
      </c>
      <c r="C4" t="s">
        <v>48</v>
      </c>
      <c r="D4" t="s">
        <v>19</v>
      </c>
      <c r="E4" t="s">
        <v>20</v>
      </c>
      <c r="F4" t="s">
        <v>49</v>
      </c>
      <c r="G4" t="s">
        <v>26</v>
      </c>
      <c r="H4" t="b">
        <v>1</v>
      </c>
      <c r="I4">
        <v>10</v>
      </c>
      <c r="J4">
        <v>18.7</v>
      </c>
      <c r="K4">
        <v>36</v>
      </c>
      <c r="L4">
        <v>3289.8806111111098</v>
      </c>
      <c r="M4">
        <v>0.286219613166667</v>
      </c>
      <c r="N4">
        <v>3289.8806111111098</v>
      </c>
      <c r="O4">
        <v>0.286219613166667</v>
      </c>
      <c r="P4" s="1" t="s">
        <v>27</v>
      </c>
    </row>
    <row r="5" spans="1:16" ht="29" x14ac:dyDescent="0.35">
      <c r="A5" t="s">
        <v>51</v>
      </c>
      <c r="B5" t="s">
        <v>47</v>
      </c>
      <c r="C5" t="s">
        <v>52</v>
      </c>
      <c r="D5" t="s">
        <v>19</v>
      </c>
      <c r="E5" t="s">
        <v>20</v>
      </c>
      <c r="F5" t="s">
        <v>49</v>
      </c>
      <c r="G5" t="s">
        <v>26</v>
      </c>
      <c r="H5" t="b">
        <v>1</v>
      </c>
      <c r="I5">
        <v>10</v>
      </c>
      <c r="J5">
        <v>7.85</v>
      </c>
      <c r="K5">
        <v>72</v>
      </c>
      <c r="L5">
        <v>2268.8615138888899</v>
      </c>
      <c r="M5">
        <v>0.19739095170833301</v>
      </c>
      <c r="N5">
        <v>2268.8615138888899</v>
      </c>
      <c r="O5">
        <v>0.19739095170833301</v>
      </c>
      <c r="P5" s="1" t="s">
        <v>27</v>
      </c>
    </row>
    <row r="6" spans="1:16" ht="29" x14ac:dyDescent="0.35">
      <c r="A6" t="s">
        <v>62</v>
      </c>
      <c r="B6" t="s">
        <v>55</v>
      </c>
      <c r="C6" t="s">
        <v>59</v>
      </c>
      <c r="D6" t="s">
        <v>19</v>
      </c>
      <c r="E6" t="s">
        <v>20</v>
      </c>
      <c r="F6" t="s">
        <v>21</v>
      </c>
      <c r="G6" t="s">
        <v>63</v>
      </c>
      <c r="H6" t="b">
        <v>1</v>
      </c>
      <c r="I6">
        <v>10</v>
      </c>
      <c r="J6">
        <v>24.5555555555556</v>
      </c>
      <c r="L6">
        <v>22.1</v>
      </c>
      <c r="M6">
        <v>2.0566260000000002E-3</v>
      </c>
      <c r="N6">
        <v>22.1</v>
      </c>
      <c r="O6">
        <v>2.0566260000000002E-3</v>
      </c>
      <c r="P6" s="1" t="s">
        <v>27</v>
      </c>
    </row>
    <row r="7" spans="1:16" ht="29" x14ac:dyDescent="0.35">
      <c r="A7" t="s">
        <v>65</v>
      </c>
      <c r="B7" t="s">
        <v>55</v>
      </c>
      <c r="C7" t="s">
        <v>59</v>
      </c>
      <c r="D7" t="s">
        <v>19</v>
      </c>
      <c r="E7" t="s">
        <v>20</v>
      </c>
      <c r="F7" t="s">
        <v>21</v>
      </c>
      <c r="G7" t="s">
        <v>31</v>
      </c>
      <c r="H7" t="b">
        <v>1</v>
      </c>
      <c r="I7">
        <v>10</v>
      </c>
      <c r="J7">
        <v>50.909090909090899</v>
      </c>
      <c r="L7">
        <v>56</v>
      </c>
      <c r="M7">
        <v>1.065848E-2</v>
      </c>
      <c r="N7">
        <v>56</v>
      </c>
      <c r="O7">
        <v>1.065848E-2</v>
      </c>
      <c r="P7" s="1" t="s">
        <v>27</v>
      </c>
    </row>
    <row r="8" spans="1:16" ht="29" x14ac:dyDescent="0.35">
      <c r="A8" t="s">
        <v>77</v>
      </c>
      <c r="B8" t="s">
        <v>55</v>
      </c>
      <c r="C8" t="s">
        <v>74</v>
      </c>
      <c r="D8" t="s">
        <v>19</v>
      </c>
      <c r="E8" t="s">
        <v>20</v>
      </c>
      <c r="F8" t="s">
        <v>21</v>
      </c>
      <c r="G8" t="s">
        <v>26</v>
      </c>
      <c r="H8" t="b">
        <v>1</v>
      </c>
      <c r="I8">
        <v>10</v>
      </c>
      <c r="J8">
        <v>29</v>
      </c>
      <c r="L8">
        <v>2.9</v>
      </c>
      <c r="M8">
        <v>2.5230000000000001E-4</v>
      </c>
      <c r="N8">
        <v>2.9</v>
      </c>
      <c r="O8">
        <v>2.5230000000000001E-4</v>
      </c>
      <c r="P8" s="1" t="s">
        <v>27</v>
      </c>
    </row>
    <row r="9" spans="1:16" ht="29" x14ac:dyDescent="0.35">
      <c r="A9" t="s">
        <v>80</v>
      </c>
      <c r="B9" t="s">
        <v>55</v>
      </c>
      <c r="C9" t="s">
        <v>74</v>
      </c>
      <c r="D9" t="s">
        <v>19</v>
      </c>
      <c r="E9" t="s">
        <v>20</v>
      </c>
      <c r="F9" t="s">
        <v>21</v>
      </c>
      <c r="G9" t="s">
        <v>26</v>
      </c>
      <c r="H9" t="b">
        <v>1</v>
      </c>
      <c r="I9">
        <v>10</v>
      </c>
      <c r="J9">
        <v>103</v>
      </c>
      <c r="L9">
        <v>10.3</v>
      </c>
      <c r="M9">
        <v>8.9610000000000004E-4</v>
      </c>
      <c r="N9">
        <v>10.3</v>
      </c>
      <c r="O9">
        <v>8.9610000000000004E-4</v>
      </c>
      <c r="P9" s="1" t="s">
        <v>27</v>
      </c>
    </row>
    <row r="10" spans="1:16" ht="29" x14ac:dyDescent="0.35">
      <c r="A10" t="s">
        <v>83</v>
      </c>
      <c r="B10" t="s">
        <v>55</v>
      </c>
      <c r="C10" t="s">
        <v>82</v>
      </c>
      <c r="D10" t="s">
        <v>19</v>
      </c>
      <c r="E10" t="s">
        <v>20</v>
      </c>
      <c r="F10" t="s">
        <v>21</v>
      </c>
      <c r="G10" t="s">
        <v>26</v>
      </c>
      <c r="H10" t="b">
        <v>1</v>
      </c>
      <c r="I10">
        <v>10</v>
      </c>
      <c r="J10">
        <v>35.75</v>
      </c>
      <c r="L10">
        <v>14.3</v>
      </c>
      <c r="M10">
        <v>1.2440999999999999E-3</v>
      </c>
      <c r="N10">
        <v>14.3</v>
      </c>
      <c r="O10">
        <v>1.2440999999999999E-3</v>
      </c>
      <c r="P10" s="1" t="s">
        <v>27</v>
      </c>
    </row>
    <row r="11" spans="1:16" ht="29" x14ac:dyDescent="0.35">
      <c r="A11" t="s">
        <v>92</v>
      </c>
      <c r="B11" t="s">
        <v>55</v>
      </c>
      <c r="C11" t="s">
        <v>89</v>
      </c>
      <c r="D11" t="s">
        <v>19</v>
      </c>
      <c r="E11" t="s">
        <v>20</v>
      </c>
      <c r="F11" t="s">
        <v>21</v>
      </c>
      <c r="G11" t="s">
        <v>26</v>
      </c>
      <c r="H11" t="b">
        <v>1</v>
      </c>
      <c r="I11">
        <v>10</v>
      </c>
      <c r="J11">
        <v>59.285714285714299</v>
      </c>
      <c r="L11">
        <v>41.5</v>
      </c>
      <c r="M11">
        <v>3.6105E-3</v>
      </c>
      <c r="N11">
        <v>41.5</v>
      </c>
      <c r="O11">
        <v>3.6105E-3</v>
      </c>
      <c r="P11" s="1" t="s">
        <v>27</v>
      </c>
    </row>
    <row r="12" spans="1:16" ht="29" x14ac:dyDescent="0.35">
      <c r="A12" t="s">
        <v>97</v>
      </c>
      <c r="B12" t="s">
        <v>55</v>
      </c>
      <c r="C12" t="s">
        <v>89</v>
      </c>
      <c r="D12" t="s">
        <v>19</v>
      </c>
      <c r="E12" t="s">
        <v>20</v>
      </c>
      <c r="F12" t="s">
        <v>21</v>
      </c>
      <c r="G12" t="s">
        <v>31</v>
      </c>
      <c r="H12" t="b">
        <v>1</v>
      </c>
      <c r="I12">
        <v>10</v>
      </c>
      <c r="J12">
        <v>30.25</v>
      </c>
      <c r="L12">
        <v>12.1</v>
      </c>
      <c r="M12">
        <v>2.3029930000000001E-3</v>
      </c>
      <c r="N12">
        <v>12.1</v>
      </c>
      <c r="O12">
        <v>2.3029930000000001E-3</v>
      </c>
      <c r="P12" s="1" t="s">
        <v>27</v>
      </c>
    </row>
    <row r="13" spans="1:16" ht="29" x14ac:dyDescent="0.35">
      <c r="A13" t="s">
        <v>100</v>
      </c>
      <c r="B13" t="s">
        <v>101</v>
      </c>
      <c r="C13" t="s">
        <v>102</v>
      </c>
      <c r="D13" t="s">
        <v>19</v>
      </c>
      <c r="E13" t="s">
        <v>20</v>
      </c>
      <c r="F13" t="s">
        <v>21</v>
      </c>
      <c r="G13" t="s">
        <v>26</v>
      </c>
      <c r="H13" t="b">
        <v>1</v>
      </c>
      <c r="I13">
        <v>10</v>
      </c>
      <c r="J13">
        <v>78</v>
      </c>
      <c r="L13">
        <v>7.8</v>
      </c>
      <c r="M13">
        <v>6.7860000000000001E-4</v>
      </c>
      <c r="N13">
        <v>7.8</v>
      </c>
      <c r="O13">
        <v>6.7860000000000001E-4</v>
      </c>
      <c r="P13" s="1" t="s">
        <v>27</v>
      </c>
    </row>
    <row r="14" spans="1:16" x14ac:dyDescent="0.35">
      <c r="A14" t="s">
        <v>118</v>
      </c>
      <c r="B14" t="s">
        <v>101</v>
      </c>
      <c r="C14" t="s">
        <v>115</v>
      </c>
      <c r="D14" t="s">
        <v>19</v>
      </c>
      <c r="E14" t="s">
        <v>20</v>
      </c>
      <c r="F14" t="s">
        <v>21</v>
      </c>
      <c r="G14" t="s">
        <v>26</v>
      </c>
      <c r="H14" t="b">
        <v>1</v>
      </c>
      <c r="I14">
        <v>10</v>
      </c>
      <c r="J14">
        <v>104.5</v>
      </c>
      <c r="L14">
        <v>20.9</v>
      </c>
      <c r="M14">
        <v>1.8182999999999999E-3</v>
      </c>
      <c r="N14">
        <v>20.9</v>
      </c>
      <c r="O14">
        <v>1.8182999999999999E-3</v>
      </c>
      <c r="P14" s="1" t="s">
        <v>27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4.5" x14ac:dyDescent="0.35"/>
  <cols>
    <col min="1" max="1" width="24" customWidth="1"/>
    <col min="2" max="2" width="32.08984375" customWidth="1"/>
  </cols>
  <sheetData>
    <row r="1" spans="1:4" x14ac:dyDescent="0.35">
      <c r="A1" s="2" t="s">
        <v>131</v>
      </c>
      <c r="B1" s="2" t="s">
        <v>132</v>
      </c>
    </row>
    <row r="2" spans="1:4" x14ac:dyDescent="0.35">
      <c r="A2" s="3" t="s">
        <v>133</v>
      </c>
      <c r="B2" s="3" t="s">
        <v>133</v>
      </c>
    </row>
    <row r="3" spans="1:4" x14ac:dyDescent="0.35">
      <c r="A3" s="4" t="s">
        <v>134</v>
      </c>
      <c r="B3" s="4" t="s">
        <v>135</v>
      </c>
    </row>
    <row r="4" spans="1:4" x14ac:dyDescent="0.35">
      <c r="A4" s="5" t="s">
        <v>136</v>
      </c>
      <c r="B4" s="5" t="s">
        <v>137</v>
      </c>
    </row>
    <row r="8" spans="1:4" x14ac:dyDescent="0.35">
      <c r="C8" s="6" t="s">
        <v>151</v>
      </c>
      <c r="D8" s="6" t="s">
        <v>152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35">
      <c r="A11" t="s">
        <v>17</v>
      </c>
      <c r="B11" t="s">
        <v>18</v>
      </c>
      <c r="C11">
        <v>7.7775189999999992E-3</v>
      </c>
      <c r="D11">
        <v>6.9681590000000007E-3</v>
      </c>
    </row>
    <row r="12" spans="1:4" x14ac:dyDescent="0.35">
      <c r="A12" t="s">
        <v>47</v>
      </c>
      <c r="B12" t="s">
        <v>48</v>
      </c>
      <c r="C12">
        <v>0.29490612948611145</v>
      </c>
      <c r="D12">
        <v>0.29490612948611145</v>
      </c>
    </row>
    <row r="13" spans="1:4" x14ac:dyDescent="0.35">
      <c r="B13" t="s">
        <v>52</v>
      </c>
      <c r="C13">
        <v>0.20136193059722191</v>
      </c>
      <c r="D13">
        <v>0.20136193059722191</v>
      </c>
    </row>
    <row r="14" spans="1:4" x14ac:dyDescent="0.35">
      <c r="A14" t="s">
        <v>55</v>
      </c>
      <c r="B14" t="s">
        <v>56</v>
      </c>
      <c r="C14">
        <v>4.6429665347222241E-3</v>
      </c>
      <c r="D14">
        <v>0</v>
      </c>
    </row>
    <row r="15" spans="1:4" x14ac:dyDescent="0.35">
      <c r="B15" t="s">
        <v>59</v>
      </c>
      <c r="C15">
        <v>6.7547091999999989E-2</v>
      </c>
      <c r="D15">
        <v>6.6987461999999998E-2</v>
      </c>
    </row>
    <row r="16" spans="1:4" x14ac:dyDescent="0.35">
      <c r="B16" t="s">
        <v>74</v>
      </c>
      <c r="C16">
        <v>5.5350759999999999E-3</v>
      </c>
      <c r="D16">
        <v>5.1275260000000003E-3</v>
      </c>
    </row>
    <row r="17" spans="1:4" x14ac:dyDescent="0.35">
      <c r="B17" t="s">
        <v>82</v>
      </c>
      <c r="C17">
        <v>4.5627924E-2</v>
      </c>
      <c r="D17">
        <v>4.5158775999999998E-2</v>
      </c>
    </row>
    <row r="18" spans="1:4" x14ac:dyDescent="0.35">
      <c r="B18" t="s">
        <v>89</v>
      </c>
      <c r="C18">
        <v>3.1919715500000001E-2</v>
      </c>
      <c r="D18">
        <v>3.1347466999999997E-2</v>
      </c>
    </row>
    <row r="19" spans="1:4" x14ac:dyDescent="0.35">
      <c r="A19" t="s">
        <v>101</v>
      </c>
      <c r="B19" t="s">
        <v>102</v>
      </c>
      <c r="C19">
        <v>1.8844760000000002E-3</v>
      </c>
      <c r="D19">
        <v>1.8844760000000002E-3</v>
      </c>
    </row>
    <row r="20" spans="1:4" x14ac:dyDescent="0.35">
      <c r="B20" t="s">
        <v>107</v>
      </c>
      <c r="C20">
        <v>4.745956E-3</v>
      </c>
      <c r="D20">
        <v>4.427856E-3</v>
      </c>
    </row>
    <row r="21" spans="1:4" x14ac:dyDescent="0.35">
      <c r="B21" t="s">
        <v>115</v>
      </c>
      <c r="C21">
        <v>2.6082411999999999E-2</v>
      </c>
      <c r="D21">
        <v>2.6082411999999999E-2</v>
      </c>
    </row>
    <row r="22" spans="1:4" x14ac:dyDescent="0.35">
      <c r="B22" t="s">
        <v>120</v>
      </c>
      <c r="C22">
        <v>1.795536E-2</v>
      </c>
      <c r="D22">
        <v>3.7343000000000003E-3</v>
      </c>
    </row>
    <row r="23" spans="1:4" x14ac:dyDescent="0.35">
      <c r="A23" t="s">
        <v>125</v>
      </c>
      <c r="B23" t="s">
        <v>126</v>
      </c>
      <c r="C23">
        <v>0.33432934187638885</v>
      </c>
      <c r="D23">
        <v>0.33430577989722221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tabSelected="1" workbookViewId="0"/>
  </sheetViews>
  <sheetFormatPr defaultRowHeight="14.5" x14ac:dyDescent="0.35"/>
  <cols>
    <col min="1" max="1" width="24.6328125" customWidth="1"/>
    <col min="2" max="2" width="33.7265625" customWidth="1"/>
    <col min="3" max="3" width="31.36328125" customWidth="1"/>
    <col min="4" max="4" width="29.54296875" customWidth="1"/>
  </cols>
  <sheetData>
    <row r="1" spans="1:4" x14ac:dyDescent="0.35">
      <c r="A1" s="2" t="s">
        <v>138</v>
      </c>
      <c r="B1" s="2" t="s">
        <v>139</v>
      </c>
      <c r="C1" s="2" t="s">
        <v>140</v>
      </c>
      <c r="D1" s="2" t="s">
        <v>141</v>
      </c>
    </row>
    <row r="2" spans="1:4" x14ac:dyDescent="0.35">
      <c r="A2" s="3" t="s">
        <v>142</v>
      </c>
      <c r="B2" s="3" t="s">
        <v>142</v>
      </c>
      <c r="C2" s="3" t="s">
        <v>142</v>
      </c>
      <c r="D2" s="3" t="s">
        <v>142</v>
      </c>
    </row>
    <row r="3" spans="1:4" x14ac:dyDescent="0.35">
      <c r="A3" s="4" t="s">
        <v>143</v>
      </c>
      <c r="B3" s="4" t="s">
        <v>144</v>
      </c>
      <c r="C3" s="4" t="s">
        <v>145</v>
      </c>
      <c r="D3" s="4" t="s">
        <v>146</v>
      </c>
    </row>
    <row r="4" spans="1:4" x14ac:dyDescent="0.35">
      <c r="A4" s="5" t="s">
        <v>147</v>
      </c>
      <c r="B4" s="5" t="s">
        <v>148</v>
      </c>
      <c r="C4" s="5" t="s">
        <v>149</v>
      </c>
      <c r="D4" s="5" t="s">
        <v>150</v>
      </c>
    </row>
    <row r="8" spans="1:4" x14ac:dyDescent="0.35">
      <c r="A8" s="6" t="s">
        <v>11</v>
      </c>
      <c r="C8" s="6" t="s">
        <v>151</v>
      </c>
      <c r="D8" s="6" t="s">
        <v>15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27</v>
      </c>
    </row>
    <row r="11" spans="1:4" x14ac:dyDescent="0.35">
      <c r="A11" t="s">
        <v>17</v>
      </c>
      <c r="B11" t="s">
        <v>18</v>
      </c>
      <c r="C11">
        <v>10.399999999999999</v>
      </c>
    </row>
    <row r="12" spans="1:4" x14ac:dyDescent="0.35">
      <c r="A12" t="s">
        <v>47</v>
      </c>
      <c r="B12" t="s">
        <v>48</v>
      </c>
      <c r="C12">
        <v>3289.8806111111098</v>
      </c>
    </row>
    <row r="13" spans="1:4" x14ac:dyDescent="0.35">
      <c r="B13" t="s">
        <v>52</v>
      </c>
      <c r="C13">
        <v>2268.8615138888899</v>
      </c>
    </row>
    <row r="14" spans="1:4" x14ac:dyDescent="0.35">
      <c r="A14" t="s">
        <v>55</v>
      </c>
      <c r="B14" t="s">
        <v>59</v>
      </c>
      <c r="C14">
        <v>78.099999999999994</v>
      </c>
    </row>
    <row r="15" spans="1:4" x14ac:dyDescent="0.35">
      <c r="B15" t="s">
        <v>74</v>
      </c>
      <c r="C15">
        <v>13.200000000000001</v>
      </c>
    </row>
    <row r="16" spans="1:4" x14ac:dyDescent="0.35">
      <c r="B16" t="s">
        <v>82</v>
      </c>
      <c r="C16">
        <v>14.3</v>
      </c>
    </row>
    <row r="17" spans="1:3" x14ac:dyDescent="0.35">
      <c r="B17" t="s">
        <v>89</v>
      </c>
      <c r="C17">
        <v>53.6</v>
      </c>
    </row>
    <row r="18" spans="1:3" x14ac:dyDescent="0.35">
      <c r="A18" t="s">
        <v>101</v>
      </c>
      <c r="B18" t="s">
        <v>102</v>
      </c>
      <c r="C18">
        <v>7.8</v>
      </c>
    </row>
    <row r="19" spans="1:3" x14ac:dyDescent="0.35">
      <c r="B19" t="s">
        <v>115</v>
      </c>
      <c r="C19">
        <v>20.9</v>
      </c>
    </row>
    <row r="30" spans="1:3" x14ac:dyDescent="0.35">
      <c r="A30" s="2" t="s">
        <v>131</v>
      </c>
    </row>
    <row r="31" spans="1:3" x14ac:dyDescent="0.35">
      <c r="A31" s="3" t="s">
        <v>133</v>
      </c>
    </row>
    <row r="32" spans="1:3" x14ac:dyDescent="0.35">
      <c r="A32" s="4" t="s">
        <v>134</v>
      </c>
    </row>
    <row r="33" spans="1:3" x14ac:dyDescent="0.35">
      <c r="A33" s="5" t="s">
        <v>136</v>
      </c>
    </row>
    <row r="37" spans="1:3" x14ac:dyDescent="0.35">
      <c r="A37" s="6" t="s">
        <v>12</v>
      </c>
      <c r="C37" s="6" t="s">
        <v>151</v>
      </c>
    </row>
    <row r="38" spans="1:3" x14ac:dyDescent="0.35">
      <c r="A38" s="6" t="s">
        <v>1</v>
      </c>
      <c r="B38" s="6" t="s">
        <v>2</v>
      </c>
      <c r="C38" t="s">
        <v>19</v>
      </c>
    </row>
    <row r="39" spans="1:3" x14ac:dyDescent="0.35">
      <c r="A39" t="s">
        <v>17</v>
      </c>
      <c r="B39" t="s">
        <v>18</v>
      </c>
      <c r="C39">
        <v>7.7775189999999992E-3</v>
      </c>
    </row>
    <row r="40" spans="1:3" x14ac:dyDescent="0.35">
      <c r="A40" t="s">
        <v>47</v>
      </c>
      <c r="B40" t="s">
        <v>48</v>
      </c>
      <c r="C40">
        <v>0.29490612948611145</v>
      </c>
    </row>
    <row r="41" spans="1:3" x14ac:dyDescent="0.35">
      <c r="B41" t="s">
        <v>52</v>
      </c>
      <c r="C41">
        <v>0.20136193059722191</v>
      </c>
    </row>
    <row r="42" spans="1:3" x14ac:dyDescent="0.35">
      <c r="A42" t="s">
        <v>55</v>
      </c>
      <c r="B42" t="s">
        <v>56</v>
      </c>
      <c r="C42">
        <v>4.6429665347222241E-3</v>
      </c>
    </row>
    <row r="43" spans="1:3" x14ac:dyDescent="0.35">
      <c r="B43" t="s">
        <v>59</v>
      </c>
      <c r="C43">
        <v>6.7547091999999989E-2</v>
      </c>
    </row>
    <row r="44" spans="1:3" x14ac:dyDescent="0.35">
      <c r="B44" t="s">
        <v>74</v>
      </c>
      <c r="C44">
        <v>5.5350759999999999E-3</v>
      </c>
    </row>
    <row r="45" spans="1:3" x14ac:dyDescent="0.35">
      <c r="B45" t="s">
        <v>82</v>
      </c>
      <c r="C45">
        <v>4.5627924E-2</v>
      </c>
    </row>
    <row r="46" spans="1:3" x14ac:dyDescent="0.35">
      <c r="B46" t="s">
        <v>89</v>
      </c>
      <c r="C46">
        <v>3.1919715500000001E-2</v>
      </c>
    </row>
    <row r="47" spans="1:3" x14ac:dyDescent="0.35">
      <c r="A47" t="s">
        <v>101</v>
      </c>
      <c r="B47" t="s">
        <v>102</v>
      </c>
      <c r="C47">
        <v>1.8844760000000002E-3</v>
      </c>
    </row>
    <row r="48" spans="1:3" x14ac:dyDescent="0.35">
      <c r="B48" t="s">
        <v>107</v>
      </c>
      <c r="C48">
        <v>4.745956E-3</v>
      </c>
    </row>
    <row r="49" spans="1:3" x14ac:dyDescent="0.35">
      <c r="B49" t="s">
        <v>115</v>
      </c>
      <c r="C49">
        <v>2.6082411999999999E-2</v>
      </c>
    </row>
    <row r="50" spans="1:3" x14ac:dyDescent="0.35">
      <c r="B50" t="s">
        <v>120</v>
      </c>
      <c r="C50">
        <v>1.795536E-2</v>
      </c>
    </row>
    <row r="51" spans="1:3" x14ac:dyDescent="0.35">
      <c r="A51" t="s">
        <v>125</v>
      </c>
      <c r="B51" t="s">
        <v>126</v>
      </c>
      <c r="C51">
        <v>0.33432934187638885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Raeburn</cp:lastModifiedBy>
  <dcterms:created xsi:type="dcterms:W3CDTF">2025-05-02T01:41:14Z</dcterms:created>
  <dcterms:modified xsi:type="dcterms:W3CDTF">2025-05-02T01:41:43Z</dcterms:modified>
</cp:coreProperties>
</file>