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CFE43AC1-ED65-4586-9B7B-3A0ED3B45DC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118" r:id="rId5"/>
    <pivotCache cacheId="125" r:id="rId6"/>
    <pivotCache cacheId="131" r:id="rId7"/>
  </pivotCaches>
</workbook>
</file>

<file path=xl/sharedStrings.xml><?xml version="1.0" encoding="utf-8"?>
<sst xmlns="http://schemas.openxmlformats.org/spreadsheetml/2006/main" count="2220" uniqueCount="293">
  <si>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</si>
  <si>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</si>
  <si>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</si>
  <si>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</si>
  <si>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</si>
  <si>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</si>
  <si>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</si>
  <si>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</si>
  <si>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</si>
  <si>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</si>
  <si>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</si>
  <si>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</si>
  <si>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</si>
  <si>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</si>
  <si>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</si>
  <si>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</si>
  <si>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6046.1</t>
  </si>
  <si>
    <t>Rotoehu</t>
  </si>
  <si>
    <t>Kennedy Bay</t>
  </si>
  <si>
    <t>11/05/2026</t>
  </si>
  <si>
    <t>20A</t>
  </si>
  <si>
    <t>Whole Plate</t>
  </si>
  <si>
    <t>Microcystis sp</t>
  </si>
  <si>
    <t xml:space="preserve">Microcystis spp.
</t>
  </si>
  <si>
    <t>6046.2</t>
  </si>
  <si>
    <t>Microcystis wesenbergii</t>
  </si>
  <si>
    <t>6046.3</t>
  </si>
  <si>
    <t>Dolichospermum lemmermannii</t>
  </si>
  <si>
    <t>6046.4</t>
  </si>
  <si>
    <t>Pseudanabaena sp.</t>
  </si>
  <si>
    <t>6046.5</t>
  </si>
  <si>
    <t>Oscillatoria sp</t>
  </si>
  <si>
    <t>6046.6</t>
  </si>
  <si>
    <t>Dolichospermum planctonicum </t>
  </si>
  <si>
    <t>6048.1</t>
  </si>
  <si>
    <t>Otautu</t>
  </si>
  <si>
    <t>6048.2</t>
  </si>
  <si>
    <t>6048.3</t>
  </si>
  <si>
    <t>6048.4</t>
  </si>
  <si>
    <t>Dolichospermum sp</t>
  </si>
  <si>
    <t>6048.5</t>
  </si>
  <si>
    <t>6048.6</t>
  </si>
  <si>
    <t>6048.7</t>
  </si>
  <si>
    <t>Aphanocapsa sp</t>
  </si>
  <si>
    <t>6048.8</t>
  </si>
  <si>
    <t>Merismopedia sp</t>
  </si>
  <si>
    <t>6047.1</t>
  </si>
  <si>
    <t>Rotoiti</t>
  </si>
  <si>
    <t>Hinehopu</t>
  </si>
  <si>
    <t>6047.2</t>
  </si>
  <si>
    <t>6047.3</t>
  </si>
  <si>
    <t>6047.4</t>
  </si>
  <si>
    <t xml:space="preserve">Limnococcus limneticus
</t>
  </si>
  <si>
    <t>6047.5</t>
  </si>
  <si>
    <t>6040.2</t>
  </si>
  <si>
    <t>Okawa Bay</t>
  </si>
  <si>
    <t>6040.3</t>
  </si>
  <si>
    <t>Dolichospermum circinale</t>
  </si>
  <si>
    <t>6040.4</t>
  </si>
  <si>
    <t>Phormidium sp</t>
  </si>
  <si>
    <t>6040.5</t>
  </si>
  <si>
    <t>6041.1</t>
  </si>
  <si>
    <t>Okere Arm</t>
  </si>
  <si>
    <t>6041.2</t>
  </si>
  <si>
    <t>6041.3</t>
  </si>
  <si>
    <t>6041.4</t>
  </si>
  <si>
    <t>6041.5</t>
  </si>
  <si>
    <t>6050.1</t>
  </si>
  <si>
    <t>Otaramarae</t>
  </si>
  <si>
    <t>6050.2</t>
  </si>
  <si>
    <t>6050.3</t>
  </si>
  <si>
    <t>6050.4</t>
  </si>
  <si>
    <t>Woronichinia naegeliana</t>
  </si>
  <si>
    <t>6050.5</t>
  </si>
  <si>
    <t xml:space="preserve">Dolichospermum flos-aquae
</t>
  </si>
  <si>
    <t>6050.6</t>
  </si>
  <si>
    <t>6050.7</t>
  </si>
  <si>
    <t>6049.1</t>
  </si>
  <si>
    <t>Te Weta</t>
  </si>
  <si>
    <t>Dolichospermum smithii</t>
  </si>
  <si>
    <t>6049.2</t>
  </si>
  <si>
    <t>6049.3</t>
  </si>
  <si>
    <t>6049.4</t>
  </si>
  <si>
    <t>6049.5</t>
  </si>
  <si>
    <t>6049.6</t>
  </si>
  <si>
    <t>6049.7</t>
  </si>
  <si>
    <t>6044.1</t>
  </si>
  <si>
    <t>Rotorua</t>
  </si>
  <si>
    <t>Hamurana</t>
  </si>
  <si>
    <t>6044.2</t>
  </si>
  <si>
    <t>6044.3</t>
  </si>
  <si>
    <t>6042.1</t>
  </si>
  <si>
    <t>Holdens Bay</t>
  </si>
  <si>
    <t>160</t>
  </si>
  <si>
    <t>6042.2</t>
  </si>
  <si>
    <t>6042.3</t>
  </si>
  <si>
    <t>6042.4</t>
  </si>
  <si>
    <t>6045.1</t>
  </si>
  <si>
    <t>Ngongotaha</t>
  </si>
  <si>
    <t>6045.2</t>
  </si>
  <si>
    <t>6045.3</t>
  </si>
  <si>
    <t>6045.4</t>
  </si>
  <si>
    <t>6039.1</t>
  </si>
  <si>
    <t>Ohau Channel</t>
  </si>
  <si>
    <t>6039.2</t>
  </si>
  <si>
    <t>6039.3</t>
  </si>
  <si>
    <t>6043.1</t>
  </si>
  <si>
    <t>Lake Okaro</t>
  </si>
  <si>
    <t>Boat ramp</t>
  </si>
  <si>
    <t>6043.2</t>
  </si>
  <si>
    <t>6043.3</t>
  </si>
  <si>
    <t>6043.4</t>
  </si>
  <si>
    <t>6043.5</t>
  </si>
  <si>
    <t>Dolichospermum spiroides</t>
  </si>
  <si>
    <t>6043.6</t>
  </si>
  <si>
    <t>6043.7</t>
  </si>
  <si>
    <t>6030.1</t>
  </si>
  <si>
    <t>04/05/2026</t>
  </si>
  <si>
    <t>6030.2</t>
  </si>
  <si>
    <t>6030.3</t>
  </si>
  <si>
    <t>6030.4</t>
  </si>
  <si>
    <t>6033.1</t>
  </si>
  <si>
    <t>6033.2</t>
  </si>
  <si>
    <t>6033.3</t>
  </si>
  <si>
    <t>6033.4</t>
  </si>
  <si>
    <t>6033.5</t>
  </si>
  <si>
    <t>6033.6</t>
  </si>
  <si>
    <t>6033.7</t>
  </si>
  <si>
    <t>Coelosphaerium kuetzingianum</t>
  </si>
  <si>
    <t>6038.1</t>
  </si>
  <si>
    <t>6035.1</t>
  </si>
  <si>
    <t>6035.2</t>
  </si>
  <si>
    <t>6035.3</t>
  </si>
  <si>
    <t>6035.4</t>
  </si>
  <si>
    <t>6035.5</t>
  </si>
  <si>
    <t>6035.6</t>
  </si>
  <si>
    <t>6031.1</t>
  </si>
  <si>
    <t>6031.2</t>
  </si>
  <si>
    <t>6031.3</t>
  </si>
  <si>
    <t>6036.1</t>
  </si>
  <si>
    <t>6036.2</t>
  </si>
  <si>
    <t>6037.1</t>
  </si>
  <si>
    <t>6037.2</t>
  </si>
  <si>
    <t>6037.3</t>
  </si>
  <si>
    <t>6032.1</t>
  </si>
  <si>
    <t>6032.2</t>
  </si>
  <si>
    <t>6032.3</t>
  </si>
  <si>
    <t>6028.1</t>
  </si>
  <si>
    <t>6028.2</t>
  </si>
  <si>
    <t>6028.3</t>
  </si>
  <si>
    <t>6029.1</t>
  </si>
  <si>
    <t>6029.2</t>
  </si>
  <si>
    <t>6029.3</t>
  </si>
  <si>
    <t>6027.1</t>
  </si>
  <si>
    <t>6027.2</t>
  </si>
  <si>
    <t>6027.3</t>
  </si>
  <si>
    <t>6034.1</t>
  </si>
  <si>
    <t>6034.2</t>
  </si>
  <si>
    <t>6034.3</t>
  </si>
  <si>
    <t>6019.1</t>
  </si>
  <si>
    <t>27/04/2026</t>
  </si>
  <si>
    <t>6019.2</t>
  </si>
  <si>
    <t>6026.1</t>
  </si>
  <si>
    <t>6026.2</t>
  </si>
  <si>
    <t>6026.3</t>
  </si>
  <si>
    <t>6026.4</t>
  </si>
  <si>
    <t>6026.5</t>
  </si>
  <si>
    <t>6026.6</t>
  </si>
  <si>
    <t>6026.7</t>
  </si>
  <si>
    <t>6023.1</t>
  </si>
  <si>
    <t>6023.2</t>
  </si>
  <si>
    <t>6023.3</t>
  </si>
  <si>
    <t>6020.1</t>
  </si>
  <si>
    <t>6020.2</t>
  </si>
  <si>
    <t>6020.3</t>
  </si>
  <si>
    <t>Anabaena torulosa</t>
  </si>
  <si>
    <t>6020.4</t>
  </si>
  <si>
    <t>Geitlerinema sp</t>
  </si>
  <si>
    <t>6020.5</t>
  </si>
  <si>
    <t>6020.6</t>
  </si>
  <si>
    <t>Picocyanobacteria</t>
  </si>
  <si>
    <t>6018.1</t>
  </si>
  <si>
    <t>6018.2</t>
  </si>
  <si>
    <t>6018.3</t>
  </si>
  <si>
    <t>6018.4</t>
  </si>
  <si>
    <t>6025.1</t>
  </si>
  <si>
    <t>6025.2</t>
  </si>
  <si>
    <t>6025.3</t>
  </si>
  <si>
    <t>6022.1</t>
  </si>
  <si>
    <t>6022.2</t>
  </si>
  <si>
    <t>Coelosphaerium cf natans</t>
  </si>
  <si>
    <t>6022.3</t>
  </si>
  <si>
    <t>6022.4</t>
  </si>
  <si>
    <t>6022.5</t>
  </si>
  <si>
    <t>6022.6</t>
  </si>
  <si>
    <t>6021.1</t>
  </si>
  <si>
    <t>6021.2</t>
  </si>
  <si>
    <t>6021.3</t>
  </si>
  <si>
    <t>6016.1</t>
  </si>
  <si>
    <t>6016.2</t>
  </si>
  <si>
    <t>6016.3</t>
  </si>
  <si>
    <t>6016.4</t>
  </si>
  <si>
    <t>6017.1</t>
  </si>
  <si>
    <t>6017.2</t>
  </si>
  <si>
    <t>6017.3</t>
  </si>
  <si>
    <t>6015.1</t>
  </si>
  <si>
    <t>6015.2</t>
  </si>
  <si>
    <t>6015.3</t>
  </si>
  <si>
    <t>6015.4</t>
  </si>
  <si>
    <t>6024.1</t>
  </si>
  <si>
    <t>6024.2</t>
  </si>
  <si>
    <t>6024.3</t>
  </si>
  <si>
    <t>6024.4</t>
  </si>
  <si>
    <t>6024.5</t>
  </si>
  <si>
    <t>6024.6</t>
  </si>
  <si>
    <t>6024.7</t>
  </si>
  <si>
    <t>6007.1</t>
  </si>
  <si>
    <t>20/04/2026</t>
  </si>
  <si>
    <t>6007.2</t>
  </si>
  <si>
    <t>6007.3</t>
  </si>
  <si>
    <t>6007.4</t>
  </si>
  <si>
    <t>6007.5</t>
  </si>
  <si>
    <t>6006.1</t>
  </si>
  <si>
    <t>6006.2</t>
  </si>
  <si>
    <t>6006.3</t>
  </si>
  <si>
    <t>6006.4</t>
  </si>
  <si>
    <t>6006.5</t>
  </si>
  <si>
    <t>6006.6</t>
  </si>
  <si>
    <t>6006.7</t>
  </si>
  <si>
    <t>6013.1</t>
  </si>
  <si>
    <t>6013.2</t>
  </si>
  <si>
    <t>6013.3</t>
  </si>
  <si>
    <t>6013.4</t>
  </si>
  <si>
    <t>6008.1</t>
  </si>
  <si>
    <t>6008.2</t>
  </si>
  <si>
    <t>6008.3</t>
  </si>
  <si>
    <t>6008.4</t>
  </si>
  <si>
    <t>6008.5</t>
  </si>
  <si>
    <t>6008.6</t>
  </si>
  <si>
    <t>6008.7</t>
  </si>
  <si>
    <t>6008.8</t>
  </si>
  <si>
    <t>6004.1</t>
  </si>
  <si>
    <t>6004.2</t>
  </si>
  <si>
    <t>6004.3</t>
  </si>
  <si>
    <t>6004.4</t>
  </si>
  <si>
    <t>6012.1</t>
  </si>
  <si>
    <t>6012.2</t>
  </si>
  <si>
    <t>6012.3</t>
  </si>
  <si>
    <t>6011.1</t>
  </si>
  <si>
    <t>6011.2</t>
  </si>
  <si>
    <t>6011.3</t>
  </si>
  <si>
    <t>6011.4</t>
  </si>
  <si>
    <t>6011.5</t>
  </si>
  <si>
    <t>6011.6</t>
  </si>
  <si>
    <t>6011.7</t>
  </si>
  <si>
    <t>6010.1</t>
  </si>
  <si>
    <t>6010.2</t>
  </si>
  <si>
    <t>6005.1</t>
  </si>
  <si>
    <t>6005.2</t>
  </si>
  <si>
    <t>6005.3</t>
  </si>
  <si>
    <t>6009.1</t>
  </si>
  <si>
    <t>6009.2</t>
  </si>
  <si>
    <t>6003.1</t>
  </si>
  <si>
    <t>6003.2</t>
  </si>
  <si>
    <t>6014.1</t>
  </si>
  <si>
    <t>6014.2</t>
  </si>
  <si>
    <t>6014.3</t>
  </si>
  <si>
    <t>6014.4</t>
  </si>
  <si>
    <t>6014.5</t>
  </si>
  <si>
    <t>6014.6</t>
  </si>
  <si>
    <t>6014.7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</si>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</sst>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18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2" fillId="6" borderId="0" xfId="0" applyFont="1" applyFill="1"/>
    <xf numFmtId="0" fontId="2" fillId="6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172" fontId="0" fillId="7" borderId="0" xfId="0" applyNumberFormat="1" applyFill="1" applyAlignment="1" applyProtection="1"/>
    <xf numFmtId="172" fontId="0" fillId="8" borderId="0" xfId="0" applyNumberFormat="1" applyFill="1" applyAlignment="1" applyProtection="1"/>
    <xf numFmtId="0" fontId="2" fillId="6" borderId="0" xfId="0" applyNumberFormat="1" applyFont="1" applyFill="1" applyAlignment="1"/>
    <xf numFmtId="0" fontId="2" fillId="6" borderId="1" xfId="0" applyNumberFormat="1" applyFont="1" applyFill="1" applyBorder="1" applyAlignment="1"/>
    <xf numFmtId="1" fontId="0" fillId="8" borderId="0" xfId="0" applyNumberFormat="1" applyFill="1" applyAlignment="1" applyProtection="1">
      <alignment horizontal="center"/>
    </xf>
    <xf numFmtId="1" fontId="0" fillId="7" borderId="0" xfId="0" applyNumberFormat="1" applyFill="1" applyAlignment="1" applyProtection="1">
      <alignment horizontal="center"/>
    </xf>
  </cellXfs>
  <cellStyles count="1">
    <cellStyle name="Normal" xfId="0" builtinId="0"/>
  </cellStyles>
  <dxfs count="43">
    <dxf>
      <fill>
        <patternFill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numFmt numFmtId="171" formatCode="0.0000"/>
    </dxf>
    <dxf>
      <numFmt numFmtId="172" formatCode="0.000"/>
    </dxf>
    <dxf>
      <numFmt numFmtId="171" formatCode="0.0000"/>
    </dxf>
    <dxf>
      <numFmt numFmtId="170" formatCode="0.00000"/>
    </dxf>
    <dxf>
      <numFmt numFmtId="170" formatCode="0.00000"/>
    </dxf>
    <dxf>
      <numFmt numFmtId="169" formatCode="0.000000"/>
    </dxf>
    <dxf>
      <numFmt numFmtId="169" formatCode="0.000000"/>
    </dxf>
    <dxf>
      <numFmt numFmtId="168" formatCode="0.0000000"/>
    </dxf>
    <dxf>
      <numFmt numFmtId="168" formatCode="0.0000000"/>
    </dxf>
    <dxf>
      <numFmt numFmtId="167" formatCode="0.00000000"/>
    </dxf>
    <dxf>
      <numFmt numFmtId="167" formatCode="0.00000000"/>
    </dxf>
    <dxf>
      <numFmt numFmtId="166" formatCode="0.000000000"/>
    </dxf>
    <dxf>
      <numFmt numFmtId="166" formatCode="0.000000000"/>
    </dxf>
    <dxf>
      <numFmt numFmtId="164" formatCode="0.0000000000"/>
    </dxf>
    <dxf>
      <numFmt numFmtId="164" formatCode="0.0000000000"/>
    </dxf>
    <dxf>
      <numFmt numFmtId="165" formatCode="0.00000000000"/>
    </dxf>
    <dxf>
      <numFmt numFmtId="165" formatCode="0.00000000000"/>
    </dxf>
    <dxf>
      <numFmt numFmtId="164" formatCode="0.0000000000"/>
    </dxf>
    <dxf>
      <numFmt numFmtId="164" formatCode="0.0000000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56.369158680558" refreshedVersion="8" recordCount="210" xr:uid="{00000000-000A-0000-FFFF-FFFF02000000}">
  <cacheSource type="worksheet">
    <worksheetSource ref="A1:P211" sheet="Lakes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11/05/2026"/>
        <s v="04/05/2026"/>
        <s v="27/04/2026"/>
        <s v="20/04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2.5" maxValue="640"/>
    </cacheField>
    <cacheField name="NumberOfColonies" numFmtId="0">
      <sharedItems containsString="0" containsBlank="1" containsNumber="1" containsInteger="1" minValue="2" maxValue="105"/>
    </cacheField>
    <cacheField name="CellsPerMl" numFmtId="0">
      <sharedItems containsSemiMixedTypes="0" containsString="0" containsNumber="1" minValue="0.3" maxValue="17469.7938333333"/>
    </cacheField>
    <cacheField name="TotalBioVolume" numFmtId="0">
      <sharedItems containsSemiMixedTypes="0" containsString="0" containsNumber="1" minValue="0" maxValue="3.32502586029833"/>
    </cacheField>
    <cacheField name="PotentiallyToxicCellMl" numFmtId="0">
      <sharedItems containsSemiMixedTypes="0" containsString="0" containsNumber="1" minValue="0" maxValue="17469.7938333333"/>
    </cacheField>
    <cacheField name="PotentiallyToxicBioVolume" numFmtId="0">
      <sharedItems containsSemiMixedTypes="0" containsString="0" containsNumber="1" minValue="0" maxValue="3.32502586029833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56.369159490743" refreshedVersion="8" recordCount="65" xr:uid="{00000000-000A-0000-FFFF-FFFF01000000}">
  <cacheSource type="worksheet">
    <worksheetSource ref="A1:P66" sheet="Toxin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11/05/2026"/>
        <s v="04/05/2026"/>
        <s v="27/04/2026"/>
        <s v="20/04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0" maxValue="180"/>
    </cacheField>
    <cacheField name="NumberOfColonies" numFmtId="0">
      <sharedItems containsString="0" containsBlank="1" containsNumber="1" containsInteger="1" minValue="2" maxValue="105"/>
    </cacheField>
    <cacheField name="CellsPerMl" numFmtId="0">
      <sharedItems containsSemiMixedTypes="0" containsString="0" containsNumber="1" minValue="1" maxValue="17469.7938333333"/>
    </cacheField>
    <cacheField name="TotalBioVolume" numFmtId="0">
      <sharedItems containsSemiMixedTypes="0" containsString="0" containsNumber="1" minValue="8.6158285704000006E-5" maxValue="3.32502586029833"/>
    </cacheField>
    <cacheField name="PotentiallyToxicCellMl" numFmtId="0">
      <sharedItems containsSemiMixedTypes="0" containsString="0" containsNumber="1" minValue="1" maxValue="17469.7938333333"/>
    </cacheField>
    <cacheField name="PotentiallyToxicBioVolume" numFmtId="0">
      <sharedItems containsSemiMixedTypes="0" containsString="0" containsNumber="1" minValue="8.6158285704000006E-5" maxValue="3.32502586029833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56.369160185182" refreshedVersion="8" recordCount="210" xr:uid="{00000000-000A-0000-FFFF-FFFF00000000}">
  <cacheSource type="worksheet">
    <worksheetSource ref="A1:P211" sheet="Lakes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11/05/2026"/>
        <s v="04/05/2026"/>
        <s v="27/04/2026"/>
        <s v="20/04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2.5" maxValue="640"/>
    </cacheField>
    <cacheField name="NumberOfColonies" numFmtId="0">
      <sharedItems containsString="0" containsBlank="1" containsNumber="1" containsInteger="1" minValue="2" maxValue="105"/>
    </cacheField>
    <cacheField name="CellsPerMl" numFmtId="0">
      <sharedItems containsSemiMixedTypes="0" containsString="0" containsNumber="1" minValue="0.3" maxValue="17469.7938333333"/>
    </cacheField>
    <cacheField name="TotalBioVolume" numFmtId="0">
      <sharedItems containsSemiMixedTypes="0" containsString="0" containsNumber="1" minValue="0" maxValue="3.32502586029833"/>
    </cacheField>
    <cacheField name="PotentiallyToxicCellMl" numFmtId="0">
      <sharedItems containsSemiMixedTypes="0" containsString="0" containsNumber="1" minValue="0" maxValue="17469.7938333333"/>
    </cacheField>
    <cacheField name="PotentiallyToxicBioVolume" numFmtId="0">
      <sharedItems containsSemiMixedTypes="0" containsString="0" containsNumber="1" minValue="0" maxValue="3.32502586029833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6046.1"/>
    <x v="0"/>
    <x v="0"/>
    <x v="0"/>
    <s v="20A"/>
    <s v="Whole Plate"/>
    <s v="Microcystis sp"/>
    <b v="1"/>
    <n v="10"/>
    <n v="42.15"/>
    <n v="105"/>
    <n v="526.875"/>
    <n v="3.7828872316912503E-2"/>
    <n v="526.875"/>
    <n v="3.7828872316912503E-2"/>
    <s v="Microcystis spp._x000a_"/>
  </r>
  <r>
    <s v="6046.2"/>
    <x v="0"/>
    <x v="0"/>
    <x v="0"/>
    <s v="20A"/>
    <s v="Whole Plate"/>
    <s v="Microcystis wesenbergii"/>
    <b v="1"/>
    <n v="10"/>
    <n v="44.6666666666667"/>
    <m/>
    <n v="13.4"/>
    <n v="2.5504220000000001E-3"/>
    <n v="13.4"/>
    <n v="2.5504220000000001E-3"/>
    <s v="Microcystis spp._x000a_"/>
  </r>
  <r>
    <s v="6046.3"/>
    <x v="0"/>
    <x v="0"/>
    <x v="0"/>
    <s v="20A"/>
    <s v="Whole Plate"/>
    <s v="Dolichospermum lemmermannii"/>
    <b v="1"/>
    <n v="10"/>
    <n v="16.454545454545499"/>
    <m/>
    <n v="18.100000000000001"/>
    <n v="1.9910000000000001E-3"/>
    <n v="18.100000000000001"/>
    <n v="1.9910000000000001E-3"/>
    <m/>
  </r>
  <r>
    <s v="6046.4"/>
    <x v="0"/>
    <x v="0"/>
    <x v="0"/>
    <s v="20A"/>
    <s v="Whole Plate"/>
    <s v="Pseudanabaena sp."/>
    <b v="1"/>
    <n v="10"/>
    <n v="3"/>
    <m/>
    <n v="0.3"/>
    <n v="1.17E-5"/>
    <n v="0.3"/>
    <n v="1.17E-5"/>
    <m/>
  </r>
  <r>
    <s v="6046.5"/>
    <x v="0"/>
    <x v="0"/>
    <x v="0"/>
    <s v="20A"/>
    <s v="Whole Plate"/>
    <s v="Oscillatoria sp"/>
    <b v="1"/>
    <n v="10"/>
    <n v="34"/>
    <m/>
    <n v="3.4"/>
    <n v="9.1953E-3"/>
    <n v="3.4"/>
    <n v="9.1953E-3"/>
    <m/>
  </r>
  <r>
    <s v="6046.6"/>
    <x v="0"/>
    <x v="0"/>
    <x v="0"/>
    <s v="20A"/>
    <s v="Whole Plate"/>
    <s v="Dolichospermum planctonicum "/>
    <b v="1"/>
    <n v="10"/>
    <n v="17.5"/>
    <m/>
    <n v="3.5"/>
    <n v="1.2949999999999999E-3"/>
    <n v="3.5"/>
    <n v="1.2949999999999999E-3"/>
    <m/>
  </r>
  <r>
    <s v="6048.1"/>
    <x v="0"/>
    <x v="1"/>
    <x v="0"/>
    <s v="20A"/>
    <s v="Whole Plate"/>
    <s v="Microcystis sp"/>
    <b v="1"/>
    <n v="10"/>
    <n v="18.5"/>
    <n v="53"/>
    <n v="135.05000000000001"/>
    <n v="9.6963970702709998E-3"/>
    <n v="135.05000000000001"/>
    <n v="9.6963970702709998E-3"/>
    <s v="Microcystis spp._x000a_"/>
  </r>
  <r>
    <s v="6048.2"/>
    <x v="0"/>
    <x v="1"/>
    <x v="0"/>
    <s v="20A"/>
    <s v="Whole Plate"/>
    <s v="Pseudanabaena sp."/>
    <b v="1"/>
    <n v="10"/>
    <n v="15"/>
    <m/>
    <n v="18"/>
    <n v="7.0200000000000004E-4"/>
    <n v="18"/>
    <n v="7.0200000000000004E-4"/>
    <m/>
  </r>
  <r>
    <s v="6048.3"/>
    <x v="0"/>
    <x v="1"/>
    <x v="0"/>
    <s v="20A"/>
    <s v="Whole Plate"/>
    <s v="Oscillatoria sp"/>
    <b v="1"/>
    <n v="10"/>
    <n v="43"/>
    <m/>
    <n v="25.8"/>
    <n v="6.9776099999999994E-2"/>
    <n v="25.8"/>
    <n v="6.9776099999999994E-2"/>
    <m/>
  </r>
  <r>
    <s v="6048.4"/>
    <x v="0"/>
    <x v="1"/>
    <x v="0"/>
    <s v="20A"/>
    <s v="Whole Plate"/>
    <s v="Dolichospermum sp"/>
    <b v="1"/>
    <n v="10"/>
    <n v="31"/>
    <m/>
    <n v="6.2"/>
    <n v="1.178E-3"/>
    <n v="6.2"/>
    <n v="1.178E-3"/>
    <m/>
  </r>
  <r>
    <s v="6048.5"/>
    <x v="0"/>
    <x v="1"/>
    <x v="0"/>
    <s v="20A"/>
    <s v="Whole Plate"/>
    <s v="Dolichospermum planctonicum "/>
    <b v="1"/>
    <n v="10"/>
    <n v="13"/>
    <m/>
    <n v="2.6"/>
    <n v="9.6199999999999996E-4"/>
    <n v="2.6"/>
    <n v="9.6199999999999996E-4"/>
    <m/>
  </r>
  <r>
    <s v="6048.6"/>
    <x v="0"/>
    <x v="1"/>
    <x v="0"/>
    <s v="20A"/>
    <s v="Whole Plate"/>
    <s v="Microcystis wesenbergii"/>
    <b v="1"/>
    <n v="10"/>
    <n v="52"/>
    <m/>
    <n v="10.4"/>
    <n v="1.9794320000000002E-3"/>
    <n v="10.4"/>
    <n v="1.9794320000000002E-3"/>
    <s v="Microcystis spp._x000a_"/>
  </r>
  <r>
    <s v="6048.7"/>
    <x v="0"/>
    <x v="1"/>
    <x v="0"/>
    <s v="20A"/>
    <s v="Whole Plate"/>
    <s v="Aphanocapsa sp"/>
    <b v="0"/>
    <n v="10"/>
    <n v="24"/>
    <m/>
    <n v="2.4"/>
    <n v="5.4E-6"/>
    <n v="0"/>
    <n v="0"/>
    <m/>
  </r>
  <r>
    <s v="6048.8"/>
    <x v="0"/>
    <x v="1"/>
    <x v="0"/>
    <s v="20A"/>
    <s v="Whole Plate"/>
    <s v="Merismopedia sp"/>
    <b v="0"/>
    <n v="10"/>
    <n v="16"/>
    <m/>
    <n v="1.6"/>
    <n v="3.5200000000000002E-5"/>
    <n v="0"/>
    <n v="0"/>
    <m/>
  </r>
  <r>
    <s v="6047.1"/>
    <x v="1"/>
    <x v="2"/>
    <x v="0"/>
    <s v="20A"/>
    <s v="Whole Plate"/>
    <s v="Microcystis wesenbergii"/>
    <b v="1"/>
    <n v="10"/>
    <n v="10"/>
    <m/>
    <n v="1"/>
    <n v="1.9033E-4"/>
    <n v="1"/>
    <n v="1.9033E-4"/>
    <s v="Microcystis spp._x000a_"/>
  </r>
  <r>
    <s v="6047.2"/>
    <x v="1"/>
    <x v="2"/>
    <x v="0"/>
    <s v="20A"/>
    <s v="Whole Plate"/>
    <s v="Pseudanabaena sp."/>
    <b v="1"/>
    <n v="10"/>
    <n v="3"/>
    <m/>
    <n v="1.5"/>
    <n v="5.8499999999999999E-5"/>
    <n v="1.5"/>
    <n v="5.8499999999999999E-5"/>
    <m/>
  </r>
  <r>
    <s v="6047.3"/>
    <x v="1"/>
    <x v="2"/>
    <x v="0"/>
    <s v="20A"/>
    <s v="Whole Plate"/>
    <s v="Dolichospermum planctonicum "/>
    <b v="1"/>
    <n v="10"/>
    <n v="11.5"/>
    <m/>
    <n v="2.2999999999999998"/>
    <n v="8.5099999999999998E-4"/>
    <n v="2.2999999999999998"/>
    <n v="8.5099999999999998E-4"/>
    <m/>
  </r>
  <r>
    <s v="6047.4"/>
    <x v="1"/>
    <x v="2"/>
    <x v="0"/>
    <s v="20A"/>
    <s v="Whole Plate"/>
    <s v="Limnococcus limneticus_x000a_"/>
    <b v="0"/>
    <n v="10"/>
    <n v="12"/>
    <m/>
    <n v="1.2"/>
    <n v="5.4000000000000001E-4"/>
    <n v="0"/>
    <n v="0"/>
    <m/>
  </r>
  <r>
    <s v="6047.5"/>
    <x v="1"/>
    <x v="2"/>
    <x v="0"/>
    <s v="20A"/>
    <s v="Whole Plate"/>
    <s v="Aphanocapsa sp"/>
    <b v="0"/>
    <n v="10"/>
    <n v="22"/>
    <m/>
    <n v="2.2000000000000002"/>
    <n v="4.95E-6"/>
    <n v="0"/>
    <n v="0"/>
    <m/>
  </r>
  <r>
    <s v="6040.2"/>
    <x v="1"/>
    <x v="3"/>
    <x v="0"/>
    <s v="20A"/>
    <s v="Whole Plate"/>
    <s v="Oscillatoria sp"/>
    <b v="1"/>
    <n v="10"/>
    <n v="153.333333333333"/>
    <m/>
    <n v="138"/>
    <n v="0.37322100000000002"/>
    <n v="138"/>
    <n v="0.37322100000000002"/>
    <m/>
  </r>
  <r>
    <s v="6040.3"/>
    <x v="1"/>
    <x v="3"/>
    <x v="0"/>
    <s v="20A"/>
    <s v="Whole Plate"/>
    <s v="Dolichospermum circinale"/>
    <b v="1"/>
    <n v="10"/>
    <n v="18"/>
    <m/>
    <n v="3.6"/>
    <n v="2.0723040000000001E-3"/>
    <n v="3.6"/>
    <n v="2.0723040000000001E-3"/>
    <m/>
  </r>
  <r>
    <s v="6040.4"/>
    <x v="1"/>
    <x v="3"/>
    <x v="0"/>
    <s v="20A"/>
    <s v="Whole Plate"/>
    <s v="Phormidium sp"/>
    <b v="1"/>
    <n v="10"/>
    <n v="34"/>
    <m/>
    <n v="3.4"/>
    <n v="3.1735599999999997E-4"/>
    <n v="3.4"/>
    <n v="3.1735599999999997E-4"/>
    <m/>
  </r>
  <r>
    <s v="6040.5"/>
    <x v="1"/>
    <x v="3"/>
    <x v="0"/>
    <s v="20A"/>
    <s v="Whole Plate"/>
    <s v="Microcystis wesenbergii"/>
    <b v="1"/>
    <n v="10"/>
    <n v="46"/>
    <m/>
    <n v="4.5999999999999996"/>
    <n v="8.7551800000000004E-4"/>
    <n v="4.5999999999999996"/>
    <n v="8.7551800000000004E-4"/>
    <s v="Microcystis spp._x000a_"/>
  </r>
  <r>
    <s v="6041.1"/>
    <x v="1"/>
    <x v="4"/>
    <x v="0"/>
    <s v="20A"/>
    <s v="Whole Plate"/>
    <s v="Microcystis sp"/>
    <b v="1"/>
    <n v="10"/>
    <n v="11.25"/>
    <m/>
    <n v="4.5"/>
    <n v="3.2309357138999998E-4"/>
    <n v="4.5"/>
    <n v="3.2309357138999998E-4"/>
    <s v="Microcystis spp._x000a_"/>
  </r>
  <r>
    <s v="6041.2"/>
    <x v="1"/>
    <x v="4"/>
    <x v="0"/>
    <s v="20A"/>
    <s v="Whole Plate"/>
    <s v="Dolichospermum planctonicum "/>
    <b v="1"/>
    <n v="10"/>
    <n v="29.65"/>
    <n v="15"/>
    <n v="103.77500000000001"/>
    <n v="3.839675E-2"/>
    <n v="103.77500000000001"/>
    <n v="3.839675E-2"/>
    <m/>
  </r>
  <r>
    <s v="6041.3"/>
    <x v="1"/>
    <x v="4"/>
    <x v="0"/>
    <s v="20A"/>
    <s v="Whole Plate"/>
    <s v="Pseudanabaena sp."/>
    <b v="1"/>
    <n v="10"/>
    <n v="6"/>
    <m/>
    <n v="2.4"/>
    <n v="9.3599999999999998E-5"/>
    <n v="2.4"/>
    <n v="9.3599999999999998E-5"/>
    <m/>
  </r>
  <r>
    <s v="6041.4"/>
    <x v="1"/>
    <x v="4"/>
    <x v="0"/>
    <s v="20A"/>
    <s v="Whole Plate"/>
    <s v="Microcystis wesenbergii"/>
    <b v="1"/>
    <n v="10"/>
    <n v="30"/>
    <m/>
    <n v="27"/>
    <n v="5.13891E-3"/>
    <n v="27"/>
    <n v="5.13891E-3"/>
    <s v="Microcystis spp._x000a_"/>
  </r>
  <r>
    <s v="6041.5"/>
    <x v="1"/>
    <x v="4"/>
    <x v="0"/>
    <s v="20A"/>
    <s v="Whole Plate"/>
    <s v="Aphanocapsa sp"/>
    <b v="0"/>
    <n v="10"/>
    <n v="352"/>
    <m/>
    <n v="35.200000000000003"/>
    <n v="7.9200000000000001E-5"/>
    <n v="0"/>
    <n v="0"/>
    <m/>
  </r>
  <r>
    <s v="6050.1"/>
    <x v="1"/>
    <x v="5"/>
    <x v="0"/>
    <s v="20A"/>
    <s v="Whole Plate"/>
    <s v="Oscillatoria sp"/>
    <b v="1"/>
    <n v="10"/>
    <n v="128"/>
    <m/>
    <n v="12.8"/>
    <n v="3.4617599999999998E-2"/>
    <n v="12.8"/>
    <n v="3.4617599999999998E-2"/>
    <m/>
  </r>
  <r>
    <s v="6050.2"/>
    <x v="1"/>
    <x v="5"/>
    <x v="0"/>
    <s v="20A"/>
    <s v="Whole Plate"/>
    <s v="Dolichospermum planctonicum "/>
    <b v="1"/>
    <n v="10"/>
    <n v="18.571428571428601"/>
    <m/>
    <n v="13"/>
    <n v="4.81E-3"/>
    <n v="13"/>
    <n v="4.81E-3"/>
    <m/>
  </r>
  <r>
    <s v="6050.3"/>
    <x v="1"/>
    <x v="5"/>
    <x v="0"/>
    <s v="20A"/>
    <s v="Whole Plate"/>
    <s v="Microcystis wesenbergii"/>
    <b v="1"/>
    <n v="10"/>
    <n v="52"/>
    <m/>
    <n v="10.4"/>
    <n v="1.9794320000000002E-3"/>
    <n v="10.4"/>
    <n v="1.9794320000000002E-3"/>
    <s v="Microcystis spp._x000a_"/>
  </r>
  <r>
    <s v="6050.4"/>
    <x v="1"/>
    <x v="5"/>
    <x v="0"/>
    <s v="20A"/>
    <s v="Whole Plate"/>
    <s v="Woronichinia naegeliana"/>
    <b v="1"/>
    <n v="10"/>
    <n v="156"/>
    <m/>
    <n v="31.2"/>
    <n v="0"/>
    <n v="31.2"/>
    <n v="0"/>
    <m/>
  </r>
  <r>
    <s v="6050.5"/>
    <x v="1"/>
    <x v="5"/>
    <x v="0"/>
    <s v="20A"/>
    <s v="Whole Plate"/>
    <s v="Dolichospermum flos-aquae_x000a_"/>
    <b v="1"/>
    <n v="10"/>
    <n v="22"/>
    <m/>
    <n v="2.2000000000000002"/>
    <n v="1.2320000000000001E-4"/>
    <n v="2.2000000000000002"/>
    <n v="1.2320000000000001E-4"/>
    <m/>
  </r>
  <r>
    <s v="6050.6"/>
    <x v="1"/>
    <x v="5"/>
    <x v="0"/>
    <s v="20A"/>
    <s v="Whole Plate"/>
    <s v="Pseudanabaena sp."/>
    <b v="1"/>
    <n v="10"/>
    <n v="8"/>
    <m/>
    <n v="0.8"/>
    <n v="3.1199999999999999E-5"/>
    <n v="0.8"/>
    <n v="3.1199999999999999E-5"/>
    <m/>
  </r>
  <r>
    <s v="6050.7"/>
    <x v="1"/>
    <x v="5"/>
    <x v="0"/>
    <s v="20A"/>
    <s v="Whole Plate"/>
    <s v="Aphanocapsa sp"/>
    <b v="0"/>
    <n v="10"/>
    <n v="245"/>
    <m/>
    <n v="24.5"/>
    <n v="5.5124999999999998E-5"/>
    <n v="0"/>
    <n v="0"/>
    <m/>
  </r>
  <r>
    <s v="6049.1"/>
    <x v="1"/>
    <x v="6"/>
    <x v="0"/>
    <s v="20A"/>
    <s v="Whole Plate"/>
    <s v="Dolichospermum smithii"/>
    <b v="1"/>
    <n v="10"/>
    <n v="13.3333333333333"/>
    <m/>
    <n v="4"/>
    <n v="1.732E-3"/>
    <n v="4"/>
    <n v="1.732E-3"/>
    <m/>
  </r>
  <r>
    <s v="6049.2"/>
    <x v="1"/>
    <x v="6"/>
    <x v="0"/>
    <s v="20A"/>
    <s v="Whole Plate"/>
    <s v="Oscillatoria sp"/>
    <b v="1"/>
    <n v="10"/>
    <n v="130"/>
    <m/>
    <n v="13"/>
    <n v="3.5158500000000002E-2"/>
    <n v="13"/>
    <n v="3.5158500000000002E-2"/>
    <m/>
  </r>
  <r>
    <s v="6049.3"/>
    <x v="1"/>
    <x v="6"/>
    <x v="0"/>
    <s v="20A"/>
    <s v="Whole Plate"/>
    <s v="Dolichospermum planctonicum "/>
    <b v="1"/>
    <n v="10"/>
    <n v="16.266666666666701"/>
    <m/>
    <n v="24.4"/>
    <n v="9.0279999999999996E-3"/>
    <n v="24.4"/>
    <n v="9.0279999999999996E-3"/>
    <m/>
  </r>
  <r>
    <s v="6049.4"/>
    <x v="1"/>
    <x v="6"/>
    <x v="0"/>
    <s v="20A"/>
    <s v="Whole Plate"/>
    <s v="Phormidium sp"/>
    <b v="1"/>
    <n v="10"/>
    <n v="36"/>
    <m/>
    <n v="3.6"/>
    <n v="3.3602399999999998E-4"/>
    <n v="3.6"/>
    <n v="3.3602399999999998E-4"/>
    <m/>
  </r>
  <r>
    <s v="6049.5"/>
    <x v="1"/>
    <x v="6"/>
    <x v="0"/>
    <s v="20A"/>
    <s v="Whole Plate"/>
    <s v="Microcystis wesenbergii"/>
    <b v="1"/>
    <n v="10"/>
    <n v="55.3333333333333"/>
    <m/>
    <n v="16.600000000000001"/>
    <n v="3.1594779999999999E-3"/>
    <n v="16.600000000000001"/>
    <n v="3.1594779999999999E-3"/>
    <s v="Microcystis spp._x000a_"/>
  </r>
  <r>
    <s v="6049.6"/>
    <x v="1"/>
    <x v="6"/>
    <x v="0"/>
    <s v="20A"/>
    <s v="Whole Plate"/>
    <s v="Dolichospermum lemmermannii"/>
    <b v="1"/>
    <n v="10"/>
    <n v="38"/>
    <m/>
    <n v="3.8"/>
    <n v="4.1800000000000002E-4"/>
    <n v="3.8"/>
    <n v="4.1800000000000002E-4"/>
    <m/>
  </r>
  <r>
    <s v="6049.7"/>
    <x v="1"/>
    <x v="6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6044.1"/>
    <x v="2"/>
    <x v="7"/>
    <x v="0"/>
    <s v="20A"/>
    <s v="Whole Plate"/>
    <s v="Dolichospermum planctonicum "/>
    <b v="1"/>
    <n v="10"/>
    <n v="20.399999999999999"/>
    <n v="43"/>
    <n v="128.52000000000001"/>
    <n v="4.7552400000000002E-2"/>
    <n v="128.52000000000001"/>
    <n v="4.7552400000000002E-2"/>
    <m/>
  </r>
  <r>
    <s v="6044.2"/>
    <x v="2"/>
    <x v="7"/>
    <x v="0"/>
    <s v="20A"/>
    <s v="Whole Plate"/>
    <s v="Pseudanabaena sp."/>
    <b v="1"/>
    <n v="10"/>
    <n v="8.5"/>
    <m/>
    <n v="1.7"/>
    <n v="6.6299999999999999E-5"/>
    <n v="1.7"/>
    <n v="6.6299999999999999E-5"/>
    <m/>
  </r>
  <r>
    <s v="6044.3"/>
    <x v="2"/>
    <x v="7"/>
    <x v="0"/>
    <s v="20A"/>
    <s v="Whole Plate"/>
    <s v="Microcystis wesenbergii"/>
    <b v="1"/>
    <n v="10"/>
    <n v="22.3333333333333"/>
    <m/>
    <n v="20.100000000000001"/>
    <n v="3.8256330000000002E-3"/>
    <n v="20.100000000000001"/>
    <n v="3.8256330000000002E-3"/>
    <s v="Microcystis spp._x000a_"/>
  </r>
  <r>
    <s v="6042.1"/>
    <x v="2"/>
    <x v="8"/>
    <x v="0"/>
    <s v="20A"/>
    <s v="160"/>
    <s v="Microcystis wesenbergii"/>
    <b v="1"/>
    <n v="10"/>
    <n v="29.1666666666667"/>
    <m/>
    <n v="549.77951388888903"/>
    <n v="0.104639534878472"/>
    <n v="549.77951388888903"/>
    <n v="0.104639534878472"/>
    <s v="Microcystis spp._x000a_"/>
  </r>
  <r>
    <s v="6042.2"/>
    <x v="2"/>
    <x v="8"/>
    <x v="0"/>
    <s v="20A"/>
    <s v="160"/>
    <s v="Dolichospermum planctonicum "/>
    <b v="1"/>
    <n v="10"/>
    <n v="17"/>
    <m/>
    <n v="427.25722222222203"/>
    <n v="0.15808517222222199"/>
    <n v="427.25722222222203"/>
    <n v="0.15808517222222199"/>
    <m/>
  </r>
  <r>
    <s v="6042.3"/>
    <x v="2"/>
    <x v="8"/>
    <x v="0"/>
    <s v="20A"/>
    <s v="160"/>
    <s v="Pseudanabaena sp."/>
    <b v="1"/>
    <n v="10"/>
    <n v="8.8333333333333304"/>
    <m/>
    <n v="166.50465277777801"/>
    <n v="6.4936814583333403E-3"/>
    <n v="166.50465277777801"/>
    <n v="6.4936814583333403E-3"/>
    <m/>
  </r>
  <r>
    <s v="6042.4"/>
    <x v="2"/>
    <x v="8"/>
    <x v="0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6045.1"/>
    <x v="2"/>
    <x v="9"/>
    <x v="0"/>
    <s v="20A"/>
    <s v="Whole Plate"/>
    <s v="Microcystis wesenbergii"/>
    <b v="1"/>
    <n v="10"/>
    <n v="18.8"/>
    <m/>
    <n v="9.4"/>
    <n v="1.7891020000000001E-3"/>
    <n v="9.4"/>
    <n v="1.7891020000000001E-3"/>
    <s v="Microcystis spp._x000a_"/>
  </r>
  <r>
    <s v="6045.2"/>
    <x v="2"/>
    <x v="9"/>
    <x v="0"/>
    <s v="20A"/>
    <s v="Whole Plate"/>
    <s v="Pseudanabaena sp."/>
    <b v="1"/>
    <n v="10"/>
    <n v="13.8"/>
    <m/>
    <n v="13.8"/>
    <n v="5.3819999999999996E-4"/>
    <n v="13.8"/>
    <n v="5.3819999999999996E-4"/>
    <m/>
  </r>
  <r>
    <s v="6045.3"/>
    <x v="2"/>
    <x v="9"/>
    <x v="0"/>
    <s v="20A"/>
    <s v="Whole Plate"/>
    <s v="Merismopedia sp"/>
    <b v="0"/>
    <n v="10"/>
    <n v="128"/>
    <m/>
    <n v="12.8"/>
    <n v="2.8160000000000001E-4"/>
    <n v="0"/>
    <n v="0"/>
    <m/>
  </r>
  <r>
    <s v="6045.4"/>
    <x v="2"/>
    <x v="9"/>
    <x v="0"/>
    <s v="20A"/>
    <s v="Whole Plate"/>
    <s v="Dolichospermum sp"/>
    <b v="1"/>
    <n v="10"/>
    <n v="34"/>
    <m/>
    <n v="3.4"/>
    <n v="6.4599999999999998E-4"/>
    <n v="3.4"/>
    <n v="6.4599999999999998E-4"/>
    <m/>
  </r>
  <r>
    <s v="6039.1"/>
    <x v="2"/>
    <x v="10"/>
    <x v="0"/>
    <s v="20A"/>
    <s v="160"/>
    <s v="Microcystis wesenbergii"/>
    <b v="1"/>
    <n v="10"/>
    <n v="22.714285714285701"/>
    <m/>
    <n v="499.51395833333299"/>
    <n v="9.5072491689583302E-2"/>
    <n v="499.51395833333299"/>
    <n v="9.5072491689583302E-2"/>
    <s v="Microcystis spp._x000a_"/>
  </r>
  <r>
    <s v="6039.2"/>
    <x v="2"/>
    <x v="10"/>
    <x v="0"/>
    <s v="20A"/>
    <s v="160"/>
    <s v="Dolichospermum planctonicum "/>
    <b v="1"/>
    <n v="10"/>
    <n v="21.4"/>
    <m/>
    <n v="672.30180555555501"/>
    <n v="0.24875166805555601"/>
    <n v="672.30180555555603"/>
    <n v="0.24875166805555601"/>
    <m/>
  </r>
  <r>
    <s v="6039.3"/>
    <x v="2"/>
    <x v="10"/>
    <x v="0"/>
    <s v="20A"/>
    <s v="160"/>
    <s v="Pseudanabaena sp."/>
    <b v="1"/>
    <n v="10"/>
    <n v="8.3333333333333304"/>
    <m/>
    <n v="78.5399305555555"/>
    <n v="3.0630572916666701E-3"/>
    <n v="78.5399305555556"/>
    <n v="3.0630572916666701E-3"/>
    <m/>
  </r>
  <r>
    <s v="6043.1"/>
    <x v="3"/>
    <x v="11"/>
    <x v="0"/>
    <s v="20A"/>
    <s v="160"/>
    <s v="Dolichospermum smithii"/>
    <b v="1"/>
    <n v="10"/>
    <n v="10"/>
    <m/>
    <n v="31.415972222222202"/>
    <n v="1.3603115972222199E-2"/>
    <n v="31.415972222222202"/>
    <n v="1.3603115972222199E-2"/>
    <m/>
  </r>
  <r>
    <s v="6043.2"/>
    <x v="3"/>
    <x v="11"/>
    <x v="0"/>
    <s v="20A"/>
    <s v="160"/>
    <s v="Dolichospermum circinale"/>
    <b v="1"/>
    <n v="10"/>
    <n v="13.55"/>
    <n v="24"/>
    <n v="1873.02026388889"/>
    <n v="1.078185384705"/>
    <n v="1873.02026388889"/>
    <n v="1.078185384705"/>
    <m/>
  </r>
  <r>
    <s v="6043.3"/>
    <x v="3"/>
    <x v="11"/>
    <x v="0"/>
    <s v="20A"/>
    <s v="160"/>
    <s v="Dolichospermum flos-aquae_x000a_"/>
    <b v="1"/>
    <n v="10"/>
    <n v="22"/>
    <m/>
    <n v="69.115138888888893"/>
    <n v="3.8704477777777801E-3"/>
    <n v="69.115138888888893"/>
    <n v="3.8704477777777801E-3"/>
    <m/>
  </r>
  <r>
    <s v="6043.4"/>
    <x v="3"/>
    <x v="11"/>
    <x v="0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6043.5"/>
    <x v="3"/>
    <x v="11"/>
    <x v="0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6043.6"/>
    <x v="3"/>
    <x v="11"/>
    <x v="0"/>
    <s v="20A"/>
    <s v="160"/>
    <s v="Oscillatoria sp"/>
    <b v="1"/>
    <n v="10"/>
    <n v="44"/>
    <m/>
    <n v="138.23027777777801"/>
    <n v="0.37384378625000098"/>
    <n v="138.23027777777801"/>
    <n v="0.37384378625000098"/>
    <m/>
  </r>
  <r>
    <s v="6043.7"/>
    <x v="3"/>
    <x v="11"/>
    <x v="0"/>
    <s v="20A"/>
    <s v="160"/>
    <s v="Woronichinia naegeliana"/>
    <b v="1"/>
    <n v="10"/>
    <n v="640"/>
    <m/>
    <n v="2010.62222222222"/>
    <n v="0"/>
    <n v="2010.62222222222"/>
    <n v="0"/>
    <m/>
  </r>
  <r>
    <s v="6030.1"/>
    <x v="0"/>
    <x v="0"/>
    <x v="1"/>
    <s v="20A"/>
    <s v="160"/>
    <s v="Microcystis sp"/>
    <b v="1"/>
    <n v="10"/>
    <n v="16.2"/>
    <n v="50"/>
    <n v="3562.57125"/>
    <n v="0.255787526331964"/>
    <n v="3562.57125"/>
    <n v="0.255787526331964"/>
    <s v="Microcystis spp._x000a_"/>
  </r>
  <r>
    <s v="6030.2"/>
    <x v="0"/>
    <x v="0"/>
    <x v="1"/>
    <s v="20A"/>
    <s v="160"/>
    <s v="Microcystis wesenbergii"/>
    <b v="1"/>
    <n v="10"/>
    <n v="180"/>
    <m/>
    <n v="565.48749999999995"/>
    <n v="0.10762923587500001"/>
    <n v="565.48749999999995"/>
    <n v="0.10762923587500001"/>
    <s v="Microcystis spp._x000a_"/>
  </r>
  <r>
    <s v="6030.3"/>
    <x v="0"/>
    <x v="0"/>
    <x v="1"/>
    <s v="20A"/>
    <s v="160"/>
    <s v="Pseudanabaena sp."/>
    <b v="1"/>
    <n v="10"/>
    <n v="5.5714285714285703"/>
    <m/>
    <n v="122.522291666667"/>
    <n v="4.7783693750000104E-3"/>
    <n v="122.522291666667"/>
    <n v="4.7783693750000104E-3"/>
    <m/>
  </r>
  <r>
    <s v="6030.4"/>
    <x v="0"/>
    <x v="0"/>
    <x v="1"/>
    <s v="20A"/>
    <s v="160"/>
    <s v="Dolichospermum sp"/>
    <b v="1"/>
    <n v="10"/>
    <n v="12"/>
    <m/>
    <n v="37.699166666666699"/>
    <n v="7.1628416666666703E-3"/>
    <n v="37.699166666666699"/>
    <n v="7.1628416666666703E-3"/>
    <m/>
  </r>
  <r>
    <s v="6033.1"/>
    <x v="0"/>
    <x v="1"/>
    <x v="1"/>
    <s v="20A"/>
    <s v="Whole Plate"/>
    <s v="Dolichospermum lemmermannii"/>
    <b v="1"/>
    <n v="10"/>
    <n v="21"/>
    <m/>
    <n v="4.2"/>
    <n v="4.6200000000000001E-4"/>
    <n v="4.2"/>
    <n v="4.6200000000000001E-4"/>
    <m/>
  </r>
  <r>
    <s v="6033.2"/>
    <x v="0"/>
    <x v="1"/>
    <x v="1"/>
    <s v="20A"/>
    <s v="Whole Plate"/>
    <s v="Microcystis sp"/>
    <b v="1"/>
    <n v="10"/>
    <n v="24.55"/>
    <n v="13"/>
    <n v="81.015000000000001"/>
    <n v="5.8167612635913E-3"/>
    <n v="81.015000000000001"/>
    <n v="5.8167612635913E-3"/>
    <s v="Microcystis spp._x000a_"/>
  </r>
  <r>
    <s v="6033.3"/>
    <x v="0"/>
    <x v="1"/>
    <x v="1"/>
    <s v="20A"/>
    <s v="Whole Plate"/>
    <s v="Microcystis wesenbergii"/>
    <b v="1"/>
    <n v="10"/>
    <n v="101.5"/>
    <m/>
    <n v="40.6"/>
    <n v="7.7273979999999999E-3"/>
    <n v="40.6"/>
    <n v="7.7273979999999999E-3"/>
    <s v="Microcystis spp._x000a_"/>
  </r>
  <r>
    <s v="6033.4"/>
    <x v="0"/>
    <x v="1"/>
    <x v="1"/>
    <s v="20A"/>
    <s v="Whole Plate"/>
    <s v="Pseudanabaena sp."/>
    <b v="1"/>
    <n v="10"/>
    <n v="17.5555555555556"/>
    <m/>
    <n v="15.8"/>
    <n v="6.1620000000000002E-4"/>
    <n v="15.8"/>
    <n v="6.1620000000000002E-4"/>
    <m/>
  </r>
  <r>
    <s v="6033.5"/>
    <x v="0"/>
    <x v="1"/>
    <x v="1"/>
    <s v="20A"/>
    <s v="Whole Plate"/>
    <s v="Oscillatoria sp"/>
    <b v="1"/>
    <n v="10"/>
    <n v="32"/>
    <m/>
    <n v="3.2"/>
    <n v="8.6543999999999996E-3"/>
    <n v="3.2"/>
    <n v="8.6543999999999996E-3"/>
    <m/>
  </r>
  <r>
    <s v="6033.6"/>
    <x v="0"/>
    <x v="1"/>
    <x v="1"/>
    <s v="20A"/>
    <s v="Whole Plate"/>
    <s v="Dolichospermum planctonicum "/>
    <b v="1"/>
    <n v="10"/>
    <n v="5"/>
    <m/>
    <n v="0.5"/>
    <n v="1.85E-4"/>
    <n v="0.5"/>
    <n v="1.85E-4"/>
    <m/>
  </r>
  <r>
    <s v="6033.7"/>
    <x v="0"/>
    <x v="1"/>
    <x v="1"/>
    <s v="20A"/>
    <s v="Whole Plate"/>
    <s v="Coelosphaerium kuetzingianum"/>
    <b v="0"/>
    <n v="10"/>
    <n v="32"/>
    <m/>
    <n v="3.2"/>
    <n v="2.8447999999999999E-5"/>
    <n v="0"/>
    <n v="0"/>
    <m/>
  </r>
  <r>
    <s v="6038.1"/>
    <x v="1"/>
    <x v="2"/>
    <x v="1"/>
    <s v="20A"/>
    <s v="Whole Plate"/>
    <s v="Microcystis wesenbergii"/>
    <b v="1"/>
    <n v="10"/>
    <n v="32.5555555555556"/>
    <m/>
    <n v="29.3"/>
    <n v="5.5766690000000002E-3"/>
    <n v="29.3"/>
    <n v="5.5766690000000002E-3"/>
    <s v="Microcystis spp._x000a_"/>
  </r>
  <r>
    <s v="6035.1"/>
    <x v="1"/>
    <x v="3"/>
    <x v="1"/>
    <s v="20A"/>
    <s v="Whole Plate"/>
    <s v="Oscillatoria sp"/>
    <b v="1"/>
    <n v="10"/>
    <n v="130.46666666666701"/>
    <m/>
    <n v="195.7"/>
    <n v="0.52927064999999995"/>
    <n v="195.7"/>
    <n v="0.52927064999999995"/>
    <m/>
  </r>
  <r>
    <s v="6035.2"/>
    <x v="1"/>
    <x v="3"/>
    <x v="1"/>
    <s v="20A"/>
    <s v="Whole Plate"/>
    <s v="Oscillatoria sp"/>
    <b v="1"/>
    <n v="10"/>
    <n v="130.46666666666701"/>
    <m/>
    <n v="195.7"/>
    <n v="0.52927064999999995"/>
    <n v="195.7"/>
    <n v="0.52927064999999995"/>
    <m/>
  </r>
  <r>
    <s v="6035.3"/>
    <x v="1"/>
    <x v="3"/>
    <x v="1"/>
    <s v="20A"/>
    <s v="Whole Plate"/>
    <s v="Dolichospermum lemmermannii"/>
    <b v="1"/>
    <n v="10"/>
    <n v="19.3333333333333"/>
    <m/>
    <n v="5.8"/>
    <n v="6.38E-4"/>
    <n v="5.8"/>
    <n v="6.38E-4"/>
    <m/>
  </r>
  <r>
    <s v="6035.4"/>
    <x v="1"/>
    <x v="3"/>
    <x v="1"/>
    <s v="20A"/>
    <s v="Whole Plate"/>
    <s v="Microcystis wesenbergii"/>
    <b v="1"/>
    <n v="10"/>
    <n v="45.857142857142897"/>
    <m/>
    <n v="32.1"/>
    <n v="6.109593E-3"/>
    <n v="32.1"/>
    <n v="6.109593E-3"/>
    <s v="Microcystis spp._x000a_"/>
  </r>
  <r>
    <s v="6035.5"/>
    <x v="1"/>
    <x v="3"/>
    <x v="1"/>
    <s v="20A"/>
    <s v="Whole Plate"/>
    <s v="Aphanocapsa sp"/>
    <b v="0"/>
    <n v="10"/>
    <n v="560"/>
    <m/>
    <n v="56"/>
    <n v="1.26E-4"/>
    <n v="0"/>
    <n v="0"/>
    <m/>
  </r>
  <r>
    <s v="6035.6"/>
    <x v="1"/>
    <x v="3"/>
    <x v="1"/>
    <s v="20A"/>
    <s v="Whole Plate"/>
    <s v="Microcystis sp"/>
    <b v="1"/>
    <n v="10"/>
    <n v="18"/>
    <m/>
    <n v="1.8"/>
    <n v="1.29237428556E-4"/>
    <n v="1.8"/>
    <n v="1.29237428556E-4"/>
    <s v="Microcystis spp._x000a_"/>
  </r>
  <r>
    <s v="6031.1"/>
    <x v="1"/>
    <x v="4"/>
    <x v="1"/>
    <s v="20A"/>
    <s v="Whole Plate"/>
    <s v="Dolichospermum planctonicum "/>
    <b v="1"/>
    <n v="10"/>
    <n v="24.7"/>
    <m/>
    <n v="49.4"/>
    <n v="1.8277999999999999E-2"/>
    <n v="49.4"/>
    <n v="1.8277999999999999E-2"/>
    <m/>
  </r>
  <r>
    <s v="6031.2"/>
    <x v="1"/>
    <x v="4"/>
    <x v="1"/>
    <s v="20A"/>
    <s v="Whole Plate"/>
    <s v="Microcystis wesenbergii"/>
    <b v="1"/>
    <n v="10"/>
    <n v="32.818181818181799"/>
    <m/>
    <n v="36.1"/>
    <n v="6.8709130000000002E-3"/>
    <n v="36.1"/>
    <n v="6.8709130000000002E-3"/>
    <s v="Microcystis spp._x000a_"/>
  </r>
  <r>
    <s v="6031.3"/>
    <x v="1"/>
    <x v="4"/>
    <x v="1"/>
    <s v="20A"/>
    <s v="Whole Plate"/>
    <s v="Oscillatoria sp"/>
    <b v="1"/>
    <n v="10"/>
    <n v="252"/>
    <m/>
    <n v="25.2"/>
    <n v="6.8153400000000003E-2"/>
    <n v="25.2"/>
    <n v="6.8153400000000003E-2"/>
    <m/>
  </r>
  <r>
    <s v="6036.1"/>
    <x v="1"/>
    <x v="5"/>
    <x v="1"/>
    <s v="20A"/>
    <s v="Whole Plate"/>
    <s v="Dolichospermum planctonicum "/>
    <b v="1"/>
    <n v="10"/>
    <n v="7.5"/>
    <m/>
    <n v="1.5"/>
    <n v="5.5500000000000005E-4"/>
    <n v="1.5"/>
    <n v="5.5500000000000005E-4"/>
    <m/>
  </r>
  <r>
    <s v="6036.2"/>
    <x v="1"/>
    <x v="5"/>
    <x v="1"/>
    <s v="20A"/>
    <s v="Whole Plate"/>
    <s v="Microcystis wesenbergii"/>
    <b v="1"/>
    <n v="10"/>
    <n v="39"/>
    <m/>
    <n v="7.8"/>
    <n v="1.484574E-3"/>
    <n v="7.8"/>
    <n v="1.484574E-3"/>
    <s v="Microcystis spp._x000a_"/>
  </r>
  <r>
    <s v="6037.1"/>
    <x v="1"/>
    <x v="6"/>
    <x v="1"/>
    <s v="20A"/>
    <s v="Whole Plate"/>
    <s v="Microcystis wesenbergii"/>
    <b v="1"/>
    <n v="10"/>
    <n v="23.428571428571399"/>
    <m/>
    <n v="16.399999999999999"/>
    <n v="3.1214120000000001E-3"/>
    <n v="16.399999999999999"/>
    <n v="3.1214120000000001E-3"/>
    <s v="Microcystis spp._x000a_"/>
  </r>
  <r>
    <s v="6037.2"/>
    <x v="1"/>
    <x v="6"/>
    <x v="1"/>
    <s v="20A"/>
    <s v="Whole Plate"/>
    <s v="Dolichospermum planctonicum "/>
    <b v="1"/>
    <n v="10"/>
    <n v="12"/>
    <m/>
    <n v="1.2"/>
    <n v="4.44E-4"/>
    <n v="1.2"/>
    <n v="4.44E-4"/>
    <m/>
  </r>
  <r>
    <s v="6037.3"/>
    <x v="1"/>
    <x v="6"/>
    <x v="1"/>
    <s v="20A"/>
    <s v="Whole Plate"/>
    <s v="Pseudanabaena sp."/>
    <b v="1"/>
    <n v="10"/>
    <n v="22"/>
    <m/>
    <n v="2.2000000000000002"/>
    <n v="8.5799999999999998E-5"/>
    <n v="2.2000000000000002"/>
    <n v="8.5799999999999998E-5"/>
    <m/>
  </r>
  <r>
    <s v="6032.1"/>
    <x v="2"/>
    <x v="7"/>
    <x v="1"/>
    <s v="20A"/>
    <s v="Whole Plate"/>
    <s v="Dolichospermum planctonicum "/>
    <b v="1"/>
    <n v="10"/>
    <n v="25.55"/>
    <n v="5"/>
    <n v="63.875"/>
    <n v="2.3633749999999999E-2"/>
    <n v="63.875"/>
    <n v="2.3633749999999999E-2"/>
    <m/>
  </r>
  <r>
    <s v="6032.2"/>
    <x v="2"/>
    <x v="7"/>
    <x v="1"/>
    <s v="20A"/>
    <s v="Whole Plate"/>
    <s v="Pseudanabaena sp."/>
    <b v="1"/>
    <n v="10"/>
    <n v="14"/>
    <m/>
    <n v="1.4"/>
    <n v="5.4599999999999999E-5"/>
    <n v="1.4"/>
    <n v="5.4599999999999999E-5"/>
    <m/>
  </r>
  <r>
    <s v="6032.3"/>
    <x v="2"/>
    <x v="7"/>
    <x v="1"/>
    <s v="20A"/>
    <s v="Whole Plate"/>
    <s v="Microcystis wesenbergii"/>
    <b v="1"/>
    <n v="10"/>
    <n v="42.4"/>
    <m/>
    <n v="21.2"/>
    <n v="4.0349959999999999E-3"/>
    <n v="21.2"/>
    <n v="4.0349959999999999E-3"/>
    <s v="Microcystis spp._x000a_"/>
  </r>
  <r>
    <s v="6028.1"/>
    <x v="2"/>
    <x v="8"/>
    <x v="1"/>
    <s v="20A"/>
    <s v="Whole Plate"/>
    <s v="Dolichospermum planctonicum "/>
    <b v="1"/>
    <n v="10"/>
    <n v="20.7"/>
    <n v="43"/>
    <n v="130.41"/>
    <n v="4.8251700000000002E-2"/>
    <n v="130.41"/>
    <n v="4.8251700000000002E-2"/>
    <m/>
  </r>
  <r>
    <s v="6028.2"/>
    <x v="2"/>
    <x v="8"/>
    <x v="1"/>
    <s v="20A"/>
    <s v="Whole Plate"/>
    <s v="Microcystis wesenbergii"/>
    <b v="1"/>
    <n v="10"/>
    <n v="35.9"/>
    <n v="7"/>
    <n v="96.93"/>
    <n v="1.84486869E-2"/>
    <n v="96.93"/>
    <n v="1.84486869E-2"/>
    <s v="Microcystis spp._x000a_"/>
  </r>
  <r>
    <s v="6028.3"/>
    <x v="2"/>
    <x v="8"/>
    <x v="1"/>
    <s v="20A"/>
    <s v="Whole Plate"/>
    <s v="Pseudanabaena sp."/>
    <b v="1"/>
    <n v="10"/>
    <n v="6.1428571428571397"/>
    <m/>
    <n v="4.3"/>
    <n v="1.6770000000000001E-4"/>
    <n v="4.3"/>
    <n v="1.6770000000000001E-4"/>
    <m/>
  </r>
  <r>
    <s v="6029.1"/>
    <x v="2"/>
    <x v="9"/>
    <x v="1"/>
    <s v="20A"/>
    <s v="Whole Plate"/>
    <s v="Microcystis wesenbergii"/>
    <b v="1"/>
    <n v="10"/>
    <n v="18.95"/>
    <n v="9"/>
    <n v="54.954999999999998"/>
    <n v="1.0459585150000001E-2"/>
    <n v="54.954999999999998"/>
    <n v="1.0459585150000001E-2"/>
    <s v="Microcystis spp._x000a_"/>
  </r>
  <r>
    <s v="6029.2"/>
    <x v="2"/>
    <x v="9"/>
    <x v="1"/>
    <s v="20A"/>
    <s v="Whole Plate"/>
    <s v="Dolichospermum planctonicum "/>
    <b v="1"/>
    <n v="10"/>
    <n v="28.05"/>
    <n v="19"/>
    <n v="109.395"/>
    <n v="4.0476150000000002E-2"/>
    <n v="109.395"/>
    <n v="4.0476150000000002E-2"/>
    <m/>
  </r>
  <r>
    <s v="6029.3"/>
    <x v="2"/>
    <x v="9"/>
    <x v="1"/>
    <s v="20A"/>
    <s v="Whole Plate"/>
    <s v="Pseudanabaena sp."/>
    <b v="1"/>
    <n v="10"/>
    <n v="5.8"/>
    <m/>
    <n v="2.9"/>
    <n v="1.131E-4"/>
    <n v="2.9"/>
    <n v="1.131E-4"/>
    <m/>
  </r>
  <r>
    <s v="6027.1"/>
    <x v="2"/>
    <x v="10"/>
    <x v="1"/>
    <s v="20A"/>
    <s v="Whole Plate"/>
    <s v="Dolichospermum planctonicum "/>
    <b v="1"/>
    <n v="10"/>
    <n v="33.4"/>
    <n v="3"/>
    <n v="76.819999999999993"/>
    <n v="2.8423400000000001E-2"/>
    <n v="76.819999999999993"/>
    <n v="2.8423400000000001E-2"/>
    <m/>
  </r>
  <r>
    <s v="6027.2"/>
    <x v="2"/>
    <x v="10"/>
    <x v="1"/>
    <s v="20A"/>
    <s v="Whole Plate"/>
    <s v="Microcystis wesenbergii"/>
    <b v="1"/>
    <n v="10"/>
    <n v="36.470588235294102"/>
    <m/>
    <n v="62"/>
    <n v="1.180046E-2"/>
    <n v="62"/>
    <n v="1.180046E-2"/>
    <s v="Microcystis spp._x000a_"/>
  </r>
  <r>
    <s v="6027.3"/>
    <x v="2"/>
    <x v="10"/>
    <x v="1"/>
    <s v="20A"/>
    <s v="Whole Plate"/>
    <s v="Pseudanabaena sp."/>
    <b v="1"/>
    <n v="10"/>
    <n v="5.4"/>
    <m/>
    <n v="2.7"/>
    <n v="1.053E-4"/>
    <n v="2.7"/>
    <n v="1.053E-4"/>
    <m/>
  </r>
  <r>
    <s v="6034.1"/>
    <x v="3"/>
    <x v="11"/>
    <x v="1"/>
    <s v="20A"/>
    <s v="160"/>
    <s v="Dolichospermum circinale"/>
    <b v="1"/>
    <n v="10"/>
    <n v="12.55"/>
    <n v="3"/>
    <n v="906.82203819444396"/>
    <n v="0.52200303806625004"/>
    <n v="906.82203819444396"/>
    <n v="0.52200303806625004"/>
    <m/>
  </r>
  <r>
    <s v="6034.2"/>
    <x v="3"/>
    <x v="11"/>
    <x v="1"/>
    <s v="20A"/>
    <s v="160"/>
    <s v="Woronichinia naegeliana"/>
    <b v="1"/>
    <n v="10"/>
    <n v="240"/>
    <m/>
    <n v="753.98333333333301"/>
    <n v="0"/>
    <n v="753.98333333333301"/>
    <n v="0"/>
    <m/>
  </r>
  <r>
    <s v="6034.3"/>
    <x v="3"/>
    <x v="11"/>
    <x v="1"/>
    <s v="20A"/>
    <s v="160"/>
    <s v="Microcystis sp"/>
    <b v="1"/>
    <n v="10"/>
    <n v="14"/>
    <m/>
    <n v="43.982361111111103"/>
    <n v="3.1578706954563402E-3"/>
    <n v="43.982361111111103"/>
    <n v="3.1578706954563402E-3"/>
    <s v="Microcystis spp._x000a_"/>
  </r>
  <r>
    <s v="6019.1"/>
    <x v="0"/>
    <x v="0"/>
    <x v="2"/>
    <s v="20A"/>
    <s v="160"/>
    <s v="Microcystis sp"/>
    <b v="1"/>
    <n v="10"/>
    <n v="22.1"/>
    <n v="92"/>
    <n v="7776.0814444444404"/>
    <n v="0.55831153895668095"/>
    <n v="7776.0814444444404"/>
    <n v="0.55831153895668095"/>
    <s v="Microcystis spp._x000a_"/>
  </r>
  <r>
    <s v="6019.2"/>
    <x v="0"/>
    <x v="0"/>
    <x v="2"/>
    <s v="20A"/>
    <s v="160"/>
    <s v="Dolichospermum sp"/>
    <b v="1"/>
    <n v="10"/>
    <n v="17"/>
    <m/>
    <n v="160.221458333333"/>
    <n v="3.04420770833333E-2"/>
    <n v="160.221458333333"/>
    <n v="3.04420770833333E-2"/>
    <m/>
  </r>
  <r>
    <s v="6026.1"/>
    <x v="0"/>
    <x v="1"/>
    <x v="2"/>
    <s v="20A"/>
    <s v="Whole Plate"/>
    <s v="Oscillatoria sp"/>
    <b v="1"/>
    <n v="10"/>
    <n v="111.333333333333"/>
    <m/>
    <n v="33.4"/>
    <n v="9.0330300000000002E-2"/>
    <n v="33.4"/>
    <n v="9.0330300000000002E-2"/>
    <m/>
  </r>
  <r>
    <s v="6026.2"/>
    <x v="0"/>
    <x v="1"/>
    <x v="2"/>
    <s v="20A"/>
    <s v="Whole Plate"/>
    <s v="Microcystis sp"/>
    <b v="1"/>
    <n v="10"/>
    <n v="22.55"/>
    <n v="18"/>
    <n v="85.69"/>
    <n v="6.1524195849798E-3"/>
    <n v="85.69"/>
    <n v="6.1524195849798E-3"/>
    <s v="Microcystis spp._x000a_"/>
  </r>
  <r>
    <s v="6026.3"/>
    <x v="0"/>
    <x v="1"/>
    <x v="2"/>
    <s v="20A"/>
    <s v="Whole Plate"/>
    <s v="Dolichospermum lemmermannii"/>
    <b v="1"/>
    <n v="10"/>
    <n v="12.5"/>
    <m/>
    <n v="2.5"/>
    <n v="2.7500000000000002E-4"/>
    <n v="2.5"/>
    <n v="2.7500000000000002E-4"/>
    <m/>
  </r>
  <r>
    <s v="6026.4"/>
    <x v="0"/>
    <x v="1"/>
    <x v="2"/>
    <s v="20A"/>
    <s v="Whole Plate"/>
    <s v="Microcystis wesenbergii"/>
    <b v="1"/>
    <n v="10"/>
    <n v="59"/>
    <m/>
    <n v="11.8"/>
    <n v="2.245894E-3"/>
    <n v="11.8"/>
    <n v="2.245894E-3"/>
    <s v="Microcystis spp._x000a_"/>
  </r>
  <r>
    <s v="6026.5"/>
    <x v="0"/>
    <x v="1"/>
    <x v="2"/>
    <s v="20A"/>
    <s v="Whole Plate"/>
    <s v="Dolichospermum sp"/>
    <b v="1"/>
    <n v="10"/>
    <n v="11"/>
    <m/>
    <n v="2.2000000000000002"/>
    <n v="4.1800000000000002E-4"/>
    <n v="2.2000000000000002"/>
    <n v="4.1800000000000002E-4"/>
    <m/>
  </r>
  <r>
    <s v="6026.6"/>
    <x v="0"/>
    <x v="1"/>
    <x v="2"/>
    <s v="20A"/>
    <s v="Whole Plate"/>
    <s v="Pseudanabaena sp."/>
    <b v="1"/>
    <n v="10"/>
    <n v="14"/>
    <m/>
    <n v="2.8"/>
    <n v="1.092E-4"/>
    <n v="2.8"/>
    <n v="1.092E-4"/>
    <m/>
  </r>
  <r>
    <s v="6026.7"/>
    <x v="0"/>
    <x v="1"/>
    <x v="2"/>
    <s v="20A"/>
    <s v="Whole Plate"/>
    <s v="Dolichospermum planctonicum "/>
    <b v="1"/>
    <n v="10"/>
    <n v="12"/>
    <m/>
    <n v="1.2"/>
    <n v="4.44E-4"/>
    <n v="1.2"/>
    <n v="4.44E-4"/>
    <m/>
  </r>
  <r>
    <s v="6023.1"/>
    <x v="1"/>
    <x v="2"/>
    <x v="2"/>
    <s v="20A"/>
    <s v="Whole Plate"/>
    <s v="Microcystis wesenbergii"/>
    <b v="1"/>
    <n v="10"/>
    <n v="37.85"/>
    <n v="27"/>
    <n v="177.89500000000001"/>
    <n v="3.3858755349999999E-2"/>
    <n v="177.89500000000001"/>
    <n v="3.3858755349999999E-2"/>
    <s v="Microcystis spp._x000a_"/>
  </r>
  <r>
    <s v="6023.2"/>
    <x v="1"/>
    <x v="2"/>
    <x v="2"/>
    <s v="20A"/>
    <s v="Whole Plate"/>
    <s v="Dolichospermum planctonicum "/>
    <b v="1"/>
    <n v="10"/>
    <n v="10.5"/>
    <m/>
    <n v="2.1"/>
    <n v="7.7700000000000002E-4"/>
    <n v="2.1"/>
    <n v="7.7700000000000002E-4"/>
    <m/>
  </r>
  <r>
    <s v="6023.3"/>
    <x v="1"/>
    <x v="2"/>
    <x v="2"/>
    <s v="20A"/>
    <s v="Whole Plate"/>
    <s v="Limnococcus limneticus_x000a_"/>
    <b v="0"/>
    <n v="10"/>
    <n v="25.6666666666667"/>
    <m/>
    <n v="15.4"/>
    <n v="6.9300000000000004E-3"/>
    <n v="0"/>
    <n v="0"/>
    <m/>
  </r>
  <r>
    <s v="6020.1"/>
    <x v="1"/>
    <x v="3"/>
    <x v="2"/>
    <s v="20A"/>
    <s v="Whole Plate"/>
    <s v="Oscillatoria sp"/>
    <b v="1"/>
    <n v="10"/>
    <n v="193.78571428571399"/>
    <m/>
    <n v="271.3"/>
    <n v="0.73373085000000005"/>
    <n v="271.3"/>
    <n v="0.73373085000000005"/>
    <m/>
  </r>
  <r>
    <s v="6020.2"/>
    <x v="1"/>
    <x v="3"/>
    <x v="2"/>
    <s v="20A"/>
    <s v="Whole Plate"/>
    <s v="Microcystis wesenbergii"/>
    <b v="1"/>
    <n v="10"/>
    <n v="33.714285714285701"/>
    <m/>
    <n v="23.6"/>
    <n v="4.491788E-3"/>
    <n v="23.6"/>
    <n v="4.491788E-3"/>
    <s v="Microcystis spp._x000a_"/>
  </r>
  <r>
    <s v="6020.3"/>
    <x v="1"/>
    <x v="3"/>
    <x v="2"/>
    <s v="20A"/>
    <s v="Whole Plate"/>
    <s v="Anabaena torulosa"/>
    <b v="1"/>
    <n v="10"/>
    <n v="8"/>
    <m/>
    <n v="0.8"/>
    <n v="1.7679999999999999E-4"/>
    <n v="0.8"/>
    <n v="1.7679999999999999E-4"/>
    <m/>
  </r>
  <r>
    <s v="6020.4"/>
    <x v="1"/>
    <x v="3"/>
    <x v="2"/>
    <s v="20A"/>
    <s v="Whole Plate"/>
    <s v="Geitlerinema sp"/>
    <b v="0"/>
    <n v="10"/>
    <n v="12"/>
    <m/>
    <n v="1.2"/>
    <n v="2.6400000000000001E-5"/>
    <n v="0"/>
    <n v="0"/>
    <m/>
  </r>
  <r>
    <s v="6020.5"/>
    <x v="1"/>
    <x v="3"/>
    <x v="2"/>
    <s v="20A"/>
    <s v="Whole Plate"/>
    <s v="Microcystis sp"/>
    <b v="1"/>
    <n v="10"/>
    <n v="12"/>
    <m/>
    <n v="1.2"/>
    <n v="8.6158285704000006E-5"/>
    <n v="1.2"/>
    <n v="8.6158285704000006E-5"/>
    <s v="Microcystis spp._x000a_"/>
  </r>
  <r>
    <s v="6020.6"/>
    <x v="1"/>
    <x v="3"/>
    <x v="2"/>
    <s v="20A"/>
    <s v="Whole Plate"/>
    <s v="Picocyanobacteria"/>
    <b v="1"/>
    <n v="10"/>
    <n v="361"/>
    <m/>
    <n v="72.2"/>
    <n v="3.7543999999999998E-5"/>
    <n v="72.2"/>
    <n v="3.7543999999999998E-5"/>
    <m/>
  </r>
  <r>
    <s v="6018.1"/>
    <x v="1"/>
    <x v="4"/>
    <x v="2"/>
    <s v="20A"/>
    <s v="160"/>
    <s v="Microcystis wesenbergii"/>
    <b v="1"/>
    <n v="10"/>
    <n v="36.700000000000003"/>
    <n v="5"/>
    <n v="2882.4154513888898"/>
    <n v="0.54861013286284699"/>
    <n v="2882.4154513888898"/>
    <n v="0.54861013286284699"/>
    <s v="Microcystis spp._x000a_"/>
  </r>
  <r>
    <s v="6018.2"/>
    <x v="1"/>
    <x v="4"/>
    <x v="2"/>
    <s v="20A"/>
    <s v="160"/>
    <s v="Dolichospermum planctonicum "/>
    <b v="1"/>
    <n v="10"/>
    <n v="58"/>
    <m/>
    <n v="182.21263888888899"/>
    <n v="6.7418676388888904E-2"/>
    <n v="182.21263888888899"/>
    <n v="6.7418676388888904E-2"/>
    <m/>
  </r>
  <r>
    <s v="6018.3"/>
    <x v="1"/>
    <x v="4"/>
    <x v="2"/>
    <s v="20A"/>
    <s v="160"/>
    <s v="Microcystis sp"/>
    <b v="1"/>
    <n v="10"/>
    <n v="11"/>
    <m/>
    <n v="69.115138888888893"/>
    <n v="4.9623682357171099E-3"/>
    <n v="69.115138888888893"/>
    <n v="4.9623682357171099E-3"/>
    <s v="Microcystis spp._x000a_"/>
  </r>
  <r>
    <s v="6018.4"/>
    <x v="1"/>
    <x v="4"/>
    <x v="2"/>
    <s v="20A"/>
    <s v="160"/>
    <s v="Pseudanabaena sp."/>
    <b v="1"/>
    <n v="10"/>
    <n v="4"/>
    <m/>
    <n v="25.1327777777778"/>
    <n v="9.8017833333333398E-4"/>
    <n v="25.1327777777778"/>
    <n v="9.8017833333333398E-4"/>
    <m/>
  </r>
  <r>
    <s v="6025.1"/>
    <x v="1"/>
    <x v="5"/>
    <x v="2"/>
    <s v="20A"/>
    <s v="Whole Plate"/>
    <s v="Microcystis wesenbergii"/>
    <b v="1"/>
    <n v="10"/>
    <n v="62.55"/>
    <n v="3"/>
    <n v="143.86500000000001"/>
    <n v="2.7381825450000001E-2"/>
    <n v="143.86500000000001"/>
    <n v="2.7381825450000001E-2"/>
    <s v="Microcystis spp._x000a_"/>
  </r>
  <r>
    <s v="6025.2"/>
    <x v="1"/>
    <x v="5"/>
    <x v="2"/>
    <s v="20A"/>
    <s v="Whole Plate"/>
    <s v="Limnococcus limneticus_x000a_"/>
    <b v="0"/>
    <n v="10"/>
    <n v="25.3333333333333"/>
    <m/>
    <n v="7.6"/>
    <n v="3.4199999999999999E-3"/>
    <n v="0"/>
    <n v="0"/>
    <m/>
  </r>
  <r>
    <s v="6025.3"/>
    <x v="1"/>
    <x v="5"/>
    <x v="2"/>
    <s v="20A"/>
    <s v="Whole Plate"/>
    <s v="Dolichospermum planctonicum "/>
    <b v="1"/>
    <n v="10"/>
    <n v="15"/>
    <m/>
    <n v="1.5"/>
    <n v="5.5500000000000005E-4"/>
    <n v="1.5"/>
    <n v="5.5500000000000005E-4"/>
    <m/>
  </r>
  <r>
    <s v="6022.1"/>
    <x v="1"/>
    <x v="6"/>
    <x v="2"/>
    <s v="20A"/>
    <s v="Whole Plate"/>
    <s v="Microcystis wesenbergii"/>
    <b v="1"/>
    <n v="10"/>
    <n v="51.15"/>
    <n v="9"/>
    <n v="148.33500000000001"/>
    <n v="2.823260055E-2"/>
    <n v="148.33500000000001"/>
    <n v="2.823260055E-2"/>
    <s v="Microcystis spp._x000a_"/>
  </r>
  <r>
    <s v="6022.2"/>
    <x v="1"/>
    <x v="6"/>
    <x v="2"/>
    <s v="20A"/>
    <s v="Whole Plate"/>
    <s v="Coelosphaerium cf natans"/>
    <b v="0"/>
    <n v="10"/>
    <n v="43"/>
    <m/>
    <n v="8.6"/>
    <n v="1.978E-5"/>
    <n v="0"/>
    <n v="0"/>
    <m/>
  </r>
  <r>
    <s v="6022.3"/>
    <x v="1"/>
    <x v="6"/>
    <x v="2"/>
    <s v="20A"/>
    <s v="Whole Plate"/>
    <s v="Pseudanabaena sp."/>
    <b v="1"/>
    <n v="10"/>
    <n v="10"/>
    <m/>
    <n v="1"/>
    <n v="3.8999999999999999E-5"/>
    <n v="1"/>
    <n v="3.8999999999999999E-5"/>
    <m/>
  </r>
  <r>
    <s v="6022.4"/>
    <x v="1"/>
    <x v="6"/>
    <x v="2"/>
    <s v="20A"/>
    <s v="Whole Plate"/>
    <s v="Aphanocapsa sp"/>
    <b v="0"/>
    <n v="10"/>
    <n v="42"/>
    <m/>
    <n v="4.2"/>
    <n v="9.4499999999999993E-6"/>
    <n v="0"/>
    <n v="0"/>
    <m/>
  </r>
  <r>
    <s v="6022.5"/>
    <x v="1"/>
    <x v="6"/>
    <x v="2"/>
    <s v="20A"/>
    <s v="Whole Plate"/>
    <s v="Dolichospermum sp"/>
    <b v="1"/>
    <n v="10"/>
    <n v="29"/>
    <m/>
    <n v="5.8"/>
    <n v="1.1019999999999999E-3"/>
    <n v="5.8"/>
    <n v="1.1019999999999999E-3"/>
    <m/>
  </r>
  <r>
    <s v="6022.6"/>
    <x v="1"/>
    <x v="6"/>
    <x v="2"/>
    <s v="20A"/>
    <s v="Whole Plate"/>
    <s v="Dolichospermum planctonicum "/>
    <b v="1"/>
    <n v="10"/>
    <n v="14"/>
    <m/>
    <n v="1.4"/>
    <n v="5.1800000000000001E-4"/>
    <n v="1.4"/>
    <n v="5.1800000000000001E-4"/>
    <m/>
  </r>
  <r>
    <s v="6021.1"/>
    <x v="2"/>
    <x v="7"/>
    <x v="2"/>
    <s v="20A"/>
    <s v="160"/>
    <s v="Dolichospermum planctonicum "/>
    <b v="1"/>
    <n v="10"/>
    <n v="22"/>
    <m/>
    <n v="207.34541666666701"/>
    <n v="7.6717804166666806E-2"/>
    <n v="207.34541666666701"/>
    <n v="7.6717804166666806E-2"/>
    <m/>
  </r>
  <r>
    <s v="6021.2"/>
    <x v="2"/>
    <x v="7"/>
    <x v="2"/>
    <s v="20A"/>
    <s v="160"/>
    <s v="Microcystis wesenbergii"/>
    <b v="1"/>
    <n v="10"/>
    <n v="36.4"/>
    <n v="2"/>
    <n v="2515.79105555555"/>
    <n v="0.47883051160389001"/>
    <n v="2515.79105555556"/>
    <n v="0.47883051160389001"/>
    <s v="Microcystis spp._x000a_"/>
  </r>
  <r>
    <s v="6021.3"/>
    <x v="2"/>
    <x v="7"/>
    <x v="2"/>
    <s v="20A"/>
    <s v="160"/>
    <s v="Pseudanabaena sp."/>
    <b v="1"/>
    <n v="10"/>
    <n v="3.25"/>
    <m/>
    <n v="40.840763888888901"/>
    <n v="1.59278979166667E-3"/>
    <n v="40.840763888888901"/>
    <n v="1.59278979166667E-3"/>
    <m/>
  </r>
  <r>
    <s v="6016.1"/>
    <x v="2"/>
    <x v="8"/>
    <x v="2"/>
    <s v="20A"/>
    <s v="160"/>
    <s v="Microcystis wesenbergii"/>
    <b v="1"/>
    <n v="10"/>
    <n v="43.5"/>
    <n v="5"/>
    <n v="3416.4869791666702"/>
    <n v="0.65025996674479203"/>
    <n v="3416.4869791666702"/>
    <n v="0.65025996674479203"/>
    <s v="Microcystis spp._x000a_"/>
  </r>
  <r>
    <s v="6016.2"/>
    <x v="2"/>
    <x v="8"/>
    <x v="2"/>
    <s v="20A"/>
    <s v="160"/>
    <s v="Dolichospermum planctonicum "/>
    <b v="1"/>
    <n v="10"/>
    <n v="16.5"/>
    <m/>
    <n v="207.34541666666701"/>
    <n v="7.6717804166666806E-2"/>
    <n v="207.34541666666701"/>
    <n v="7.6717804166666806E-2"/>
    <m/>
  </r>
  <r>
    <s v="6016.3"/>
    <x v="2"/>
    <x v="8"/>
    <x v="2"/>
    <s v="20A"/>
    <s v="160"/>
    <s v="Pseudanabaena sp."/>
    <b v="1"/>
    <n v="10"/>
    <n v="3.9090909090909101"/>
    <m/>
    <n v="135.08868055555601"/>
    <n v="5.2684585416666804E-3"/>
    <n v="135.08868055555601"/>
    <n v="5.2684585416666804E-3"/>
    <m/>
  </r>
  <r>
    <s v="6016.4"/>
    <x v="2"/>
    <x v="8"/>
    <x v="2"/>
    <s v="20A"/>
    <s v="160"/>
    <s v="Microcystis sp"/>
    <b v="1"/>
    <n v="10"/>
    <n v="39"/>
    <m/>
    <n v="245.04458333333301"/>
    <n v="1.7593851017542499E-2"/>
    <n v="245.04458333333301"/>
    <n v="1.7593851017542499E-2"/>
    <s v="Microcystis spp._x000a_"/>
  </r>
  <r>
    <s v="6017.1"/>
    <x v="2"/>
    <x v="9"/>
    <x v="2"/>
    <s v="20A"/>
    <s v="160"/>
    <s v="Microcystis wesenbergii"/>
    <b v="1"/>
    <n v="10"/>
    <n v="35.200000000000003"/>
    <n v="25"/>
    <n v="4976.29"/>
    <n v="0.94713727569999995"/>
    <n v="4976.29"/>
    <n v="0.94713727569999995"/>
    <s v="Microcystis spp._x000a_"/>
  </r>
  <r>
    <s v="6017.2"/>
    <x v="2"/>
    <x v="9"/>
    <x v="2"/>
    <s v="20A"/>
    <s v="160"/>
    <s v="Dolichospermum planctonicum "/>
    <b v="1"/>
    <n v="10"/>
    <n v="66"/>
    <m/>
    <n v="414.69083333333299"/>
    <n v="0.153435608333333"/>
    <n v="414.69083333333299"/>
    <n v="0.153435608333333"/>
    <m/>
  </r>
  <r>
    <s v="6017.3"/>
    <x v="2"/>
    <x v="9"/>
    <x v="2"/>
    <s v="20A"/>
    <s v="160"/>
    <s v="Pseudanabaena sp."/>
    <b v="1"/>
    <n v="10"/>
    <n v="3"/>
    <m/>
    <n v="56.548749999999998"/>
    <n v="2.2054012499999999E-3"/>
    <n v="56.548749999999998"/>
    <n v="2.2054012499999999E-3"/>
    <m/>
  </r>
  <r>
    <s v="6015.1"/>
    <x v="2"/>
    <x v="10"/>
    <x v="2"/>
    <s v="20A"/>
    <s v="160"/>
    <s v="Microcystis wesenbergii"/>
    <b v="1"/>
    <n v="10"/>
    <n v="42.85"/>
    <n v="14"/>
    <n v="4576.99299305556"/>
    <n v="0.87113907636826504"/>
    <n v="4576.99299305556"/>
    <n v="0.87113907636826504"/>
    <s v="Microcystis spp._x000a_"/>
  </r>
  <r>
    <s v="6015.2"/>
    <x v="2"/>
    <x v="10"/>
    <x v="2"/>
    <s v="20A"/>
    <s v="160"/>
    <s v="Dolichospermum planctonicum "/>
    <b v="1"/>
    <n v="10"/>
    <n v="28"/>
    <m/>
    <n v="263.89416666666699"/>
    <n v="9.7640841666666797E-2"/>
    <n v="263.89416666666699"/>
    <n v="9.7640841666666797E-2"/>
    <m/>
  </r>
  <r>
    <s v="6015.3"/>
    <x v="2"/>
    <x v="10"/>
    <x v="2"/>
    <s v="20A"/>
    <s v="160"/>
    <s v="Microcystis sp"/>
    <b v="1"/>
    <n v="10"/>
    <n v="16.3333333333333"/>
    <m/>
    <n v="153.938263888889"/>
    <n v="1.10525474340972E-2"/>
    <n v="153.938263888889"/>
    <n v="1.10525474340972E-2"/>
    <s v="Microcystis spp._x000a_"/>
  </r>
  <r>
    <s v="6015.4"/>
    <x v="2"/>
    <x v="10"/>
    <x v="2"/>
    <s v="20A"/>
    <s v="160"/>
    <s v="Pseudanabaena sp."/>
    <b v="1"/>
    <n v="10"/>
    <n v="3.2"/>
    <m/>
    <n v="50.265555555555601"/>
    <n v="1.9603566666666701E-3"/>
    <n v="50.265555555555601"/>
    <n v="1.9603566666666701E-3"/>
    <m/>
  </r>
  <r>
    <s v="6024.1"/>
    <x v="3"/>
    <x v="11"/>
    <x v="2"/>
    <s v="20A"/>
    <s v="160"/>
    <s v="Dolichospermum circinale"/>
    <b v="1"/>
    <n v="10"/>
    <n v="12.866666666666699"/>
    <m/>
    <n v="606.32826388888896"/>
    <n v="0.34902680182500001"/>
    <n v="606.32826388888896"/>
    <n v="0.34902680182500001"/>
    <m/>
  </r>
  <r>
    <s v="6024.2"/>
    <x v="3"/>
    <x v="11"/>
    <x v="2"/>
    <s v="20A"/>
    <s v="160"/>
    <s v="Woronichinia naegeliana"/>
    <b v="1"/>
    <n v="10"/>
    <n v="208"/>
    <m/>
    <n v="653.45222222222196"/>
    <n v="0"/>
    <n v="653.45222222222196"/>
    <n v="0"/>
    <m/>
  </r>
  <r>
    <s v="6024.3"/>
    <x v="3"/>
    <x v="11"/>
    <x v="2"/>
    <s v="20A"/>
    <s v="160"/>
    <s v="Dolichospermum planctonicum "/>
    <b v="1"/>
    <n v="10"/>
    <n v="8"/>
    <m/>
    <n v="25.1327777777778"/>
    <n v="9.2991277777777891E-3"/>
    <n v="25.1327777777778"/>
    <n v="9.2991277777777891E-3"/>
    <m/>
  </r>
  <r>
    <s v="6024.4"/>
    <x v="3"/>
    <x v="11"/>
    <x v="2"/>
    <s v="20A"/>
    <s v="160"/>
    <s v="Dolichospermum sp"/>
    <b v="1"/>
    <n v="10"/>
    <n v="15"/>
    <m/>
    <n v="47.123958333333299"/>
    <n v="8.9535520833333299E-3"/>
    <n v="47.123958333333299"/>
    <n v="8.9535520833333299E-3"/>
    <m/>
  </r>
  <r>
    <s v="6024.5"/>
    <x v="3"/>
    <x v="11"/>
    <x v="2"/>
    <s v="20A"/>
    <s v="160"/>
    <s v="Dolichospermum spiroides"/>
    <b v="1"/>
    <n v="10"/>
    <n v="18"/>
    <m/>
    <n v="56.548749999999998"/>
    <n v="1.4702675E-2"/>
    <n v="56.548749999999998"/>
    <n v="1.4702675E-2"/>
    <m/>
  </r>
  <r>
    <s v="6024.6"/>
    <x v="3"/>
    <x v="11"/>
    <x v="2"/>
    <s v="20A"/>
    <s v="160"/>
    <s v="Microcystis sp"/>
    <b v="1"/>
    <n v="10"/>
    <n v="24"/>
    <m/>
    <n v="150.79666666666699"/>
    <n v="1.0826985241564601E-2"/>
    <n v="150.79666666666699"/>
    <n v="1.0826985241564601E-2"/>
    <s v="Microcystis spp._x000a_"/>
  </r>
  <r>
    <s v="6024.7"/>
    <x v="3"/>
    <x v="11"/>
    <x v="2"/>
    <s v="20A"/>
    <s v="160"/>
    <s v="Dolichospermum lemmermannii"/>
    <b v="1"/>
    <n v="10"/>
    <n v="28"/>
    <m/>
    <n v="87.964722222222207"/>
    <n v="9.67611944444444E-3"/>
    <n v="87.964722222222207"/>
    <n v="9.67611944444444E-3"/>
    <m/>
  </r>
  <r>
    <s v="6007.1"/>
    <x v="0"/>
    <x v="0"/>
    <x v="3"/>
    <s v="20A"/>
    <s v="Whole Plate"/>
    <s v="Microcystis sp"/>
    <b v="1"/>
    <n v="10"/>
    <n v="25"/>
    <n v="83"/>
    <n v="257.5"/>
    <n v="1.8488132140649999E-2"/>
    <n v="257.5"/>
    <n v="1.8488132140649999E-2"/>
    <s v="Microcystis spp._x000a_"/>
  </r>
  <r>
    <s v="6007.2"/>
    <x v="0"/>
    <x v="0"/>
    <x v="3"/>
    <s v="20A"/>
    <s v="Whole Plate"/>
    <s v="Microcystis wesenbergii"/>
    <b v="1"/>
    <n v="10"/>
    <n v="74.5"/>
    <m/>
    <n v="14.9"/>
    <n v="2.8359169999999999E-3"/>
    <n v="14.9"/>
    <n v="2.8359169999999999E-3"/>
    <s v="Microcystis spp._x000a_"/>
  </r>
  <r>
    <s v="6007.3"/>
    <x v="0"/>
    <x v="0"/>
    <x v="3"/>
    <s v="20A"/>
    <s v="Whole Plate"/>
    <s v="Aphanocapsa sp"/>
    <b v="0"/>
    <n v="10"/>
    <n v="40.3333333333333"/>
    <m/>
    <n v="36.299999999999997"/>
    <n v="8.1675000000000007E-5"/>
    <n v="0"/>
    <n v="0"/>
    <m/>
  </r>
  <r>
    <s v="6007.4"/>
    <x v="0"/>
    <x v="0"/>
    <x v="3"/>
    <s v="20A"/>
    <s v="Whole Plate"/>
    <s v="Pseudanabaena sp."/>
    <b v="1"/>
    <n v="10"/>
    <n v="7.5"/>
    <m/>
    <n v="1.5"/>
    <n v="5.8499999999999999E-5"/>
    <n v="1.5"/>
    <n v="5.8499999999999999E-5"/>
    <m/>
  </r>
  <r>
    <s v="6007.5"/>
    <x v="0"/>
    <x v="0"/>
    <x v="3"/>
    <s v="20A"/>
    <s v="Whole Plate"/>
    <s v="Dolichospermum sp"/>
    <b v="1"/>
    <n v="10"/>
    <n v="12"/>
    <m/>
    <n v="1.2"/>
    <n v="2.2800000000000001E-4"/>
    <n v="1.2"/>
    <n v="2.2800000000000001E-4"/>
    <m/>
  </r>
  <r>
    <s v="6006.1"/>
    <x v="0"/>
    <x v="1"/>
    <x v="3"/>
    <s v="20A"/>
    <s v="Whole Plate"/>
    <s v="Microcystis sp"/>
    <b v="1"/>
    <n v="10"/>
    <n v="17.25"/>
    <n v="94"/>
    <n v="196.65"/>
    <n v="1.4119189069743E-2"/>
    <n v="196.65"/>
    <n v="1.4119189069743E-2"/>
    <s v="Microcystis spp._x000a_"/>
  </r>
  <r>
    <s v="6006.2"/>
    <x v="0"/>
    <x v="1"/>
    <x v="3"/>
    <s v="20A"/>
    <s v="Whole Plate"/>
    <s v="Dolichospermum sp"/>
    <b v="1"/>
    <n v="10"/>
    <n v="12.363636363636401"/>
    <m/>
    <n v="13.6"/>
    <n v="2.5839999999999999E-3"/>
    <n v="13.6"/>
    <n v="2.5839999999999999E-3"/>
    <m/>
  </r>
  <r>
    <s v="6006.3"/>
    <x v="0"/>
    <x v="1"/>
    <x v="3"/>
    <s v="20A"/>
    <s v="Whole Plate"/>
    <s v="Oscillatoria sp"/>
    <b v="1"/>
    <n v="10"/>
    <n v="37.200000000000003"/>
    <m/>
    <n v="18.600000000000001"/>
    <n v="5.03037E-2"/>
    <n v="18.600000000000001"/>
    <n v="5.03037E-2"/>
    <m/>
  </r>
  <r>
    <s v="6006.4"/>
    <x v="0"/>
    <x v="1"/>
    <x v="3"/>
    <s v="20A"/>
    <s v="Whole Plate"/>
    <s v="Pseudanabaena sp."/>
    <b v="1"/>
    <n v="10"/>
    <n v="8.6666666666666696"/>
    <m/>
    <n v="2.6"/>
    <n v="1.014E-4"/>
    <n v="2.6"/>
    <n v="1.014E-4"/>
    <m/>
  </r>
  <r>
    <s v="6006.5"/>
    <x v="0"/>
    <x v="1"/>
    <x v="3"/>
    <s v="20A"/>
    <s v="Whole Plate"/>
    <s v="Microcystis wesenbergii"/>
    <b v="1"/>
    <n v="10"/>
    <n v="38.5"/>
    <m/>
    <n v="7.7"/>
    <n v="1.4655409999999999E-3"/>
    <n v="7.7"/>
    <n v="1.4655409999999999E-3"/>
    <s v="Microcystis spp._x000a_"/>
  </r>
  <r>
    <s v="6006.6"/>
    <x v="0"/>
    <x v="1"/>
    <x v="3"/>
    <s v="20A"/>
    <s v="Whole Plate"/>
    <s v="Aphanocapsa sp"/>
    <b v="0"/>
    <n v="10"/>
    <n v="68"/>
    <m/>
    <n v="6.8"/>
    <n v="1.5299999999999999E-5"/>
    <n v="0"/>
    <n v="0"/>
    <m/>
  </r>
  <r>
    <s v="6006.7"/>
    <x v="0"/>
    <x v="1"/>
    <x v="3"/>
    <s v="20A"/>
    <s v="Whole Plate"/>
    <s v="Dolichospermum spiroides"/>
    <b v="1"/>
    <n v="10"/>
    <n v="15"/>
    <m/>
    <n v="1.5"/>
    <n v="3.8999999999999999E-4"/>
    <n v="1.5"/>
    <n v="3.8999999999999999E-4"/>
    <m/>
  </r>
  <r>
    <s v="6013.1"/>
    <x v="1"/>
    <x v="2"/>
    <x v="3"/>
    <s v="20A"/>
    <s v="Whole Plate"/>
    <s v="Dolichospermum planctonicum "/>
    <b v="1"/>
    <n v="10"/>
    <n v="12"/>
    <m/>
    <n v="3.6"/>
    <n v="1.3320000000000001E-3"/>
    <n v="3.6"/>
    <n v="1.3320000000000001E-3"/>
    <m/>
  </r>
  <r>
    <s v="6013.2"/>
    <x v="1"/>
    <x v="2"/>
    <x v="3"/>
    <s v="20A"/>
    <s v="Whole Plate"/>
    <s v="Microcystis wesenbergii"/>
    <b v="1"/>
    <n v="10"/>
    <n v="40.4444444444444"/>
    <m/>
    <n v="72.8"/>
    <n v="1.3856024E-2"/>
    <n v="72.8"/>
    <n v="1.3856024E-2"/>
    <s v="Microcystis spp._x000a_"/>
  </r>
  <r>
    <s v="6013.3"/>
    <x v="1"/>
    <x v="2"/>
    <x v="3"/>
    <s v="20A"/>
    <s v="Whole Plate"/>
    <s v="Pseudanabaena sp."/>
    <b v="1"/>
    <n v="10"/>
    <n v="3.5"/>
    <m/>
    <n v="0.7"/>
    <n v="2.73E-5"/>
    <n v="0.7"/>
    <n v="2.73E-5"/>
    <m/>
  </r>
  <r>
    <s v="6013.4"/>
    <x v="1"/>
    <x v="2"/>
    <x v="3"/>
    <s v="20A"/>
    <s v="Whole Plate"/>
    <s v="Limnococcus limneticus_x000a_"/>
    <b v="0"/>
    <n v="10"/>
    <n v="18"/>
    <m/>
    <n v="1.8"/>
    <n v="8.0999999999999996E-4"/>
    <n v="0"/>
    <n v="0"/>
    <m/>
  </r>
  <r>
    <s v="6008.1"/>
    <x v="1"/>
    <x v="3"/>
    <x v="3"/>
    <s v="20A"/>
    <s v="Whole Plate"/>
    <s v="Microcystis wesenbergii"/>
    <b v="1"/>
    <n v="10"/>
    <n v="34.549999999999997"/>
    <n v="3"/>
    <n v="79.465000000000003"/>
    <n v="1.512457345E-2"/>
    <n v="79.465000000000003"/>
    <n v="1.512457345E-2"/>
    <s v="Microcystis spp._x000a_"/>
  </r>
  <r>
    <s v="6008.2"/>
    <x v="1"/>
    <x v="3"/>
    <x v="3"/>
    <s v="20A"/>
    <s v="Whole Plate"/>
    <s v="Oscillatoria sp"/>
    <b v="1"/>
    <n v="10"/>
    <n v="236.15"/>
    <n v="4"/>
    <n v="566.76"/>
    <n v="1.5328024200000001"/>
    <n v="566.76"/>
    <n v="1.5328024200000001"/>
    <m/>
  </r>
  <r>
    <s v="6008.3"/>
    <x v="1"/>
    <x v="3"/>
    <x v="3"/>
    <s v="20A"/>
    <s v="Whole Plate"/>
    <s v="Dolichospermum lemmermannii"/>
    <b v="1"/>
    <n v="10"/>
    <n v="13.4285714285714"/>
    <m/>
    <n v="9.4"/>
    <n v="1.034E-3"/>
    <n v="9.4"/>
    <n v="1.034E-3"/>
    <m/>
  </r>
  <r>
    <s v="6008.4"/>
    <x v="1"/>
    <x v="3"/>
    <x v="3"/>
    <s v="20A"/>
    <s v="Whole Plate"/>
    <s v="Microcystis sp"/>
    <b v="1"/>
    <n v="10"/>
    <n v="22.3333333333333"/>
    <m/>
    <n v="6.7"/>
    <n v="4.8105042851400001E-4"/>
    <n v="6.7"/>
    <n v="4.8105042851400001E-4"/>
    <s v="Microcystis spp._x000a_"/>
  </r>
  <r>
    <s v="6008.5"/>
    <x v="1"/>
    <x v="3"/>
    <x v="3"/>
    <s v="20A"/>
    <s v="Whole Plate"/>
    <s v="Geitlerinema sp"/>
    <b v="0"/>
    <n v="10"/>
    <n v="34"/>
    <m/>
    <n v="3.4"/>
    <n v="7.4800000000000002E-5"/>
    <n v="0"/>
    <n v="0"/>
    <m/>
  </r>
  <r>
    <s v="6008.6"/>
    <x v="1"/>
    <x v="3"/>
    <x v="3"/>
    <s v="20A"/>
    <s v="Whole Plate"/>
    <s v="Aphanocapsa sp"/>
    <b v="0"/>
    <n v="10"/>
    <n v="28"/>
    <m/>
    <n v="2.8"/>
    <n v="6.2999999999999998E-6"/>
    <n v="0"/>
    <n v="0"/>
    <m/>
  </r>
  <r>
    <s v="6008.7"/>
    <x v="1"/>
    <x v="3"/>
    <x v="3"/>
    <s v="20A"/>
    <s v="Whole Plate"/>
    <s v="Dolichospermum circinale"/>
    <b v="1"/>
    <n v="10"/>
    <n v="15"/>
    <m/>
    <n v="3"/>
    <n v="1.7269200000000001E-3"/>
    <n v="3"/>
    <n v="1.7269200000000001E-3"/>
    <m/>
  </r>
  <r>
    <s v="6008.8"/>
    <x v="1"/>
    <x v="3"/>
    <x v="3"/>
    <s v="20A"/>
    <s v="Whole Plate"/>
    <s v="Pseudanabaena sp."/>
    <b v="1"/>
    <n v="10"/>
    <n v="16"/>
    <m/>
    <n v="1.6"/>
    <n v="6.2399999999999999E-5"/>
    <n v="1.6"/>
    <n v="6.2399999999999999E-5"/>
    <m/>
  </r>
  <r>
    <s v="6004.1"/>
    <x v="1"/>
    <x v="4"/>
    <x v="3"/>
    <s v="20A"/>
    <s v="160"/>
    <s v="Microcystis wesenbergii"/>
    <b v="1"/>
    <n v="10"/>
    <n v="44.9"/>
    <n v="5"/>
    <n v="3526.4428819444402"/>
    <n v="0.67118787372048505"/>
    <n v="3526.4428819444402"/>
    <n v="0.67118787372048505"/>
    <s v="Microcystis spp._x000a_"/>
  </r>
  <r>
    <s v="6004.2"/>
    <x v="1"/>
    <x v="4"/>
    <x v="3"/>
    <s v="20A"/>
    <s v="160"/>
    <s v="Microcystis sp"/>
    <b v="1"/>
    <n v="10"/>
    <n v="32"/>
    <m/>
    <n v="301.59333333333302"/>
    <n v="2.1653970483129201E-2"/>
    <n v="301.59333333333302"/>
    <n v="2.1653970483129201E-2"/>
    <s v="Microcystis spp._x000a_"/>
  </r>
  <r>
    <s v="6004.3"/>
    <x v="1"/>
    <x v="4"/>
    <x v="3"/>
    <s v="20A"/>
    <s v="160"/>
    <s v="Dolichospermum planctonicum "/>
    <b v="1"/>
    <n v="10"/>
    <n v="10"/>
    <m/>
    <n v="31.415972222222202"/>
    <n v="1.16239097222222E-2"/>
    <n v="31.415972222222202"/>
    <n v="1.16239097222222E-2"/>
    <m/>
  </r>
  <r>
    <s v="6004.4"/>
    <x v="1"/>
    <x v="4"/>
    <x v="3"/>
    <s v="20A"/>
    <s v="160"/>
    <s v="Pseudanabaena sp."/>
    <b v="1"/>
    <n v="10"/>
    <n v="2.5"/>
    <m/>
    <n v="15.707986111111101"/>
    <n v="6.1261145833333298E-4"/>
    <n v="15.707986111111101"/>
    <n v="6.1261145833333298E-4"/>
    <m/>
  </r>
  <r>
    <s v="6012.1"/>
    <x v="1"/>
    <x v="5"/>
    <x v="3"/>
    <s v="20A"/>
    <s v="Whole Plate"/>
    <s v="Microcystis wesenbergii"/>
    <b v="1"/>
    <n v="10"/>
    <n v="49.4"/>
    <m/>
    <n v="98.8"/>
    <n v="1.8804603999999999E-2"/>
    <n v="98.8"/>
    <n v="1.8804603999999999E-2"/>
    <s v="Microcystis spp._x000a_"/>
  </r>
  <r>
    <s v="6012.2"/>
    <x v="1"/>
    <x v="5"/>
    <x v="3"/>
    <s v="20A"/>
    <s v="Whole Plate"/>
    <s v="Oscillatoria sp"/>
    <b v="1"/>
    <n v="10"/>
    <n v="258"/>
    <m/>
    <n v="51.6"/>
    <n v="0.13955219999999999"/>
    <n v="51.6"/>
    <n v="0.13955219999999999"/>
    <m/>
  </r>
  <r>
    <s v="6012.3"/>
    <x v="1"/>
    <x v="5"/>
    <x v="3"/>
    <s v="20A"/>
    <s v="Whole Plate"/>
    <s v="Dolichospermum lemmermannii"/>
    <b v="1"/>
    <n v="10"/>
    <n v="48"/>
    <m/>
    <n v="4.8"/>
    <n v="5.2800000000000004E-4"/>
    <n v="4.8"/>
    <n v="5.2800000000000004E-4"/>
    <m/>
  </r>
  <r>
    <s v="6011.1"/>
    <x v="1"/>
    <x v="6"/>
    <x v="3"/>
    <s v="20A"/>
    <s v="Whole Plate"/>
    <s v="Dolichospermum planctonicum "/>
    <b v="1"/>
    <n v="10"/>
    <n v="13.8571428571429"/>
    <m/>
    <n v="9.6999999999999993"/>
    <n v="3.5890000000000002E-3"/>
    <n v="9.6999999999999993"/>
    <n v="3.5890000000000002E-3"/>
    <m/>
  </r>
  <r>
    <s v="6011.2"/>
    <x v="1"/>
    <x v="6"/>
    <x v="3"/>
    <s v="20A"/>
    <s v="Whole Plate"/>
    <s v="Microcystis wesenbergii"/>
    <b v="1"/>
    <n v="10"/>
    <n v="43.75"/>
    <n v="30"/>
    <n v="218.75"/>
    <n v="4.1634687500000003E-2"/>
    <n v="218.75"/>
    <n v="4.1634687500000003E-2"/>
    <s v="Microcystis spp._x000a_"/>
  </r>
  <r>
    <s v="6011.3"/>
    <x v="1"/>
    <x v="6"/>
    <x v="3"/>
    <s v="20A"/>
    <s v="Whole Plate"/>
    <s v="Dolichospermum lemmermannii"/>
    <b v="1"/>
    <n v="10"/>
    <n v="34.5"/>
    <m/>
    <n v="6.9"/>
    <n v="7.5900000000000002E-4"/>
    <n v="6.9"/>
    <n v="7.5900000000000002E-4"/>
    <m/>
  </r>
  <r>
    <s v="6011.4"/>
    <x v="1"/>
    <x v="6"/>
    <x v="3"/>
    <s v="20A"/>
    <s v="Whole Plate"/>
    <s v="Dolichospermum circinale"/>
    <b v="1"/>
    <n v="10"/>
    <n v="13"/>
    <m/>
    <n v="2.6"/>
    <n v="1.496664E-3"/>
    <n v="2.6"/>
    <n v="1.496664E-3"/>
    <m/>
  </r>
  <r>
    <s v="6011.5"/>
    <x v="1"/>
    <x v="6"/>
    <x v="3"/>
    <s v="20A"/>
    <s v="Whole Plate"/>
    <s v="Pseudanabaena sp."/>
    <b v="1"/>
    <n v="10"/>
    <n v="4"/>
    <m/>
    <n v="0.4"/>
    <n v="1.56E-5"/>
    <n v="0.4"/>
    <n v="1.56E-5"/>
    <m/>
  </r>
  <r>
    <s v="6011.6"/>
    <x v="1"/>
    <x v="6"/>
    <x v="3"/>
    <s v="20A"/>
    <s v="Whole Plate"/>
    <s v="Oscillatoria sp"/>
    <b v="1"/>
    <n v="10"/>
    <n v="35.5"/>
    <m/>
    <n v="7.1"/>
    <n v="1.9201949999999999E-2"/>
    <n v="7.1"/>
    <n v="1.9201949999999999E-2"/>
    <m/>
  </r>
  <r>
    <s v="6011.7"/>
    <x v="1"/>
    <x v="6"/>
    <x v="3"/>
    <s v="20A"/>
    <s v="Whole Plate"/>
    <s v="Anabaena torulosa"/>
    <b v="1"/>
    <n v="10"/>
    <n v="18.5"/>
    <m/>
    <n v="3.7"/>
    <n v="8.1769999999999998E-4"/>
    <n v="3.7"/>
    <n v="8.1769999999999998E-4"/>
    <m/>
  </r>
  <r>
    <s v="6010.1"/>
    <x v="2"/>
    <x v="7"/>
    <x v="3"/>
    <s v="20A"/>
    <s v="160"/>
    <s v="Microcystis wesenbergii"/>
    <b v="1"/>
    <n v="10"/>
    <n v="41.142857142857103"/>
    <m/>
    <n v="1809.56"/>
    <n v="0.34441355480000002"/>
    <n v="1809.56"/>
    <n v="0.34441355480000002"/>
    <s v="Microcystis spp._x000a_"/>
  </r>
  <r>
    <s v="6010.2"/>
    <x v="2"/>
    <x v="7"/>
    <x v="3"/>
    <s v="20A"/>
    <s v="160"/>
    <s v="Pseudanabaena sp."/>
    <b v="1"/>
    <n v="10"/>
    <n v="12"/>
    <m/>
    <n v="37.699166666666699"/>
    <n v="1.4702675000000001E-3"/>
    <n v="37.699166666666699"/>
    <n v="1.4702675000000001E-3"/>
    <m/>
  </r>
  <r>
    <s v="6005.1"/>
    <x v="2"/>
    <x v="8"/>
    <x v="3"/>
    <s v="20A"/>
    <s v="160"/>
    <s v="Microcystis wesenbergii"/>
    <b v="1"/>
    <n v="10"/>
    <n v="49.65"/>
    <n v="92"/>
    <n v="17469.7938333333"/>
    <n v="3.32502586029833"/>
    <n v="17469.7938333333"/>
    <n v="3.32502586029833"/>
    <s v="Microcystis spp._x000a_"/>
  </r>
  <r>
    <s v="6005.2"/>
    <x v="2"/>
    <x v="8"/>
    <x v="3"/>
    <s v="20A"/>
    <s v="160"/>
    <s v="Microcystis sp"/>
    <b v="1"/>
    <n v="10"/>
    <n v="22.75"/>
    <m/>
    <n v="285.88534722222198"/>
    <n v="2.05261595204662E-2"/>
    <n v="285.88534722222198"/>
    <n v="2.05261595204662E-2"/>
    <s v="Microcystis spp._x000a_"/>
  </r>
  <r>
    <s v="6005.3"/>
    <x v="2"/>
    <x v="8"/>
    <x v="3"/>
    <s v="20A"/>
    <s v="160"/>
    <s v="Pseudanabaena sp."/>
    <b v="1"/>
    <n v="10"/>
    <n v="3.5"/>
    <m/>
    <n v="65.973541666666705"/>
    <n v="2.5729681250000001E-3"/>
    <n v="65.973541666666705"/>
    <n v="2.5729681250000001E-3"/>
    <m/>
  </r>
  <r>
    <s v="6009.1"/>
    <x v="2"/>
    <x v="9"/>
    <x v="3"/>
    <s v="20A"/>
    <s v="160"/>
    <s v="Microcystis wesenbergii"/>
    <b v="1"/>
    <n v="10"/>
    <n v="41.421052631578902"/>
    <m/>
    <n v="2472.4370138888899"/>
    <n v="0.47057893685347202"/>
    <n v="2472.4370138888899"/>
    <n v="0.47057893685347202"/>
    <s v="Microcystis spp._x000a_"/>
  </r>
  <r>
    <s v="6009.2"/>
    <x v="2"/>
    <x v="9"/>
    <x v="3"/>
    <s v="20A"/>
    <s v="160"/>
    <s v="Pseudanabaena sp."/>
    <b v="1"/>
    <n v="10"/>
    <n v="7.25"/>
    <m/>
    <n v="91.106319444444395"/>
    <n v="3.5531464583333301E-3"/>
    <n v="91.106319444444395"/>
    <n v="3.5531464583333301E-3"/>
    <m/>
  </r>
  <r>
    <s v="6003.1"/>
    <x v="2"/>
    <x v="10"/>
    <x v="3"/>
    <s v="20A"/>
    <s v="160"/>
    <s v="Microcystis wesenbergii"/>
    <b v="1"/>
    <n v="10"/>
    <n v="46.2"/>
    <n v="67"/>
    <n v="12627.335875000001"/>
    <n v="2.40336083708875"/>
    <n v="12627.335875000001"/>
    <n v="2.40336083708875"/>
    <s v="Microcystis spp._x000a_"/>
  </r>
  <r>
    <s v="6003.2"/>
    <x v="2"/>
    <x v="10"/>
    <x v="3"/>
    <s v="20A"/>
    <s v="160"/>
    <s v="Microcystis sp"/>
    <b v="1"/>
    <n v="10"/>
    <n v="21.5"/>
    <m/>
    <n v="270.177361111111"/>
    <n v="1.9398348557803199E-2"/>
    <n v="270.177361111111"/>
    <n v="1.9398348557803199E-2"/>
    <s v="Microcystis spp._x000a_"/>
  </r>
  <r>
    <s v="6014.1"/>
    <x v="3"/>
    <x v="11"/>
    <x v="3"/>
    <s v="20A"/>
    <s v="Whole Plate"/>
    <s v="Dolichospermum circinale"/>
    <b v="1"/>
    <n v="10"/>
    <n v="14.6"/>
    <n v="37"/>
    <n v="83.22"/>
    <n v="4.7904760800000001E-2"/>
    <n v="83.22"/>
    <n v="4.7904760800000001E-2"/>
    <m/>
  </r>
  <r>
    <s v="6014.2"/>
    <x v="3"/>
    <x v="11"/>
    <x v="3"/>
    <s v="20A"/>
    <s v="Whole Plate"/>
    <s v="Oscillatoria sp"/>
    <b v="1"/>
    <n v="10"/>
    <n v="80"/>
    <m/>
    <n v="8"/>
    <n v="2.1635999999999999E-2"/>
    <n v="8"/>
    <n v="2.1635999999999999E-2"/>
    <m/>
  </r>
  <r>
    <s v="6014.3"/>
    <x v="3"/>
    <x v="11"/>
    <x v="3"/>
    <s v="20A"/>
    <s v="Whole Plate"/>
    <s v="Woronichinia naegeliana"/>
    <b v="1"/>
    <n v="10"/>
    <n v="405"/>
    <m/>
    <n v="81"/>
    <n v="0"/>
    <n v="81"/>
    <n v="0"/>
    <m/>
  </r>
  <r>
    <s v="6014.4"/>
    <x v="3"/>
    <x v="11"/>
    <x v="3"/>
    <s v="20A"/>
    <s v="Whole Plate"/>
    <s v="Dolichospermum sp"/>
    <b v="1"/>
    <n v="10"/>
    <n v="19.5"/>
    <m/>
    <n v="7.8"/>
    <n v="1.482E-3"/>
    <n v="7.8"/>
    <n v="1.482E-3"/>
    <m/>
  </r>
  <r>
    <s v="6014.5"/>
    <x v="3"/>
    <x v="11"/>
    <x v="3"/>
    <s v="20A"/>
    <s v="Whole Plate"/>
    <s v="Dolichospermum lemmermannii"/>
    <b v="1"/>
    <n v="10"/>
    <n v="18.6666666666667"/>
    <m/>
    <n v="11.2"/>
    <n v="1.232E-3"/>
    <n v="11.2"/>
    <n v="1.232E-3"/>
    <m/>
  </r>
  <r>
    <s v="6014.6"/>
    <x v="3"/>
    <x v="11"/>
    <x v="3"/>
    <s v="20A"/>
    <s v="Whole Plate"/>
    <s v="Microcystis sp"/>
    <b v="1"/>
    <n v="10"/>
    <n v="28"/>
    <m/>
    <n v="2.8"/>
    <n v="2.01035999976E-4"/>
    <n v="2.8"/>
    <n v="2.01035999976E-4"/>
    <s v="Microcystis spp._x000a_"/>
  </r>
  <r>
    <s v="6014.7"/>
    <x v="3"/>
    <x v="11"/>
    <x v="3"/>
    <s v="20A"/>
    <s v="Whole Plate"/>
    <s v="Dolichospermum planctonicum "/>
    <b v="1"/>
    <n v="10"/>
    <n v="15.6"/>
    <m/>
    <n v="7.8"/>
    <n v="2.8860000000000001E-3"/>
    <n v="7.8"/>
    <n v="2.8860000000000001E-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6046.1"/>
    <x v="0"/>
    <x v="0"/>
    <x v="0"/>
    <s v="20A"/>
    <s v="Whole Plate"/>
    <s v="Microcystis sp"/>
    <b v="1"/>
    <n v="10"/>
    <n v="42.15"/>
    <n v="105"/>
    <n v="526.875"/>
    <n v="3.7828872316912503E-2"/>
    <n v="526.875"/>
    <n v="3.7828872316912503E-2"/>
    <x v="0"/>
  </r>
  <r>
    <s v="6046.2"/>
    <x v="0"/>
    <x v="0"/>
    <x v="0"/>
    <s v="20A"/>
    <s v="Whole Plate"/>
    <s v="Microcystis wesenbergii"/>
    <b v="1"/>
    <n v="10"/>
    <n v="44.6666666666667"/>
    <m/>
    <n v="13.4"/>
    <n v="2.5504220000000001E-3"/>
    <n v="13.4"/>
    <n v="2.5504220000000001E-3"/>
    <x v="0"/>
  </r>
  <r>
    <s v="6048.1"/>
    <x v="0"/>
    <x v="1"/>
    <x v="0"/>
    <s v="20A"/>
    <s v="Whole Plate"/>
    <s v="Microcystis sp"/>
    <b v="1"/>
    <n v="10"/>
    <n v="18.5"/>
    <n v="53"/>
    <n v="135.05000000000001"/>
    <n v="9.6963970702709998E-3"/>
    <n v="135.05000000000001"/>
    <n v="9.6963970702709998E-3"/>
    <x v="0"/>
  </r>
  <r>
    <s v="6048.6"/>
    <x v="0"/>
    <x v="1"/>
    <x v="0"/>
    <s v="20A"/>
    <s v="Whole Plate"/>
    <s v="Microcystis wesenbergii"/>
    <b v="1"/>
    <n v="10"/>
    <n v="52"/>
    <m/>
    <n v="10.4"/>
    <n v="1.9794320000000002E-3"/>
    <n v="10.4"/>
    <n v="1.9794320000000002E-3"/>
    <x v="0"/>
  </r>
  <r>
    <s v="6047.1"/>
    <x v="1"/>
    <x v="2"/>
    <x v="0"/>
    <s v="20A"/>
    <s v="Whole Plate"/>
    <s v="Microcystis wesenbergii"/>
    <b v="1"/>
    <n v="10"/>
    <n v="10"/>
    <m/>
    <n v="1"/>
    <n v="1.9033E-4"/>
    <n v="1"/>
    <n v="1.9033E-4"/>
    <x v="0"/>
  </r>
  <r>
    <s v="6040.5"/>
    <x v="1"/>
    <x v="3"/>
    <x v="0"/>
    <s v="20A"/>
    <s v="Whole Plate"/>
    <s v="Microcystis wesenbergii"/>
    <b v="1"/>
    <n v="10"/>
    <n v="46"/>
    <m/>
    <n v="4.5999999999999996"/>
    <n v="8.7551800000000004E-4"/>
    <n v="4.5999999999999996"/>
    <n v="8.7551800000000004E-4"/>
    <x v="0"/>
  </r>
  <r>
    <s v="6041.1"/>
    <x v="1"/>
    <x v="4"/>
    <x v="0"/>
    <s v="20A"/>
    <s v="Whole Plate"/>
    <s v="Microcystis sp"/>
    <b v="1"/>
    <n v="10"/>
    <n v="11.25"/>
    <m/>
    <n v="4.5"/>
    <n v="3.2309357138999998E-4"/>
    <n v="4.5"/>
    <n v="3.2309357138999998E-4"/>
    <x v="0"/>
  </r>
  <r>
    <s v="6041.4"/>
    <x v="1"/>
    <x v="4"/>
    <x v="0"/>
    <s v="20A"/>
    <s v="Whole Plate"/>
    <s v="Microcystis wesenbergii"/>
    <b v="1"/>
    <n v="10"/>
    <n v="30"/>
    <m/>
    <n v="27"/>
    <n v="5.13891E-3"/>
    <n v="27"/>
    <n v="5.13891E-3"/>
    <x v="0"/>
  </r>
  <r>
    <s v="6050.3"/>
    <x v="1"/>
    <x v="5"/>
    <x v="0"/>
    <s v="20A"/>
    <s v="Whole Plate"/>
    <s v="Microcystis wesenbergii"/>
    <b v="1"/>
    <n v="10"/>
    <n v="52"/>
    <m/>
    <n v="10.4"/>
    <n v="1.9794320000000002E-3"/>
    <n v="10.4"/>
    <n v="1.9794320000000002E-3"/>
    <x v="0"/>
  </r>
  <r>
    <s v="6049.5"/>
    <x v="1"/>
    <x v="6"/>
    <x v="0"/>
    <s v="20A"/>
    <s v="Whole Plate"/>
    <s v="Microcystis wesenbergii"/>
    <b v="1"/>
    <n v="10"/>
    <n v="55.3333333333333"/>
    <m/>
    <n v="16.600000000000001"/>
    <n v="3.1594779999999999E-3"/>
    <n v="16.600000000000001"/>
    <n v="3.1594779999999999E-3"/>
    <x v="0"/>
  </r>
  <r>
    <s v="6044.3"/>
    <x v="2"/>
    <x v="7"/>
    <x v="0"/>
    <s v="20A"/>
    <s v="Whole Plate"/>
    <s v="Microcystis wesenbergii"/>
    <b v="1"/>
    <n v="10"/>
    <n v="22.3333333333333"/>
    <m/>
    <n v="20.100000000000001"/>
    <n v="3.8256330000000002E-3"/>
    <n v="20.100000000000001"/>
    <n v="3.8256330000000002E-3"/>
    <x v="0"/>
  </r>
  <r>
    <s v="6042.1"/>
    <x v="2"/>
    <x v="8"/>
    <x v="0"/>
    <s v="20A"/>
    <s v="160"/>
    <s v="Microcystis wesenbergii"/>
    <b v="1"/>
    <n v="10"/>
    <n v="29.1666666666667"/>
    <m/>
    <n v="549.77951388888903"/>
    <n v="0.104639534878472"/>
    <n v="549.77951388888903"/>
    <n v="0.104639534878472"/>
    <x v="0"/>
  </r>
  <r>
    <s v="6042.4"/>
    <x v="2"/>
    <x v="8"/>
    <x v="0"/>
    <s v="20A"/>
    <s v="160"/>
    <s v="Microcystis sp"/>
    <b v="1"/>
    <n v="10"/>
    <n v="22"/>
    <m/>
    <n v="69.115138888888893"/>
    <n v="4.9623682357171099E-3"/>
    <n v="69.115138888888893"/>
    <n v="4.9623682357171099E-3"/>
    <x v="0"/>
  </r>
  <r>
    <s v="6045.1"/>
    <x v="2"/>
    <x v="9"/>
    <x v="0"/>
    <s v="20A"/>
    <s v="Whole Plate"/>
    <s v="Microcystis wesenbergii"/>
    <b v="1"/>
    <n v="10"/>
    <n v="18.8"/>
    <m/>
    <n v="9.4"/>
    <n v="1.7891020000000001E-3"/>
    <n v="9.4"/>
    <n v="1.7891020000000001E-3"/>
    <x v="0"/>
  </r>
  <r>
    <s v="6039.1"/>
    <x v="2"/>
    <x v="10"/>
    <x v="0"/>
    <s v="20A"/>
    <s v="160"/>
    <s v="Microcystis wesenbergii"/>
    <b v="1"/>
    <n v="10"/>
    <n v="22.714285714285701"/>
    <m/>
    <n v="499.51395833333299"/>
    <n v="9.5072491689583302E-2"/>
    <n v="499.51395833333299"/>
    <n v="9.5072491689583302E-2"/>
    <x v="0"/>
  </r>
  <r>
    <s v="6030.1"/>
    <x v="0"/>
    <x v="0"/>
    <x v="1"/>
    <s v="20A"/>
    <s v="160"/>
    <s v="Microcystis sp"/>
    <b v="1"/>
    <n v="10"/>
    <n v="16.2"/>
    <n v="50"/>
    <n v="3562.57125"/>
    <n v="0.255787526331964"/>
    <n v="3562.57125"/>
    <n v="0.255787526331964"/>
    <x v="0"/>
  </r>
  <r>
    <s v="6030.2"/>
    <x v="0"/>
    <x v="0"/>
    <x v="1"/>
    <s v="20A"/>
    <s v="160"/>
    <s v="Microcystis wesenbergii"/>
    <b v="1"/>
    <n v="10"/>
    <n v="180"/>
    <m/>
    <n v="565.48749999999995"/>
    <n v="0.10762923587500001"/>
    <n v="565.48749999999995"/>
    <n v="0.10762923587500001"/>
    <x v="0"/>
  </r>
  <r>
    <s v="6033.2"/>
    <x v="0"/>
    <x v="1"/>
    <x v="1"/>
    <s v="20A"/>
    <s v="Whole Plate"/>
    <s v="Microcystis sp"/>
    <b v="1"/>
    <n v="10"/>
    <n v="24.55"/>
    <n v="13"/>
    <n v="81.015000000000001"/>
    <n v="5.8167612635913E-3"/>
    <n v="81.015000000000001"/>
    <n v="5.8167612635913E-3"/>
    <x v="0"/>
  </r>
  <r>
    <s v="6033.3"/>
    <x v="0"/>
    <x v="1"/>
    <x v="1"/>
    <s v="20A"/>
    <s v="Whole Plate"/>
    <s v="Microcystis wesenbergii"/>
    <b v="1"/>
    <n v="10"/>
    <n v="101.5"/>
    <m/>
    <n v="40.6"/>
    <n v="7.7273979999999999E-3"/>
    <n v="40.6"/>
    <n v="7.7273979999999999E-3"/>
    <x v="0"/>
  </r>
  <r>
    <s v="6038.1"/>
    <x v="1"/>
    <x v="2"/>
    <x v="1"/>
    <s v="20A"/>
    <s v="Whole Plate"/>
    <s v="Microcystis wesenbergii"/>
    <b v="1"/>
    <n v="10"/>
    <n v="32.5555555555556"/>
    <m/>
    <n v="29.3"/>
    <n v="5.5766690000000002E-3"/>
    <n v="29.3"/>
    <n v="5.5766690000000002E-3"/>
    <x v="0"/>
  </r>
  <r>
    <s v="6035.4"/>
    <x v="1"/>
    <x v="3"/>
    <x v="1"/>
    <s v="20A"/>
    <s v="Whole Plate"/>
    <s v="Microcystis wesenbergii"/>
    <b v="1"/>
    <n v="10"/>
    <n v="45.857142857142897"/>
    <m/>
    <n v="32.1"/>
    <n v="6.109593E-3"/>
    <n v="32.1"/>
    <n v="6.109593E-3"/>
    <x v="0"/>
  </r>
  <r>
    <s v="6035.6"/>
    <x v="1"/>
    <x v="3"/>
    <x v="1"/>
    <s v="20A"/>
    <s v="Whole Plate"/>
    <s v="Microcystis sp"/>
    <b v="1"/>
    <n v="10"/>
    <n v="18"/>
    <m/>
    <n v="1.8"/>
    <n v="1.29237428556E-4"/>
    <n v="1.8"/>
    <n v="1.29237428556E-4"/>
    <x v="0"/>
  </r>
  <r>
    <s v="6031.2"/>
    <x v="1"/>
    <x v="4"/>
    <x v="1"/>
    <s v="20A"/>
    <s v="Whole Plate"/>
    <s v="Microcystis wesenbergii"/>
    <b v="1"/>
    <n v="10"/>
    <n v="32.818181818181799"/>
    <m/>
    <n v="36.1"/>
    <n v="6.8709130000000002E-3"/>
    <n v="36.1"/>
    <n v="6.8709130000000002E-3"/>
    <x v="0"/>
  </r>
  <r>
    <s v="6036.2"/>
    <x v="1"/>
    <x v="5"/>
    <x v="1"/>
    <s v="20A"/>
    <s v="Whole Plate"/>
    <s v="Microcystis wesenbergii"/>
    <b v="1"/>
    <n v="10"/>
    <n v="39"/>
    <m/>
    <n v="7.8"/>
    <n v="1.484574E-3"/>
    <n v="7.8"/>
    <n v="1.484574E-3"/>
    <x v="0"/>
  </r>
  <r>
    <s v="6037.1"/>
    <x v="1"/>
    <x v="6"/>
    <x v="1"/>
    <s v="20A"/>
    <s v="Whole Plate"/>
    <s v="Microcystis wesenbergii"/>
    <b v="1"/>
    <n v="10"/>
    <n v="23.428571428571399"/>
    <m/>
    <n v="16.399999999999999"/>
    <n v="3.1214120000000001E-3"/>
    <n v="16.399999999999999"/>
    <n v="3.1214120000000001E-3"/>
    <x v="0"/>
  </r>
  <r>
    <s v="6032.3"/>
    <x v="2"/>
    <x v="7"/>
    <x v="1"/>
    <s v="20A"/>
    <s v="Whole Plate"/>
    <s v="Microcystis wesenbergii"/>
    <b v="1"/>
    <n v="10"/>
    <n v="42.4"/>
    <m/>
    <n v="21.2"/>
    <n v="4.0349959999999999E-3"/>
    <n v="21.2"/>
    <n v="4.0349959999999999E-3"/>
    <x v="0"/>
  </r>
  <r>
    <s v="6028.2"/>
    <x v="2"/>
    <x v="8"/>
    <x v="1"/>
    <s v="20A"/>
    <s v="Whole Plate"/>
    <s v="Microcystis wesenbergii"/>
    <b v="1"/>
    <n v="10"/>
    <n v="35.9"/>
    <n v="7"/>
    <n v="96.93"/>
    <n v="1.84486869E-2"/>
    <n v="96.93"/>
    <n v="1.84486869E-2"/>
    <x v="0"/>
  </r>
  <r>
    <s v="6029.1"/>
    <x v="2"/>
    <x v="9"/>
    <x v="1"/>
    <s v="20A"/>
    <s v="Whole Plate"/>
    <s v="Microcystis wesenbergii"/>
    <b v="1"/>
    <n v="10"/>
    <n v="18.95"/>
    <n v="9"/>
    <n v="54.954999999999998"/>
    <n v="1.0459585150000001E-2"/>
    <n v="54.954999999999998"/>
    <n v="1.0459585150000001E-2"/>
    <x v="0"/>
  </r>
  <r>
    <s v="6027.2"/>
    <x v="2"/>
    <x v="10"/>
    <x v="1"/>
    <s v="20A"/>
    <s v="Whole Plate"/>
    <s v="Microcystis wesenbergii"/>
    <b v="1"/>
    <n v="10"/>
    <n v="36.470588235294102"/>
    <m/>
    <n v="62"/>
    <n v="1.180046E-2"/>
    <n v="62"/>
    <n v="1.180046E-2"/>
    <x v="0"/>
  </r>
  <r>
    <s v="6034.3"/>
    <x v="3"/>
    <x v="11"/>
    <x v="1"/>
    <s v="20A"/>
    <s v="160"/>
    <s v="Microcystis sp"/>
    <b v="1"/>
    <n v="10"/>
    <n v="14"/>
    <m/>
    <n v="43.982361111111103"/>
    <n v="3.1578706954563402E-3"/>
    <n v="43.982361111111103"/>
    <n v="3.1578706954563402E-3"/>
    <x v="0"/>
  </r>
  <r>
    <s v="6019.1"/>
    <x v="0"/>
    <x v="0"/>
    <x v="2"/>
    <s v="20A"/>
    <s v="160"/>
    <s v="Microcystis sp"/>
    <b v="1"/>
    <n v="10"/>
    <n v="22.1"/>
    <n v="92"/>
    <n v="7776.0814444444404"/>
    <n v="0.55831153895668095"/>
    <n v="7776.0814444444404"/>
    <n v="0.55831153895668095"/>
    <x v="0"/>
  </r>
  <r>
    <s v="6026.2"/>
    <x v="0"/>
    <x v="1"/>
    <x v="2"/>
    <s v="20A"/>
    <s v="Whole Plate"/>
    <s v="Microcystis sp"/>
    <b v="1"/>
    <n v="10"/>
    <n v="22.55"/>
    <n v="18"/>
    <n v="85.69"/>
    <n v="6.1524195849798E-3"/>
    <n v="85.69"/>
    <n v="6.1524195849798E-3"/>
    <x v="0"/>
  </r>
  <r>
    <s v="6026.4"/>
    <x v="0"/>
    <x v="1"/>
    <x v="2"/>
    <s v="20A"/>
    <s v="Whole Plate"/>
    <s v="Microcystis wesenbergii"/>
    <b v="1"/>
    <n v="10"/>
    <n v="59"/>
    <m/>
    <n v="11.8"/>
    <n v="2.245894E-3"/>
    <n v="11.8"/>
    <n v="2.245894E-3"/>
    <x v="0"/>
  </r>
  <r>
    <s v="6023.1"/>
    <x v="1"/>
    <x v="2"/>
    <x v="2"/>
    <s v="20A"/>
    <s v="Whole Plate"/>
    <s v="Microcystis wesenbergii"/>
    <b v="1"/>
    <n v="10"/>
    <n v="37.85"/>
    <n v="27"/>
    <n v="177.89500000000001"/>
    <n v="3.3858755349999999E-2"/>
    <n v="177.89500000000001"/>
    <n v="3.3858755349999999E-2"/>
    <x v="0"/>
  </r>
  <r>
    <s v="6020.2"/>
    <x v="1"/>
    <x v="3"/>
    <x v="2"/>
    <s v="20A"/>
    <s v="Whole Plate"/>
    <s v="Microcystis wesenbergii"/>
    <b v="1"/>
    <n v="10"/>
    <n v="33.714285714285701"/>
    <m/>
    <n v="23.6"/>
    <n v="4.491788E-3"/>
    <n v="23.6"/>
    <n v="4.491788E-3"/>
    <x v="0"/>
  </r>
  <r>
    <s v="6020.5"/>
    <x v="1"/>
    <x v="3"/>
    <x v="2"/>
    <s v="20A"/>
    <s v="Whole Plate"/>
    <s v="Microcystis sp"/>
    <b v="1"/>
    <n v="10"/>
    <n v="12"/>
    <m/>
    <n v="1.2"/>
    <n v="8.6158285704000006E-5"/>
    <n v="1.2"/>
    <n v="8.6158285704000006E-5"/>
    <x v="0"/>
  </r>
  <r>
    <s v="6018.1"/>
    <x v="1"/>
    <x v="4"/>
    <x v="2"/>
    <s v="20A"/>
    <s v="160"/>
    <s v="Microcystis wesenbergii"/>
    <b v="1"/>
    <n v="10"/>
    <n v="36.700000000000003"/>
    <n v="5"/>
    <n v="2882.4154513888898"/>
    <n v="0.54861013286284699"/>
    <n v="2882.4154513888898"/>
    <n v="0.54861013286284699"/>
    <x v="0"/>
  </r>
  <r>
    <s v="6018.3"/>
    <x v="1"/>
    <x v="4"/>
    <x v="2"/>
    <s v="20A"/>
    <s v="160"/>
    <s v="Microcystis sp"/>
    <b v="1"/>
    <n v="10"/>
    <n v="11"/>
    <m/>
    <n v="69.115138888888893"/>
    <n v="4.9623682357171099E-3"/>
    <n v="69.115138888888893"/>
    <n v="4.9623682357171099E-3"/>
    <x v="0"/>
  </r>
  <r>
    <s v="6025.1"/>
    <x v="1"/>
    <x v="5"/>
    <x v="2"/>
    <s v="20A"/>
    <s v="Whole Plate"/>
    <s v="Microcystis wesenbergii"/>
    <b v="1"/>
    <n v="10"/>
    <n v="62.55"/>
    <n v="3"/>
    <n v="143.86500000000001"/>
    <n v="2.7381825450000001E-2"/>
    <n v="143.86500000000001"/>
    <n v="2.7381825450000001E-2"/>
    <x v="0"/>
  </r>
  <r>
    <s v="6022.1"/>
    <x v="1"/>
    <x v="6"/>
    <x v="2"/>
    <s v="20A"/>
    <s v="Whole Plate"/>
    <s v="Microcystis wesenbergii"/>
    <b v="1"/>
    <n v="10"/>
    <n v="51.15"/>
    <n v="9"/>
    <n v="148.33500000000001"/>
    <n v="2.823260055E-2"/>
    <n v="148.33500000000001"/>
    <n v="2.823260055E-2"/>
    <x v="0"/>
  </r>
  <r>
    <s v="6021.2"/>
    <x v="2"/>
    <x v="7"/>
    <x v="2"/>
    <s v="20A"/>
    <s v="160"/>
    <s v="Microcystis wesenbergii"/>
    <b v="1"/>
    <n v="10"/>
    <n v="36.4"/>
    <n v="2"/>
    <n v="2515.79105555555"/>
    <n v="0.47883051160389001"/>
    <n v="2515.79105555556"/>
    <n v="0.47883051160389001"/>
    <x v="0"/>
  </r>
  <r>
    <s v="6016.1"/>
    <x v="2"/>
    <x v="8"/>
    <x v="2"/>
    <s v="20A"/>
    <s v="160"/>
    <s v="Microcystis wesenbergii"/>
    <b v="1"/>
    <n v="10"/>
    <n v="43.5"/>
    <n v="5"/>
    <n v="3416.4869791666702"/>
    <n v="0.65025996674479203"/>
    <n v="3416.4869791666702"/>
    <n v="0.65025996674479203"/>
    <x v="0"/>
  </r>
  <r>
    <s v="6016.4"/>
    <x v="2"/>
    <x v="8"/>
    <x v="2"/>
    <s v="20A"/>
    <s v="160"/>
    <s v="Microcystis sp"/>
    <b v="1"/>
    <n v="10"/>
    <n v="39"/>
    <m/>
    <n v="245.04458333333301"/>
    <n v="1.7593851017542499E-2"/>
    <n v="245.04458333333301"/>
    <n v="1.7593851017542499E-2"/>
    <x v="0"/>
  </r>
  <r>
    <s v="6017.1"/>
    <x v="2"/>
    <x v="9"/>
    <x v="2"/>
    <s v="20A"/>
    <s v="160"/>
    <s v="Microcystis wesenbergii"/>
    <b v="1"/>
    <n v="10"/>
    <n v="35.200000000000003"/>
    <n v="25"/>
    <n v="4976.29"/>
    <n v="0.94713727569999995"/>
    <n v="4976.29"/>
    <n v="0.94713727569999995"/>
    <x v="0"/>
  </r>
  <r>
    <s v="6015.1"/>
    <x v="2"/>
    <x v="10"/>
    <x v="2"/>
    <s v="20A"/>
    <s v="160"/>
    <s v="Microcystis wesenbergii"/>
    <b v="1"/>
    <n v="10"/>
    <n v="42.85"/>
    <n v="14"/>
    <n v="4576.99299305556"/>
    <n v="0.87113907636826504"/>
    <n v="4576.99299305556"/>
    <n v="0.87113907636826504"/>
    <x v="0"/>
  </r>
  <r>
    <s v="6015.3"/>
    <x v="2"/>
    <x v="10"/>
    <x v="2"/>
    <s v="20A"/>
    <s v="160"/>
    <s v="Microcystis sp"/>
    <b v="1"/>
    <n v="10"/>
    <n v="16.3333333333333"/>
    <m/>
    <n v="153.938263888889"/>
    <n v="1.10525474340972E-2"/>
    <n v="153.938263888889"/>
    <n v="1.10525474340972E-2"/>
    <x v="0"/>
  </r>
  <r>
    <s v="6024.6"/>
    <x v="3"/>
    <x v="11"/>
    <x v="2"/>
    <s v="20A"/>
    <s v="160"/>
    <s v="Microcystis sp"/>
    <b v="1"/>
    <n v="10"/>
    <n v="24"/>
    <m/>
    <n v="150.79666666666699"/>
    <n v="1.0826985241564601E-2"/>
    <n v="150.79666666666699"/>
    <n v="1.0826985241564601E-2"/>
    <x v="0"/>
  </r>
  <r>
    <s v="6007.1"/>
    <x v="0"/>
    <x v="0"/>
    <x v="3"/>
    <s v="20A"/>
    <s v="Whole Plate"/>
    <s v="Microcystis sp"/>
    <b v="1"/>
    <n v="10"/>
    <n v="25"/>
    <n v="83"/>
    <n v="257.5"/>
    <n v="1.8488132140649999E-2"/>
    <n v="257.5"/>
    <n v="1.8488132140649999E-2"/>
    <x v="0"/>
  </r>
  <r>
    <s v="6007.2"/>
    <x v="0"/>
    <x v="0"/>
    <x v="3"/>
    <s v="20A"/>
    <s v="Whole Plate"/>
    <s v="Microcystis wesenbergii"/>
    <b v="1"/>
    <n v="10"/>
    <n v="74.5"/>
    <m/>
    <n v="14.9"/>
    <n v="2.8359169999999999E-3"/>
    <n v="14.9"/>
    <n v="2.8359169999999999E-3"/>
    <x v="0"/>
  </r>
  <r>
    <s v="6006.1"/>
    <x v="0"/>
    <x v="1"/>
    <x v="3"/>
    <s v="20A"/>
    <s v="Whole Plate"/>
    <s v="Microcystis sp"/>
    <b v="1"/>
    <n v="10"/>
    <n v="17.25"/>
    <n v="94"/>
    <n v="196.65"/>
    <n v="1.4119189069743E-2"/>
    <n v="196.65"/>
    <n v="1.4119189069743E-2"/>
    <x v="0"/>
  </r>
  <r>
    <s v="6006.5"/>
    <x v="0"/>
    <x v="1"/>
    <x v="3"/>
    <s v="20A"/>
    <s v="Whole Plate"/>
    <s v="Microcystis wesenbergii"/>
    <b v="1"/>
    <n v="10"/>
    <n v="38.5"/>
    <m/>
    <n v="7.7"/>
    <n v="1.4655409999999999E-3"/>
    <n v="7.7"/>
    <n v="1.4655409999999999E-3"/>
    <x v="0"/>
  </r>
  <r>
    <s v="6013.2"/>
    <x v="1"/>
    <x v="2"/>
    <x v="3"/>
    <s v="20A"/>
    <s v="Whole Plate"/>
    <s v="Microcystis wesenbergii"/>
    <b v="1"/>
    <n v="10"/>
    <n v="40.4444444444444"/>
    <m/>
    <n v="72.8"/>
    <n v="1.3856024E-2"/>
    <n v="72.8"/>
    <n v="1.3856024E-2"/>
    <x v="0"/>
  </r>
  <r>
    <s v="6008.1"/>
    <x v="1"/>
    <x v="3"/>
    <x v="3"/>
    <s v="20A"/>
    <s v="Whole Plate"/>
    <s v="Microcystis wesenbergii"/>
    <b v="1"/>
    <n v="10"/>
    <n v="34.549999999999997"/>
    <n v="3"/>
    <n v="79.465000000000003"/>
    <n v="1.512457345E-2"/>
    <n v="79.465000000000003"/>
    <n v="1.512457345E-2"/>
    <x v="0"/>
  </r>
  <r>
    <s v="6008.4"/>
    <x v="1"/>
    <x v="3"/>
    <x v="3"/>
    <s v="20A"/>
    <s v="Whole Plate"/>
    <s v="Microcystis sp"/>
    <b v="1"/>
    <n v="10"/>
    <n v="22.3333333333333"/>
    <m/>
    <n v="6.7"/>
    <n v="4.8105042851400001E-4"/>
    <n v="6.7"/>
    <n v="4.8105042851400001E-4"/>
    <x v="0"/>
  </r>
  <r>
    <s v="6004.1"/>
    <x v="1"/>
    <x v="4"/>
    <x v="3"/>
    <s v="20A"/>
    <s v="160"/>
    <s v="Microcystis wesenbergii"/>
    <b v="1"/>
    <n v="10"/>
    <n v="44.9"/>
    <n v="5"/>
    <n v="3526.4428819444402"/>
    <n v="0.67118787372048505"/>
    <n v="3526.4428819444402"/>
    <n v="0.67118787372048505"/>
    <x v="0"/>
  </r>
  <r>
    <s v="6004.2"/>
    <x v="1"/>
    <x v="4"/>
    <x v="3"/>
    <s v="20A"/>
    <s v="160"/>
    <s v="Microcystis sp"/>
    <b v="1"/>
    <n v="10"/>
    <n v="32"/>
    <m/>
    <n v="301.59333333333302"/>
    <n v="2.1653970483129201E-2"/>
    <n v="301.59333333333302"/>
    <n v="2.1653970483129201E-2"/>
    <x v="0"/>
  </r>
  <r>
    <s v="6012.1"/>
    <x v="1"/>
    <x v="5"/>
    <x v="3"/>
    <s v="20A"/>
    <s v="Whole Plate"/>
    <s v="Microcystis wesenbergii"/>
    <b v="1"/>
    <n v="10"/>
    <n v="49.4"/>
    <m/>
    <n v="98.8"/>
    <n v="1.8804603999999999E-2"/>
    <n v="98.8"/>
    <n v="1.8804603999999999E-2"/>
    <x v="0"/>
  </r>
  <r>
    <s v="6011.2"/>
    <x v="1"/>
    <x v="6"/>
    <x v="3"/>
    <s v="20A"/>
    <s v="Whole Plate"/>
    <s v="Microcystis wesenbergii"/>
    <b v="1"/>
    <n v="10"/>
    <n v="43.75"/>
    <n v="30"/>
    <n v="218.75"/>
    <n v="4.1634687500000003E-2"/>
    <n v="218.75"/>
    <n v="4.1634687500000003E-2"/>
    <x v="0"/>
  </r>
  <r>
    <s v="6010.1"/>
    <x v="2"/>
    <x v="7"/>
    <x v="3"/>
    <s v="20A"/>
    <s v="160"/>
    <s v="Microcystis wesenbergii"/>
    <b v="1"/>
    <n v="10"/>
    <n v="41.142857142857103"/>
    <m/>
    <n v="1809.56"/>
    <n v="0.34441355480000002"/>
    <n v="1809.56"/>
    <n v="0.34441355480000002"/>
    <x v="0"/>
  </r>
  <r>
    <s v="6005.1"/>
    <x v="2"/>
    <x v="8"/>
    <x v="3"/>
    <s v="20A"/>
    <s v="160"/>
    <s v="Microcystis wesenbergii"/>
    <b v="1"/>
    <n v="10"/>
    <n v="49.65"/>
    <n v="92"/>
    <n v="17469.7938333333"/>
    <n v="3.32502586029833"/>
    <n v="17469.7938333333"/>
    <n v="3.32502586029833"/>
    <x v="0"/>
  </r>
  <r>
    <s v="6005.2"/>
    <x v="2"/>
    <x v="8"/>
    <x v="3"/>
    <s v="20A"/>
    <s v="160"/>
    <s v="Microcystis sp"/>
    <b v="1"/>
    <n v="10"/>
    <n v="22.75"/>
    <m/>
    <n v="285.88534722222198"/>
    <n v="2.05261595204662E-2"/>
    <n v="285.88534722222198"/>
    <n v="2.05261595204662E-2"/>
    <x v="0"/>
  </r>
  <r>
    <s v="6009.1"/>
    <x v="2"/>
    <x v="9"/>
    <x v="3"/>
    <s v="20A"/>
    <s v="160"/>
    <s v="Microcystis wesenbergii"/>
    <b v="1"/>
    <n v="10"/>
    <n v="41.421052631578902"/>
    <m/>
    <n v="2472.4370138888899"/>
    <n v="0.47057893685347202"/>
    <n v="2472.4370138888899"/>
    <n v="0.47057893685347202"/>
    <x v="0"/>
  </r>
  <r>
    <s v="6003.1"/>
    <x v="2"/>
    <x v="10"/>
    <x v="3"/>
    <s v="20A"/>
    <s v="160"/>
    <s v="Microcystis wesenbergii"/>
    <b v="1"/>
    <n v="10"/>
    <n v="46.2"/>
    <n v="67"/>
    <n v="12627.335875000001"/>
    <n v="2.40336083708875"/>
    <n v="12627.335875000001"/>
    <n v="2.40336083708875"/>
    <x v="0"/>
  </r>
  <r>
    <s v="6003.2"/>
    <x v="2"/>
    <x v="10"/>
    <x v="3"/>
    <s v="20A"/>
    <s v="160"/>
    <s v="Microcystis sp"/>
    <b v="1"/>
    <n v="10"/>
    <n v="21.5"/>
    <m/>
    <n v="270.177361111111"/>
    <n v="1.9398348557803199E-2"/>
    <n v="270.177361111111"/>
    <n v="1.9398348557803199E-2"/>
    <x v="0"/>
  </r>
  <r>
    <s v="6014.6"/>
    <x v="3"/>
    <x v="11"/>
    <x v="3"/>
    <s v="20A"/>
    <s v="Whole Plate"/>
    <s v="Microcystis sp"/>
    <b v="1"/>
    <n v="10"/>
    <n v="28"/>
    <m/>
    <n v="2.8"/>
    <n v="2.01035999976E-4"/>
    <n v="2.8"/>
    <n v="2.01035999976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6046.1"/>
    <x v="0"/>
    <x v="0"/>
    <x v="0"/>
    <s v="20A"/>
    <s v="Whole Plate"/>
    <s v="Microcystis sp"/>
    <b v="1"/>
    <n v="10"/>
    <n v="42.15"/>
    <n v="105"/>
    <n v="526.875"/>
    <n v="3.7828872316912503E-2"/>
    <n v="526.875"/>
    <n v="3.7828872316912503E-2"/>
    <s v="Microcystis spp._x000a_"/>
  </r>
  <r>
    <s v="6046.2"/>
    <x v="0"/>
    <x v="0"/>
    <x v="0"/>
    <s v="20A"/>
    <s v="Whole Plate"/>
    <s v="Microcystis wesenbergii"/>
    <b v="1"/>
    <n v="10"/>
    <n v="44.6666666666667"/>
    <m/>
    <n v="13.4"/>
    <n v="2.5504220000000001E-3"/>
    <n v="13.4"/>
    <n v="2.5504220000000001E-3"/>
    <s v="Microcystis spp._x000a_"/>
  </r>
  <r>
    <s v="6046.3"/>
    <x v="0"/>
    <x v="0"/>
    <x v="0"/>
    <s v="20A"/>
    <s v="Whole Plate"/>
    <s v="Dolichospermum lemmermannii"/>
    <b v="1"/>
    <n v="10"/>
    <n v="16.454545454545499"/>
    <m/>
    <n v="18.100000000000001"/>
    <n v="1.9910000000000001E-3"/>
    <n v="18.100000000000001"/>
    <n v="1.9910000000000001E-3"/>
    <m/>
  </r>
  <r>
    <s v="6046.4"/>
    <x v="0"/>
    <x v="0"/>
    <x v="0"/>
    <s v="20A"/>
    <s v="Whole Plate"/>
    <s v="Pseudanabaena sp."/>
    <b v="1"/>
    <n v="10"/>
    <n v="3"/>
    <m/>
    <n v="0.3"/>
    <n v="1.17E-5"/>
    <n v="0.3"/>
    <n v="1.17E-5"/>
    <m/>
  </r>
  <r>
    <s v="6046.5"/>
    <x v="0"/>
    <x v="0"/>
    <x v="0"/>
    <s v="20A"/>
    <s v="Whole Plate"/>
    <s v="Oscillatoria sp"/>
    <b v="1"/>
    <n v="10"/>
    <n v="34"/>
    <m/>
    <n v="3.4"/>
    <n v="9.1953E-3"/>
    <n v="3.4"/>
    <n v="9.1953E-3"/>
    <m/>
  </r>
  <r>
    <s v="6046.6"/>
    <x v="0"/>
    <x v="0"/>
    <x v="0"/>
    <s v="20A"/>
    <s v="Whole Plate"/>
    <s v="Dolichospermum planctonicum "/>
    <b v="1"/>
    <n v="10"/>
    <n v="17.5"/>
    <m/>
    <n v="3.5"/>
    <n v="1.2949999999999999E-3"/>
    <n v="3.5"/>
    <n v="1.2949999999999999E-3"/>
    <m/>
  </r>
  <r>
    <s v="6048.1"/>
    <x v="0"/>
    <x v="1"/>
    <x v="0"/>
    <s v="20A"/>
    <s v="Whole Plate"/>
    <s v="Microcystis sp"/>
    <b v="1"/>
    <n v="10"/>
    <n v="18.5"/>
    <n v="53"/>
    <n v="135.05000000000001"/>
    <n v="9.6963970702709998E-3"/>
    <n v="135.05000000000001"/>
    <n v="9.6963970702709998E-3"/>
    <s v="Microcystis spp._x000a_"/>
  </r>
  <r>
    <s v="6048.2"/>
    <x v="0"/>
    <x v="1"/>
    <x v="0"/>
    <s v="20A"/>
    <s v="Whole Plate"/>
    <s v="Pseudanabaena sp."/>
    <b v="1"/>
    <n v="10"/>
    <n v="15"/>
    <m/>
    <n v="18"/>
    <n v="7.0200000000000004E-4"/>
    <n v="18"/>
    <n v="7.0200000000000004E-4"/>
    <m/>
  </r>
  <r>
    <s v="6048.3"/>
    <x v="0"/>
    <x v="1"/>
    <x v="0"/>
    <s v="20A"/>
    <s v="Whole Plate"/>
    <s v="Oscillatoria sp"/>
    <b v="1"/>
    <n v="10"/>
    <n v="43"/>
    <m/>
    <n v="25.8"/>
    <n v="6.9776099999999994E-2"/>
    <n v="25.8"/>
    <n v="6.9776099999999994E-2"/>
    <m/>
  </r>
  <r>
    <s v="6048.4"/>
    <x v="0"/>
    <x v="1"/>
    <x v="0"/>
    <s v="20A"/>
    <s v="Whole Plate"/>
    <s v="Dolichospermum sp"/>
    <b v="1"/>
    <n v="10"/>
    <n v="31"/>
    <m/>
    <n v="6.2"/>
    <n v="1.178E-3"/>
    <n v="6.2"/>
    <n v="1.178E-3"/>
    <m/>
  </r>
  <r>
    <s v="6048.5"/>
    <x v="0"/>
    <x v="1"/>
    <x v="0"/>
    <s v="20A"/>
    <s v="Whole Plate"/>
    <s v="Dolichospermum planctonicum "/>
    <b v="1"/>
    <n v="10"/>
    <n v="13"/>
    <m/>
    <n v="2.6"/>
    <n v="9.6199999999999996E-4"/>
    <n v="2.6"/>
    <n v="9.6199999999999996E-4"/>
    <m/>
  </r>
  <r>
    <s v="6048.6"/>
    <x v="0"/>
    <x v="1"/>
    <x v="0"/>
    <s v="20A"/>
    <s v="Whole Plate"/>
    <s v="Microcystis wesenbergii"/>
    <b v="1"/>
    <n v="10"/>
    <n v="52"/>
    <m/>
    <n v="10.4"/>
    <n v="1.9794320000000002E-3"/>
    <n v="10.4"/>
    <n v="1.9794320000000002E-3"/>
    <s v="Microcystis spp._x000a_"/>
  </r>
  <r>
    <s v="6048.7"/>
    <x v="0"/>
    <x v="1"/>
    <x v="0"/>
    <s v="20A"/>
    <s v="Whole Plate"/>
    <s v="Aphanocapsa sp"/>
    <b v="0"/>
    <n v="10"/>
    <n v="24"/>
    <m/>
    <n v="2.4"/>
    <n v="5.4E-6"/>
    <n v="0"/>
    <n v="0"/>
    <m/>
  </r>
  <r>
    <s v="6048.8"/>
    <x v="0"/>
    <x v="1"/>
    <x v="0"/>
    <s v="20A"/>
    <s v="Whole Plate"/>
    <s v="Merismopedia sp"/>
    <b v="0"/>
    <n v="10"/>
    <n v="16"/>
    <m/>
    <n v="1.6"/>
    <n v="3.5200000000000002E-5"/>
    <n v="0"/>
    <n v="0"/>
    <m/>
  </r>
  <r>
    <s v="6047.1"/>
    <x v="1"/>
    <x v="2"/>
    <x v="0"/>
    <s v="20A"/>
    <s v="Whole Plate"/>
    <s v="Microcystis wesenbergii"/>
    <b v="1"/>
    <n v="10"/>
    <n v="10"/>
    <m/>
    <n v="1"/>
    <n v="1.9033E-4"/>
    <n v="1"/>
    <n v="1.9033E-4"/>
    <s v="Microcystis spp._x000a_"/>
  </r>
  <r>
    <s v="6047.2"/>
    <x v="1"/>
    <x v="2"/>
    <x v="0"/>
    <s v="20A"/>
    <s v="Whole Plate"/>
    <s v="Pseudanabaena sp."/>
    <b v="1"/>
    <n v="10"/>
    <n v="3"/>
    <m/>
    <n v="1.5"/>
    <n v="5.8499999999999999E-5"/>
    <n v="1.5"/>
    <n v="5.8499999999999999E-5"/>
    <m/>
  </r>
  <r>
    <s v="6047.3"/>
    <x v="1"/>
    <x v="2"/>
    <x v="0"/>
    <s v="20A"/>
    <s v="Whole Plate"/>
    <s v="Dolichospermum planctonicum "/>
    <b v="1"/>
    <n v="10"/>
    <n v="11.5"/>
    <m/>
    <n v="2.2999999999999998"/>
    <n v="8.5099999999999998E-4"/>
    <n v="2.2999999999999998"/>
    <n v="8.5099999999999998E-4"/>
    <m/>
  </r>
  <r>
    <s v="6047.4"/>
    <x v="1"/>
    <x v="2"/>
    <x v="0"/>
    <s v="20A"/>
    <s v="Whole Plate"/>
    <s v="Limnococcus limneticus_x000a_"/>
    <b v="0"/>
    <n v="10"/>
    <n v="12"/>
    <m/>
    <n v="1.2"/>
    <n v="5.4000000000000001E-4"/>
    <n v="0"/>
    <n v="0"/>
    <m/>
  </r>
  <r>
    <s v="6047.5"/>
    <x v="1"/>
    <x v="2"/>
    <x v="0"/>
    <s v="20A"/>
    <s v="Whole Plate"/>
    <s v="Aphanocapsa sp"/>
    <b v="0"/>
    <n v="10"/>
    <n v="22"/>
    <m/>
    <n v="2.2000000000000002"/>
    <n v="4.95E-6"/>
    <n v="0"/>
    <n v="0"/>
    <m/>
  </r>
  <r>
    <s v="6040.2"/>
    <x v="1"/>
    <x v="3"/>
    <x v="0"/>
    <s v="20A"/>
    <s v="Whole Plate"/>
    <s v="Oscillatoria sp"/>
    <b v="1"/>
    <n v="10"/>
    <n v="153.333333333333"/>
    <m/>
    <n v="138"/>
    <n v="0.37322100000000002"/>
    <n v="138"/>
    <n v="0.37322100000000002"/>
    <m/>
  </r>
  <r>
    <s v="6040.3"/>
    <x v="1"/>
    <x v="3"/>
    <x v="0"/>
    <s v="20A"/>
    <s v="Whole Plate"/>
    <s v="Dolichospermum circinale"/>
    <b v="1"/>
    <n v="10"/>
    <n v="18"/>
    <m/>
    <n v="3.6"/>
    <n v="2.0723040000000001E-3"/>
    <n v="3.6"/>
    <n v="2.0723040000000001E-3"/>
    <m/>
  </r>
  <r>
    <s v="6040.4"/>
    <x v="1"/>
    <x v="3"/>
    <x v="0"/>
    <s v="20A"/>
    <s v="Whole Plate"/>
    <s v="Phormidium sp"/>
    <b v="1"/>
    <n v="10"/>
    <n v="34"/>
    <m/>
    <n v="3.4"/>
    <n v="3.1735599999999997E-4"/>
    <n v="3.4"/>
    <n v="3.1735599999999997E-4"/>
    <m/>
  </r>
  <r>
    <s v="6040.5"/>
    <x v="1"/>
    <x v="3"/>
    <x v="0"/>
    <s v="20A"/>
    <s v="Whole Plate"/>
    <s v="Microcystis wesenbergii"/>
    <b v="1"/>
    <n v="10"/>
    <n v="46"/>
    <m/>
    <n v="4.5999999999999996"/>
    <n v="8.7551800000000004E-4"/>
    <n v="4.5999999999999996"/>
    <n v="8.7551800000000004E-4"/>
    <s v="Microcystis spp._x000a_"/>
  </r>
  <r>
    <s v="6041.1"/>
    <x v="1"/>
    <x v="4"/>
    <x v="0"/>
    <s v="20A"/>
    <s v="Whole Plate"/>
    <s v="Microcystis sp"/>
    <b v="1"/>
    <n v="10"/>
    <n v="11.25"/>
    <m/>
    <n v="4.5"/>
    <n v="3.2309357138999998E-4"/>
    <n v="4.5"/>
    <n v="3.2309357138999998E-4"/>
    <s v="Microcystis spp._x000a_"/>
  </r>
  <r>
    <s v="6041.2"/>
    <x v="1"/>
    <x v="4"/>
    <x v="0"/>
    <s v="20A"/>
    <s v="Whole Plate"/>
    <s v="Dolichospermum planctonicum "/>
    <b v="1"/>
    <n v="10"/>
    <n v="29.65"/>
    <n v="15"/>
    <n v="103.77500000000001"/>
    <n v="3.839675E-2"/>
    <n v="103.77500000000001"/>
    <n v="3.839675E-2"/>
    <m/>
  </r>
  <r>
    <s v="6041.3"/>
    <x v="1"/>
    <x v="4"/>
    <x v="0"/>
    <s v="20A"/>
    <s v="Whole Plate"/>
    <s v="Pseudanabaena sp."/>
    <b v="1"/>
    <n v="10"/>
    <n v="6"/>
    <m/>
    <n v="2.4"/>
    <n v="9.3599999999999998E-5"/>
    <n v="2.4"/>
    <n v="9.3599999999999998E-5"/>
    <m/>
  </r>
  <r>
    <s v="6041.4"/>
    <x v="1"/>
    <x v="4"/>
    <x v="0"/>
    <s v="20A"/>
    <s v="Whole Plate"/>
    <s v="Microcystis wesenbergii"/>
    <b v="1"/>
    <n v="10"/>
    <n v="30"/>
    <m/>
    <n v="27"/>
    <n v="5.13891E-3"/>
    <n v="27"/>
    <n v="5.13891E-3"/>
    <s v="Microcystis spp._x000a_"/>
  </r>
  <r>
    <s v="6041.5"/>
    <x v="1"/>
    <x v="4"/>
    <x v="0"/>
    <s v="20A"/>
    <s v="Whole Plate"/>
    <s v="Aphanocapsa sp"/>
    <b v="0"/>
    <n v="10"/>
    <n v="352"/>
    <m/>
    <n v="35.200000000000003"/>
    <n v="7.9200000000000001E-5"/>
    <n v="0"/>
    <n v="0"/>
    <m/>
  </r>
  <r>
    <s v="6050.1"/>
    <x v="1"/>
    <x v="5"/>
    <x v="0"/>
    <s v="20A"/>
    <s v="Whole Plate"/>
    <s v="Oscillatoria sp"/>
    <b v="1"/>
    <n v="10"/>
    <n v="128"/>
    <m/>
    <n v="12.8"/>
    <n v="3.4617599999999998E-2"/>
    <n v="12.8"/>
    <n v="3.4617599999999998E-2"/>
    <m/>
  </r>
  <r>
    <s v="6050.2"/>
    <x v="1"/>
    <x v="5"/>
    <x v="0"/>
    <s v="20A"/>
    <s v="Whole Plate"/>
    <s v="Dolichospermum planctonicum "/>
    <b v="1"/>
    <n v="10"/>
    <n v="18.571428571428601"/>
    <m/>
    <n v="13"/>
    <n v="4.81E-3"/>
    <n v="13"/>
    <n v="4.81E-3"/>
    <m/>
  </r>
  <r>
    <s v="6050.3"/>
    <x v="1"/>
    <x v="5"/>
    <x v="0"/>
    <s v="20A"/>
    <s v="Whole Plate"/>
    <s v="Microcystis wesenbergii"/>
    <b v="1"/>
    <n v="10"/>
    <n v="52"/>
    <m/>
    <n v="10.4"/>
    <n v="1.9794320000000002E-3"/>
    <n v="10.4"/>
    <n v="1.9794320000000002E-3"/>
    <s v="Microcystis spp._x000a_"/>
  </r>
  <r>
    <s v="6050.4"/>
    <x v="1"/>
    <x v="5"/>
    <x v="0"/>
    <s v="20A"/>
    <s v="Whole Plate"/>
    <s v="Woronichinia naegeliana"/>
    <b v="1"/>
    <n v="10"/>
    <n v="156"/>
    <m/>
    <n v="31.2"/>
    <n v="0"/>
    <n v="31.2"/>
    <n v="0"/>
    <m/>
  </r>
  <r>
    <s v="6050.5"/>
    <x v="1"/>
    <x v="5"/>
    <x v="0"/>
    <s v="20A"/>
    <s v="Whole Plate"/>
    <s v="Dolichospermum flos-aquae_x000a_"/>
    <b v="1"/>
    <n v="10"/>
    <n v="22"/>
    <m/>
    <n v="2.2000000000000002"/>
    <n v="1.2320000000000001E-4"/>
    <n v="2.2000000000000002"/>
    <n v="1.2320000000000001E-4"/>
    <m/>
  </r>
  <r>
    <s v="6050.6"/>
    <x v="1"/>
    <x v="5"/>
    <x v="0"/>
    <s v="20A"/>
    <s v="Whole Plate"/>
    <s v="Pseudanabaena sp."/>
    <b v="1"/>
    <n v="10"/>
    <n v="8"/>
    <m/>
    <n v="0.8"/>
    <n v="3.1199999999999999E-5"/>
    <n v="0.8"/>
    <n v="3.1199999999999999E-5"/>
    <m/>
  </r>
  <r>
    <s v="6050.7"/>
    <x v="1"/>
    <x v="5"/>
    <x v="0"/>
    <s v="20A"/>
    <s v="Whole Plate"/>
    <s v="Aphanocapsa sp"/>
    <b v="0"/>
    <n v="10"/>
    <n v="245"/>
    <m/>
    <n v="24.5"/>
    <n v="5.5124999999999998E-5"/>
    <n v="0"/>
    <n v="0"/>
    <m/>
  </r>
  <r>
    <s v="6049.1"/>
    <x v="1"/>
    <x v="6"/>
    <x v="0"/>
    <s v="20A"/>
    <s v="Whole Plate"/>
    <s v="Dolichospermum smithii"/>
    <b v="1"/>
    <n v="10"/>
    <n v="13.3333333333333"/>
    <m/>
    <n v="4"/>
    <n v="1.732E-3"/>
    <n v="4"/>
    <n v="1.732E-3"/>
    <m/>
  </r>
  <r>
    <s v="6049.2"/>
    <x v="1"/>
    <x v="6"/>
    <x v="0"/>
    <s v="20A"/>
    <s v="Whole Plate"/>
    <s v="Oscillatoria sp"/>
    <b v="1"/>
    <n v="10"/>
    <n v="130"/>
    <m/>
    <n v="13"/>
    <n v="3.5158500000000002E-2"/>
    <n v="13"/>
    <n v="3.5158500000000002E-2"/>
    <m/>
  </r>
  <r>
    <s v="6049.3"/>
    <x v="1"/>
    <x v="6"/>
    <x v="0"/>
    <s v="20A"/>
    <s v="Whole Plate"/>
    <s v="Dolichospermum planctonicum "/>
    <b v="1"/>
    <n v="10"/>
    <n v="16.266666666666701"/>
    <m/>
    <n v="24.4"/>
    <n v="9.0279999999999996E-3"/>
    <n v="24.4"/>
    <n v="9.0279999999999996E-3"/>
    <m/>
  </r>
  <r>
    <s v="6049.4"/>
    <x v="1"/>
    <x v="6"/>
    <x v="0"/>
    <s v="20A"/>
    <s v="Whole Plate"/>
    <s v="Phormidium sp"/>
    <b v="1"/>
    <n v="10"/>
    <n v="36"/>
    <m/>
    <n v="3.6"/>
    <n v="3.3602399999999998E-4"/>
    <n v="3.6"/>
    <n v="3.3602399999999998E-4"/>
    <m/>
  </r>
  <r>
    <s v="6049.5"/>
    <x v="1"/>
    <x v="6"/>
    <x v="0"/>
    <s v="20A"/>
    <s v="Whole Plate"/>
    <s v="Microcystis wesenbergii"/>
    <b v="1"/>
    <n v="10"/>
    <n v="55.3333333333333"/>
    <m/>
    <n v="16.600000000000001"/>
    <n v="3.1594779999999999E-3"/>
    <n v="16.600000000000001"/>
    <n v="3.1594779999999999E-3"/>
    <s v="Microcystis spp._x000a_"/>
  </r>
  <r>
    <s v="6049.6"/>
    <x v="1"/>
    <x v="6"/>
    <x v="0"/>
    <s v="20A"/>
    <s v="Whole Plate"/>
    <s v="Dolichospermum lemmermannii"/>
    <b v="1"/>
    <n v="10"/>
    <n v="38"/>
    <m/>
    <n v="3.8"/>
    <n v="4.1800000000000002E-4"/>
    <n v="3.8"/>
    <n v="4.1800000000000002E-4"/>
    <m/>
  </r>
  <r>
    <s v="6049.7"/>
    <x v="1"/>
    <x v="6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6044.1"/>
    <x v="2"/>
    <x v="7"/>
    <x v="0"/>
    <s v="20A"/>
    <s v="Whole Plate"/>
    <s v="Dolichospermum planctonicum "/>
    <b v="1"/>
    <n v="10"/>
    <n v="20.399999999999999"/>
    <n v="43"/>
    <n v="128.52000000000001"/>
    <n v="4.7552400000000002E-2"/>
    <n v="128.52000000000001"/>
    <n v="4.7552400000000002E-2"/>
    <m/>
  </r>
  <r>
    <s v="6044.2"/>
    <x v="2"/>
    <x v="7"/>
    <x v="0"/>
    <s v="20A"/>
    <s v="Whole Plate"/>
    <s v="Pseudanabaena sp."/>
    <b v="1"/>
    <n v="10"/>
    <n v="8.5"/>
    <m/>
    <n v="1.7"/>
    <n v="6.6299999999999999E-5"/>
    <n v="1.7"/>
    <n v="6.6299999999999999E-5"/>
    <m/>
  </r>
  <r>
    <s v="6044.3"/>
    <x v="2"/>
    <x v="7"/>
    <x v="0"/>
    <s v="20A"/>
    <s v="Whole Plate"/>
    <s v="Microcystis wesenbergii"/>
    <b v="1"/>
    <n v="10"/>
    <n v="22.3333333333333"/>
    <m/>
    <n v="20.100000000000001"/>
    <n v="3.8256330000000002E-3"/>
    <n v="20.100000000000001"/>
    <n v="3.8256330000000002E-3"/>
    <s v="Microcystis spp._x000a_"/>
  </r>
  <r>
    <s v="6042.1"/>
    <x v="2"/>
    <x v="8"/>
    <x v="0"/>
    <s v="20A"/>
    <s v="160"/>
    <s v="Microcystis wesenbergii"/>
    <b v="1"/>
    <n v="10"/>
    <n v="29.1666666666667"/>
    <m/>
    <n v="549.77951388888903"/>
    <n v="0.104639534878472"/>
    <n v="549.77951388888903"/>
    <n v="0.104639534878472"/>
    <s v="Microcystis spp._x000a_"/>
  </r>
  <r>
    <s v="6042.2"/>
    <x v="2"/>
    <x v="8"/>
    <x v="0"/>
    <s v="20A"/>
    <s v="160"/>
    <s v="Dolichospermum planctonicum "/>
    <b v="1"/>
    <n v="10"/>
    <n v="17"/>
    <m/>
    <n v="427.25722222222203"/>
    <n v="0.15808517222222199"/>
    <n v="427.25722222222203"/>
    <n v="0.15808517222222199"/>
    <m/>
  </r>
  <r>
    <s v="6042.3"/>
    <x v="2"/>
    <x v="8"/>
    <x v="0"/>
    <s v="20A"/>
    <s v="160"/>
    <s v="Pseudanabaena sp."/>
    <b v="1"/>
    <n v="10"/>
    <n v="8.8333333333333304"/>
    <m/>
    <n v="166.50465277777801"/>
    <n v="6.4936814583333403E-3"/>
    <n v="166.50465277777801"/>
    <n v="6.4936814583333403E-3"/>
    <m/>
  </r>
  <r>
    <s v="6042.4"/>
    <x v="2"/>
    <x v="8"/>
    <x v="0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6045.1"/>
    <x v="2"/>
    <x v="9"/>
    <x v="0"/>
    <s v="20A"/>
    <s v="Whole Plate"/>
    <s v="Microcystis wesenbergii"/>
    <b v="1"/>
    <n v="10"/>
    <n v="18.8"/>
    <m/>
    <n v="9.4"/>
    <n v="1.7891020000000001E-3"/>
    <n v="9.4"/>
    <n v="1.7891020000000001E-3"/>
    <s v="Microcystis spp._x000a_"/>
  </r>
  <r>
    <s v="6045.2"/>
    <x v="2"/>
    <x v="9"/>
    <x v="0"/>
    <s v="20A"/>
    <s v="Whole Plate"/>
    <s v="Pseudanabaena sp."/>
    <b v="1"/>
    <n v="10"/>
    <n v="13.8"/>
    <m/>
    <n v="13.8"/>
    <n v="5.3819999999999996E-4"/>
    <n v="13.8"/>
    <n v="5.3819999999999996E-4"/>
    <m/>
  </r>
  <r>
    <s v="6045.3"/>
    <x v="2"/>
    <x v="9"/>
    <x v="0"/>
    <s v="20A"/>
    <s v="Whole Plate"/>
    <s v="Merismopedia sp"/>
    <b v="0"/>
    <n v="10"/>
    <n v="128"/>
    <m/>
    <n v="12.8"/>
    <n v="2.8160000000000001E-4"/>
    <n v="0"/>
    <n v="0"/>
    <m/>
  </r>
  <r>
    <s v="6045.4"/>
    <x v="2"/>
    <x v="9"/>
    <x v="0"/>
    <s v="20A"/>
    <s v="Whole Plate"/>
    <s v="Dolichospermum sp"/>
    <b v="1"/>
    <n v="10"/>
    <n v="34"/>
    <m/>
    <n v="3.4"/>
    <n v="6.4599999999999998E-4"/>
    <n v="3.4"/>
    <n v="6.4599999999999998E-4"/>
    <m/>
  </r>
  <r>
    <s v="6039.1"/>
    <x v="2"/>
    <x v="10"/>
    <x v="0"/>
    <s v="20A"/>
    <s v="160"/>
    <s v="Microcystis wesenbergii"/>
    <b v="1"/>
    <n v="10"/>
    <n v="22.714285714285701"/>
    <m/>
    <n v="499.51395833333299"/>
    <n v="9.5072491689583302E-2"/>
    <n v="499.51395833333299"/>
    <n v="9.5072491689583302E-2"/>
    <s v="Microcystis spp._x000a_"/>
  </r>
  <r>
    <s v="6039.2"/>
    <x v="2"/>
    <x v="10"/>
    <x v="0"/>
    <s v="20A"/>
    <s v="160"/>
    <s v="Dolichospermum planctonicum "/>
    <b v="1"/>
    <n v="10"/>
    <n v="21.4"/>
    <m/>
    <n v="672.30180555555501"/>
    <n v="0.24875166805555601"/>
    <n v="672.30180555555603"/>
    <n v="0.24875166805555601"/>
    <m/>
  </r>
  <r>
    <s v="6039.3"/>
    <x v="2"/>
    <x v="10"/>
    <x v="0"/>
    <s v="20A"/>
    <s v="160"/>
    <s v="Pseudanabaena sp."/>
    <b v="1"/>
    <n v="10"/>
    <n v="8.3333333333333304"/>
    <m/>
    <n v="78.5399305555555"/>
    <n v="3.0630572916666701E-3"/>
    <n v="78.5399305555556"/>
    <n v="3.0630572916666701E-3"/>
    <m/>
  </r>
  <r>
    <s v="6043.1"/>
    <x v="3"/>
    <x v="11"/>
    <x v="0"/>
    <s v="20A"/>
    <s v="160"/>
    <s v="Dolichospermum smithii"/>
    <b v="1"/>
    <n v="10"/>
    <n v="10"/>
    <m/>
    <n v="31.415972222222202"/>
    <n v="1.3603115972222199E-2"/>
    <n v="31.415972222222202"/>
    <n v="1.3603115972222199E-2"/>
    <m/>
  </r>
  <r>
    <s v="6043.2"/>
    <x v="3"/>
    <x v="11"/>
    <x v="0"/>
    <s v="20A"/>
    <s v="160"/>
    <s v="Dolichospermum circinale"/>
    <b v="1"/>
    <n v="10"/>
    <n v="13.55"/>
    <n v="24"/>
    <n v="1873.02026388889"/>
    <n v="1.078185384705"/>
    <n v="1873.02026388889"/>
    <n v="1.078185384705"/>
    <m/>
  </r>
  <r>
    <s v="6043.3"/>
    <x v="3"/>
    <x v="11"/>
    <x v="0"/>
    <s v="20A"/>
    <s v="160"/>
    <s v="Dolichospermum flos-aquae_x000a_"/>
    <b v="1"/>
    <n v="10"/>
    <n v="22"/>
    <m/>
    <n v="69.115138888888893"/>
    <n v="3.8704477777777801E-3"/>
    <n v="69.115138888888893"/>
    <n v="3.8704477777777801E-3"/>
    <m/>
  </r>
  <r>
    <s v="6043.4"/>
    <x v="3"/>
    <x v="11"/>
    <x v="0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6043.5"/>
    <x v="3"/>
    <x v="11"/>
    <x v="0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6043.6"/>
    <x v="3"/>
    <x v="11"/>
    <x v="0"/>
    <s v="20A"/>
    <s v="160"/>
    <s v="Oscillatoria sp"/>
    <b v="1"/>
    <n v="10"/>
    <n v="44"/>
    <m/>
    <n v="138.23027777777801"/>
    <n v="0.37384378625000098"/>
    <n v="138.23027777777801"/>
    <n v="0.37384378625000098"/>
    <m/>
  </r>
  <r>
    <s v="6043.7"/>
    <x v="3"/>
    <x v="11"/>
    <x v="0"/>
    <s v="20A"/>
    <s v="160"/>
    <s v="Woronichinia naegeliana"/>
    <b v="1"/>
    <n v="10"/>
    <n v="640"/>
    <m/>
    <n v="2010.62222222222"/>
    <n v="0"/>
    <n v="2010.62222222222"/>
    <n v="0"/>
    <m/>
  </r>
  <r>
    <s v="6030.1"/>
    <x v="0"/>
    <x v="0"/>
    <x v="1"/>
    <s v="20A"/>
    <s v="160"/>
    <s v="Microcystis sp"/>
    <b v="1"/>
    <n v="10"/>
    <n v="16.2"/>
    <n v="50"/>
    <n v="3562.57125"/>
    <n v="0.255787526331964"/>
    <n v="3562.57125"/>
    <n v="0.255787526331964"/>
    <s v="Microcystis spp._x000a_"/>
  </r>
  <r>
    <s v="6030.2"/>
    <x v="0"/>
    <x v="0"/>
    <x v="1"/>
    <s v="20A"/>
    <s v="160"/>
    <s v="Microcystis wesenbergii"/>
    <b v="1"/>
    <n v="10"/>
    <n v="180"/>
    <m/>
    <n v="565.48749999999995"/>
    <n v="0.10762923587500001"/>
    <n v="565.48749999999995"/>
    <n v="0.10762923587500001"/>
    <s v="Microcystis spp._x000a_"/>
  </r>
  <r>
    <s v="6030.3"/>
    <x v="0"/>
    <x v="0"/>
    <x v="1"/>
    <s v="20A"/>
    <s v="160"/>
    <s v="Pseudanabaena sp."/>
    <b v="1"/>
    <n v="10"/>
    <n v="5.5714285714285703"/>
    <m/>
    <n v="122.522291666667"/>
    <n v="4.7783693750000104E-3"/>
    <n v="122.522291666667"/>
    <n v="4.7783693750000104E-3"/>
    <m/>
  </r>
  <r>
    <s v="6030.4"/>
    <x v="0"/>
    <x v="0"/>
    <x v="1"/>
    <s v="20A"/>
    <s v="160"/>
    <s v="Dolichospermum sp"/>
    <b v="1"/>
    <n v="10"/>
    <n v="12"/>
    <m/>
    <n v="37.699166666666699"/>
    <n v="7.1628416666666703E-3"/>
    <n v="37.699166666666699"/>
    <n v="7.1628416666666703E-3"/>
    <m/>
  </r>
  <r>
    <s v="6033.1"/>
    <x v="0"/>
    <x v="1"/>
    <x v="1"/>
    <s v="20A"/>
    <s v="Whole Plate"/>
    <s v="Dolichospermum lemmermannii"/>
    <b v="1"/>
    <n v="10"/>
    <n v="21"/>
    <m/>
    <n v="4.2"/>
    <n v="4.6200000000000001E-4"/>
    <n v="4.2"/>
    <n v="4.6200000000000001E-4"/>
    <m/>
  </r>
  <r>
    <s v="6033.2"/>
    <x v="0"/>
    <x v="1"/>
    <x v="1"/>
    <s v="20A"/>
    <s v="Whole Plate"/>
    <s v="Microcystis sp"/>
    <b v="1"/>
    <n v="10"/>
    <n v="24.55"/>
    <n v="13"/>
    <n v="81.015000000000001"/>
    <n v="5.8167612635913E-3"/>
    <n v="81.015000000000001"/>
    <n v="5.8167612635913E-3"/>
    <s v="Microcystis spp._x000a_"/>
  </r>
  <r>
    <s v="6033.3"/>
    <x v="0"/>
    <x v="1"/>
    <x v="1"/>
    <s v="20A"/>
    <s v="Whole Plate"/>
    <s v="Microcystis wesenbergii"/>
    <b v="1"/>
    <n v="10"/>
    <n v="101.5"/>
    <m/>
    <n v="40.6"/>
    <n v="7.7273979999999999E-3"/>
    <n v="40.6"/>
    <n v="7.7273979999999999E-3"/>
    <s v="Microcystis spp._x000a_"/>
  </r>
  <r>
    <s v="6033.4"/>
    <x v="0"/>
    <x v="1"/>
    <x v="1"/>
    <s v="20A"/>
    <s v="Whole Plate"/>
    <s v="Pseudanabaena sp."/>
    <b v="1"/>
    <n v="10"/>
    <n v="17.5555555555556"/>
    <m/>
    <n v="15.8"/>
    <n v="6.1620000000000002E-4"/>
    <n v="15.8"/>
    <n v="6.1620000000000002E-4"/>
    <m/>
  </r>
  <r>
    <s v="6033.5"/>
    <x v="0"/>
    <x v="1"/>
    <x v="1"/>
    <s v="20A"/>
    <s v="Whole Plate"/>
    <s v="Oscillatoria sp"/>
    <b v="1"/>
    <n v="10"/>
    <n v="32"/>
    <m/>
    <n v="3.2"/>
    <n v="8.6543999999999996E-3"/>
    <n v="3.2"/>
    <n v="8.6543999999999996E-3"/>
    <m/>
  </r>
  <r>
    <s v="6033.6"/>
    <x v="0"/>
    <x v="1"/>
    <x v="1"/>
    <s v="20A"/>
    <s v="Whole Plate"/>
    <s v="Dolichospermum planctonicum "/>
    <b v="1"/>
    <n v="10"/>
    <n v="5"/>
    <m/>
    <n v="0.5"/>
    <n v="1.85E-4"/>
    <n v="0.5"/>
    <n v="1.85E-4"/>
    <m/>
  </r>
  <r>
    <s v="6033.7"/>
    <x v="0"/>
    <x v="1"/>
    <x v="1"/>
    <s v="20A"/>
    <s v="Whole Plate"/>
    <s v="Coelosphaerium kuetzingianum"/>
    <b v="0"/>
    <n v="10"/>
    <n v="32"/>
    <m/>
    <n v="3.2"/>
    <n v="2.8447999999999999E-5"/>
    <n v="0"/>
    <n v="0"/>
    <m/>
  </r>
  <r>
    <s v="6038.1"/>
    <x v="1"/>
    <x v="2"/>
    <x v="1"/>
    <s v="20A"/>
    <s v="Whole Plate"/>
    <s v="Microcystis wesenbergii"/>
    <b v="1"/>
    <n v="10"/>
    <n v="32.5555555555556"/>
    <m/>
    <n v="29.3"/>
    <n v="5.5766690000000002E-3"/>
    <n v="29.3"/>
    <n v="5.5766690000000002E-3"/>
    <s v="Microcystis spp._x000a_"/>
  </r>
  <r>
    <s v="6035.1"/>
    <x v="1"/>
    <x v="3"/>
    <x v="1"/>
    <s v="20A"/>
    <s v="Whole Plate"/>
    <s v="Oscillatoria sp"/>
    <b v="1"/>
    <n v="10"/>
    <n v="130.46666666666701"/>
    <m/>
    <n v="195.7"/>
    <n v="0.52927064999999995"/>
    <n v="195.7"/>
    <n v="0.52927064999999995"/>
    <m/>
  </r>
  <r>
    <s v="6035.2"/>
    <x v="1"/>
    <x v="3"/>
    <x v="1"/>
    <s v="20A"/>
    <s v="Whole Plate"/>
    <s v="Oscillatoria sp"/>
    <b v="1"/>
    <n v="10"/>
    <n v="130.46666666666701"/>
    <m/>
    <n v="195.7"/>
    <n v="0.52927064999999995"/>
    <n v="195.7"/>
    <n v="0.52927064999999995"/>
    <m/>
  </r>
  <r>
    <s v="6035.3"/>
    <x v="1"/>
    <x v="3"/>
    <x v="1"/>
    <s v="20A"/>
    <s v="Whole Plate"/>
    <s v="Dolichospermum lemmermannii"/>
    <b v="1"/>
    <n v="10"/>
    <n v="19.3333333333333"/>
    <m/>
    <n v="5.8"/>
    <n v="6.38E-4"/>
    <n v="5.8"/>
    <n v="6.38E-4"/>
    <m/>
  </r>
  <r>
    <s v="6035.4"/>
    <x v="1"/>
    <x v="3"/>
    <x v="1"/>
    <s v="20A"/>
    <s v="Whole Plate"/>
    <s v="Microcystis wesenbergii"/>
    <b v="1"/>
    <n v="10"/>
    <n v="45.857142857142897"/>
    <m/>
    <n v="32.1"/>
    <n v="6.109593E-3"/>
    <n v="32.1"/>
    <n v="6.109593E-3"/>
    <s v="Microcystis spp._x000a_"/>
  </r>
  <r>
    <s v="6035.5"/>
    <x v="1"/>
    <x v="3"/>
    <x v="1"/>
    <s v="20A"/>
    <s v="Whole Plate"/>
    <s v="Aphanocapsa sp"/>
    <b v="0"/>
    <n v="10"/>
    <n v="560"/>
    <m/>
    <n v="56"/>
    <n v="1.26E-4"/>
    <n v="0"/>
    <n v="0"/>
    <m/>
  </r>
  <r>
    <s v="6035.6"/>
    <x v="1"/>
    <x v="3"/>
    <x v="1"/>
    <s v="20A"/>
    <s v="Whole Plate"/>
    <s v="Microcystis sp"/>
    <b v="1"/>
    <n v="10"/>
    <n v="18"/>
    <m/>
    <n v="1.8"/>
    <n v="1.29237428556E-4"/>
    <n v="1.8"/>
    <n v="1.29237428556E-4"/>
    <s v="Microcystis spp._x000a_"/>
  </r>
  <r>
    <s v="6031.1"/>
    <x v="1"/>
    <x v="4"/>
    <x v="1"/>
    <s v="20A"/>
    <s v="Whole Plate"/>
    <s v="Dolichospermum planctonicum "/>
    <b v="1"/>
    <n v="10"/>
    <n v="24.7"/>
    <m/>
    <n v="49.4"/>
    <n v="1.8277999999999999E-2"/>
    <n v="49.4"/>
    <n v="1.8277999999999999E-2"/>
    <m/>
  </r>
  <r>
    <s v="6031.2"/>
    <x v="1"/>
    <x v="4"/>
    <x v="1"/>
    <s v="20A"/>
    <s v="Whole Plate"/>
    <s v="Microcystis wesenbergii"/>
    <b v="1"/>
    <n v="10"/>
    <n v="32.818181818181799"/>
    <m/>
    <n v="36.1"/>
    <n v="6.8709130000000002E-3"/>
    <n v="36.1"/>
    <n v="6.8709130000000002E-3"/>
    <s v="Microcystis spp._x000a_"/>
  </r>
  <r>
    <s v="6031.3"/>
    <x v="1"/>
    <x v="4"/>
    <x v="1"/>
    <s v="20A"/>
    <s v="Whole Plate"/>
    <s v="Oscillatoria sp"/>
    <b v="1"/>
    <n v="10"/>
    <n v="252"/>
    <m/>
    <n v="25.2"/>
    <n v="6.8153400000000003E-2"/>
    <n v="25.2"/>
    <n v="6.8153400000000003E-2"/>
    <m/>
  </r>
  <r>
    <s v="6036.1"/>
    <x v="1"/>
    <x v="5"/>
    <x v="1"/>
    <s v="20A"/>
    <s v="Whole Plate"/>
    <s v="Dolichospermum planctonicum "/>
    <b v="1"/>
    <n v="10"/>
    <n v="7.5"/>
    <m/>
    <n v="1.5"/>
    <n v="5.5500000000000005E-4"/>
    <n v="1.5"/>
    <n v="5.5500000000000005E-4"/>
    <m/>
  </r>
  <r>
    <s v="6036.2"/>
    <x v="1"/>
    <x v="5"/>
    <x v="1"/>
    <s v="20A"/>
    <s v="Whole Plate"/>
    <s v="Microcystis wesenbergii"/>
    <b v="1"/>
    <n v="10"/>
    <n v="39"/>
    <m/>
    <n v="7.8"/>
    <n v="1.484574E-3"/>
    <n v="7.8"/>
    <n v="1.484574E-3"/>
    <s v="Microcystis spp._x000a_"/>
  </r>
  <r>
    <s v="6037.1"/>
    <x v="1"/>
    <x v="6"/>
    <x v="1"/>
    <s v="20A"/>
    <s v="Whole Plate"/>
    <s v="Microcystis wesenbergii"/>
    <b v="1"/>
    <n v="10"/>
    <n v="23.428571428571399"/>
    <m/>
    <n v="16.399999999999999"/>
    <n v="3.1214120000000001E-3"/>
    <n v="16.399999999999999"/>
    <n v="3.1214120000000001E-3"/>
    <s v="Microcystis spp._x000a_"/>
  </r>
  <r>
    <s v="6037.2"/>
    <x v="1"/>
    <x v="6"/>
    <x v="1"/>
    <s v="20A"/>
    <s v="Whole Plate"/>
    <s v="Dolichospermum planctonicum "/>
    <b v="1"/>
    <n v="10"/>
    <n v="12"/>
    <m/>
    <n v="1.2"/>
    <n v="4.44E-4"/>
    <n v="1.2"/>
    <n v="4.44E-4"/>
    <m/>
  </r>
  <r>
    <s v="6037.3"/>
    <x v="1"/>
    <x v="6"/>
    <x v="1"/>
    <s v="20A"/>
    <s v="Whole Plate"/>
    <s v="Pseudanabaena sp."/>
    <b v="1"/>
    <n v="10"/>
    <n v="22"/>
    <m/>
    <n v="2.2000000000000002"/>
    <n v="8.5799999999999998E-5"/>
    <n v="2.2000000000000002"/>
    <n v="8.5799999999999998E-5"/>
    <m/>
  </r>
  <r>
    <s v="6032.1"/>
    <x v="2"/>
    <x v="7"/>
    <x v="1"/>
    <s v="20A"/>
    <s v="Whole Plate"/>
    <s v="Dolichospermum planctonicum "/>
    <b v="1"/>
    <n v="10"/>
    <n v="25.55"/>
    <n v="5"/>
    <n v="63.875"/>
    <n v="2.3633749999999999E-2"/>
    <n v="63.875"/>
    <n v="2.3633749999999999E-2"/>
    <m/>
  </r>
  <r>
    <s v="6032.2"/>
    <x v="2"/>
    <x v="7"/>
    <x v="1"/>
    <s v="20A"/>
    <s v="Whole Plate"/>
    <s v="Pseudanabaena sp."/>
    <b v="1"/>
    <n v="10"/>
    <n v="14"/>
    <m/>
    <n v="1.4"/>
    <n v="5.4599999999999999E-5"/>
    <n v="1.4"/>
    <n v="5.4599999999999999E-5"/>
    <m/>
  </r>
  <r>
    <s v="6032.3"/>
    <x v="2"/>
    <x v="7"/>
    <x v="1"/>
    <s v="20A"/>
    <s v="Whole Plate"/>
    <s v="Microcystis wesenbergii"/>
    <b v="1"/>
    <n v="10"/>
    <n v="42.4"/>
    <m/>
    <n v="21.2"/>
    <n v="4.0349959999999999E-3"/>
    <n v="21.2"/>
    <n v="4.0349959999999999E-3"/>
    <s v="Microcystis spp._x000a_"/>
  </r>
  <r>
    <s v="6028.1"/>
    <x v="2"/>
    <x v="8"/>
    <x v="1"/>
    <s v="20A"/>
    <s v="Whole Plate"/>
    <s v="Dolichospermum planctonicum "/>
    <b v="1"/>
    <n v="10"/>
    <n v="20.7"/>
    <n v="43"/>
    <n v="130.41"/>
    <n v="4.8251700000000002E-2"/>
    <n v="130.41"/>
    <n v="4.8251700000000002E-2"/>
    <m/>
  </r>
  <r>
    <s v="6028.2"/>
    <x v="2"/>
    <x v="8"/>
    <x v="1"/>
    <s v="20A"/>
    <s v="Whole Plate"/>
    <s v="Microcystis wesenbergii"/>
    <b v="1"/>
    <n v="10"/>
    <n v="35.9"/>
    <n v="7"/>
    <n v="96.93"/>
    <n v="1.84486869E-2"/>
    <n v="96.93"/>
    <n v="1.84486869E-2"/>
    <s v="Microcystis spp._x000a_"/>
  </r>
  <r>
    <s v="6028.3"/>
    <x v="2"/>
    <x v="8"/>
    <x v="1"/>
    <s v="20A"/>
    <s v="Whole Plate"/>
    <s v="Pseudanabaena sp."/>
    <b v="1"/>
    <n v="10"/>
    <n v="6.1428571428571397"/>
    <m/>
    <n v="4.3"/>
    <n v="1.6770000000000001E-4"/>
    <n v="4.3"/>
    <n v="1.6770000000000001E-4"/>
    <m/>
  </r>
  <r>
    <s v="6029.1"/>
    <x v="2"/>
    <x v="9"/>
    <x v="1"/>
    <s v="20A"/>
    <s v="Whole Plate"/>
    <s v="Microcystis wesenbergii"/>
    <b v="1"/>
    <n v="10"/>
    <n v="18.95"/>
    <n v="9"/>
    <n v="54.954999999999998"/>
    <n v="1.0459585150000001E-2"/>
    <n v="54.954999999999998"/>
    <n v="1.0459585150000001E-2"/>
    <s v="Microcystis spp._x000a_"/>
  </r>
  <r>
    <s v="6029.2"/>
    <x v="2"/>
    <x v="9"/>
    <x v="1"/>
    <s v="20A"/>
    <s v="Whole Plate"/>
    <s v="Dolichospermum planctonicum "/>
    <b v="1"/>
    <n v="10"/>
    <n v="28.05"/>
    <n v="19"/>
    <n v="109.395"/>
    <n v="4.0476150000000002E-2"/>
    <n v="109.395"/>
    <n v="4.0476150000000002E-2"/>
    <m/>
  </r>
  <r>
    <s v="6029.3"/>
    <x v="2"/>
    <x v="9"/>
    <x v="1"/>
    <s v="20A"/>
    <s v="Whole Plate"/>
    <s v="Pseudanabaena sp."/>
    <b v="1"/>
    <n v="10"/>
    <n v="5.8"/>
    <m/>
    <n v="2.9"/>
    <n v="1.131E-4"/>
    <n v="2.9"/>
    <n v="1.131E-4"/>
    <m/>
  </r>
  <r>
    <s v="6027.1"/>
    <x v="2"/>
    <x v="10"/>
    <x v="1"/>
    <s v="20A"/>
    <s v="Whole Plate"/>
    <s v="Dolichospermum planctonicum "/>
    <b v="1"/>
    <n v="10"/>
    <n v="33.4"/>
    <n v="3"/>
    <n v="76.819999999999993"/>
    <n v="2.8423400000000001E-2"/>
    <n v="76.819999999999993"/>
    <n v="2.8423400000000001E-2"/>
    <m/>
  </r>
  <r>
    <s v="6027.2"/>
    <x v="2"/>
    <x v="10"/>
    <x v="1"/>
    <s v="20A"/>
    <s v="Whole Plate"/>
    <s v="Microcystis wesenbergii"/>
    <b v="1"/>
    <n v="10"/>
    <n v="36.470588235294102"/>
    <m/>
    <n v="62"/>
    <n v="1.180046E-2"/>
    <n v="62"/>
    <n v="1.180046E-2"/>
    <s v="Microcystis spp._x000a_"/>
  </r>
  <r>
    <s v="6027.3"/>
    <x v="2"/>
    <x v="10"/>
    <x v="1"/>
    <s v="20A"/>
    <s v="Whole Plate"/>
    <s v="Pseudanabaena sp."/>
    <b v="1"/>
    <n v="10"/>
    <n v="5.4"/>
    <m/>
    <n v="2.7"/>
    <n v="1.053E-4"/>
    <n v="2.7"/>
    <n v="1.053E-4"/>
    <m/>
  </r>
  <r>
    <s v="6034.1"/>
    <x v="3"/>
    <x v="11"/>
    <x v="1"/>
    <s v="20A"/>
    <s v="160"/>
    <s v="Dolichospermum circinale"/>
    <b v="1"/>
    <n v="10"/>
    <n v="12.55"/>
    <n v="3"/>
    <n v="906.82203819444396"/>
    <n v="0.52200303806625004"/>
    <n v="906.82203819444396"/>
    <n v="0.52200303806625004"/>
    <m/>
  </r>
  <r>
    <s v="6034.2"/>
    <x v="3"/>
    <x v="11"/>
    <x v="1"/>
    <s v="20A"/>
    <s v="160"/>
    <s v="Woronichinia naegeliana"/>
    <b v="1"/>
    <n v="10"/>
    <n v="240"/>
    <m/>
    <n v="753.98333333333301"/>
    <n v="0"/>
    <n v="753.98333333333301"/>
    <n v="0"/>
    <m/>
  </r>
  <r>
    <s v="6034.3"/>
    <x v="3"/>
    <x v="11"/>
    <x v="1"/>
    <s v="20A"/>
    <s v="160"/>
    <s v="Microcystis sp"/>
    <b v="1"/>
    <n v="10"/>
    <n v="14"/>
    <m/>
    <n v="43.982361111111103"/>
    <n v="3.1578706954563402E-3"/>
    <n v="43.982361111111103"/>
    <n v="3.1578706954563402E-3"/>
    <s v="Microcystis spp._x000a_"/>
  </r>
  <r>
    <s v="6019.1"/>
    <x v="0"/>
    <x v="0"/>
    <x v="2"/>
    <s v="20A"/>
    <s v="160"/>
    <s v="Microcystis sp"/>
    <b v="1"/>
    <n v="10"/>
    <n v="22.1"/>
    <n v="92"/>
    <n v="7776.0814444444404"/>
    <n v="0.55831153895668095"/>
    <n v="7776.0814444444404"/>
    <n v="0.55831153895668095"/>
    <s v="Microcystis spp._x000a_"/>
  </r>
  <r>
    <s v="6019.2"/>
    <x v="0"/>
    <x v="0"/>
    <x v="2"/>
    <s v="20A"/>
    <s v="160"/>
    <s v="Dolichospermum sp"/>
    <b v="1"/>
    <n v="10"/>
    <n v="17"/>
    <m/>
    <n v="160.221458333333"/>
    <n v="3.04420770833333E-2"/>
    <n v="160.221458333333"/>
    <n v="3.04420770833333E-2"/>
    <m/>
  </r>
  <r>
    <s v="6026.1"/>
    <x v="0"/>
    <x v="1"/>
    <x v="2"/>
    <s v="20A"/>
    <s v="Whole Plate"/>
    <s v="Oscillatoria sp"/>
    <b v="1"/>
    <n v="10"/>
    <n v="111.333333333333"/>
    <m/>
    <n v="33.4"/>
    <n v="9.0330300000000002E-2"/>
    <n v="33.4"/>
    <n v="9.0330300000000002E-2"/>
    <m/>
  </r>
  <r>
    <s v="6026.2"/>
    <x v="0"/>
    <x v="1"/>
    <x v="2"/>
    <s v="20A"/>
    <s v="Whole Plate"/>
    <s v="Microcystis sp"/>
    <b v="1"/>
    <n v="10"/>
    <n v="22.55"/>
    <n v="18"/>
    <n v="85.69"/>
    <n v="6.1524195849798E-3"/>
    <n v="85.69"/>
    <n v="6.1524195849798E-3"/>
    <s v="Microcystis spp._x000a_"/>
  </r>
  <r>
    <s v="6026.3"/>
    <x v="0"/>
    <x v="1"/>
    <x v="2"/>
    <s v="20A"/>
    <s v="Whole Plate"/>
    <s v="Dolichospermum lemmermannii"/>
    <b v="1"/>
    <n v="10"/>
    <n v="12.5"/>
    <m/>
    <n v="2.5"/>
    <n v="2.7500000000000002E-4"/>
    <n v="2.5"/>
    <n v="2.7500000000000002E-4"/>
    <m/>
  </r>
  <r>
    <s v="6026.4"/>
    <x v="0"/>
    <x v="1"/>
    <x v="2"/>
    <s v="20A"/>
    <s v="Whole Plate"/>
    <s v="Microcystis wesenbergii"/>
    <b v="1"/>
    <n v="10"/>
    <n v="59"/>
    <m/>
    <n v="11.8"/>
    <n v="2.245894E-3"/>
    <n v="11.8"/>
    <n v="2.245894E-3"/>
    <s v="Microcystis spp._x000a_"/>
  </r>
  <r>
    <s v="6026.5"/>
    <x v="0"/>
    <x v="1"/>
    <x v="2"/>
    <s v="20A"/>
    <s v="Whole Plate"/>
    <s v="Dolichospermum sp"/>
    <b v="1"/>
    <n v="10"/>
    <n v="11"/>
    <m/>
    <n v="2.2000000000000002"/>
    <n v="4.1800000000000002E-4"/>
    <n v="2.2000000000000002"/>
    <n v="4.1800000000000002E-4"/>
    <m/>
  </r>
  <r>
    <s v="6026.6"/>
    <x v="0"/>
    <x v="1"/>
    <x v="2"/>
    <s v="20A"/>
    <s v="Whole Plate"/>
    <s v="Pseudanabaena sp."/>
    <b v="1"/>
    <n v="10"/>
    <n v="14"/>
    <m/>
    <n v="2.8"/>
    <n v="1.092E-4"/>
    <n v="2.8"/>
    <n v="1.092E-4"/>
    <m/>
  </r>
  <r>
    <s v="6026.7"/>
    <x v="0"/>
    <x v="1"/>
    <x v="2"/>
    <s v="20A"/>
    <s v="Whole Plate"/>
    <s v="Dolichospermum planctonicum "/>
    <b v="1"/>
    <n v="10"/>
    <n v="12"/>
    <m/>
    <n v="1.2"/>
    <n v="4.44E-4"/>
    <n v="1.2"/>
    <n v="4.44E-4"/>
    <m/>
  </r>
  <r>
    <s v="6023.1"/>
    <x v="1"/>
    <x v="2"/>
    <x v="2"/>
    <s v="20A"/>
    <s v="Whole Plate"/>
    <s v="Microcystis wesenbergii"/>
    <b v="1"/>
    <n v="10"/>
    <n v="37.85"/>
    <n v="27"/>
    <n v="177.89500000000001"/>
    <n v="3.3858755349999999E-2"/>
    <n v="177.89500000000001"/>
    <n v="3.3858755349999999E-2"/>
    <s v="Microcystis spp._x000a_"/>
  </r>
  <r>
    <s v="6023.2"/>
    <x v="1"/>
    <x v="2"/>
    <x v="2"/>
    <s v="20A"/>
    <s v="Whole Plate"/>
    <s v="Dolichospermum planctonicum "/>
    <b v="1"/>
    <n v="10"/>
    <n v="10.5"/>
    <m/>
    <n v="2.1"/>
    <n v="7.7700000000000002E-4"/>
    <n v="2.1"/>
    <n v="7.7700000000000002E-4"/>
    <m/>
  </r>
  <r>
    <s v="6023.3"/>
    <x v="1"/>
    <x v="2"/>
    <x v="2"/>
    <s v="20A"/>
    <s v="Whole Plate"/>
    <s v="Limnococcus limneticus_x000a_"/>
    <b v="0"/>
    <n v="10"/>
    <n v="25.6666666666667"/>
    <m/>
    <n v="15.4"/>
    <n v="6.9300000000000004E-3"/>
    <n v="0"/>
    <n v="0"/>
    <m/>
  </r>
  <r>
    <s v="6020.1"/>
    <x v="1"/>
    <x v="3"/>
    <x v="2"/>
    <s v="20A"/>
    <s v="Whole Plate"/>
    <s v="Oscillatoria sp"/>
    <b v="1"/>
    <n v="10"/>
    <n v="193.78571428571399"/>
    <m/>
    <n v="271.3"/>
    <n v="0.73373085000000005"/>
    <n v="271.3"/>
    <n v="0.73373085000000005"/>
    <m/>
  </r>
  <r>
    <s v="6020.2"/>
    <x v="1"/>
    <x v="3"/>
    <x v="2"/>
    <s v="20A"/>
    <s v="Whole Plate"/>
    <s v="Microcystis wesenbergii"/>
    <b v="1"/>
    <n v="10"/>
    <n v="33.714285714285701"/>
    <m/>
    <n v="23.6"/>
    <n v="4.491788E-3"/>
    <n v="23.6"/>
    <n v="4.491788E-3"/>
    <s v="Microcystis spp._x000a_"/>
  </r>
  <r>
    <s v="6020.3"/>
    <x v="1"/>
    <x v="3"/>
    <x v="2"/>
    <s v="20A"/>
    <s v="Whole Plate"/>
    <s v="Anabaena torulosa"/>
    <b v="1"/>
    <n v="10"/>
    <n v="8"/>
    <m/>
    <n v="0.8"/>
    <n v="1.7679999999999999E-4"/>
    <n v="0.8"/>
    <n v="1.7679999999999999E-4"/>
    <m/>
  </r>
  <r>
    <s v="6020.4"/>
    <x v="1"/>
    <x v="3"/>
    <x v="2"/>
    <s v="20A"/>
    <s v="Whole Plate"/>
    <s v="Geitlerinema sp"/>
    <b v="0"/>
    <n v="10"/>
    <n v="12"/>
    <m/>
    <n v="1.2"/>
    <n v="2.6400000000000001E-5"/>
    <n v="0"/>
    <n v="0"/>
    <m/>
  </r>
  <r>
    <s v="6020.5"/>
    <x v="1"/>
    <x v="3"/>
    <x v="2"/>
    <s v="20A"/>
    <s v="Whole Plate"/>
    <s v="Microcystis sp"/>
    <b v="1"/>
    <n v="10"/>
    <n v="12"/>
    <m/>
    <n v="1.2"/>
    <n v="8.6158285704000006E-5"/>
    <n v="1.2"/>
    <n v="8.6158285704000006E-5"/>
    <s v="Microcystis spp._x000a_"/>
  </r>
  <r>
    <s v="6020.6"/>
    <x v="1"/>
    <x v="3"/>
    <x v="2"/>
    <s v="20A"/>
    <s v="Whole Plate"/>
    <s v="Picocyanobacteria"/>
    <b v="1"/>
    <n v="10"/>
    <n v="361"/>
    <m/>
    <n v="72.2"/>
    <n v="3.7543999999999998E-5"/>
    <n v="72.2"/>
    <n v="3.7543999999999998E-5"/>
    <m/>
  </r>
  <r>
    <s v="6018.1"/>
    <x v="1"/>
    <x v="4"/>
    <x v="2"/>
    <s v="20A"/>
    <s v="160"/>
    <s v="Microcystis wesenbergii"/>
    <b v="1"/>
    <n v="10"/>
    <n v="36.700000000000003"/>
    <n v="5"/>
    <n v="2882.4154513888898"/>
    <n v="0.54861013286284699"/>
    <n v="2882.4154513888898"/>
    <n v="0.54861013286284699"/>
    <s v="Microcystis spp._x000a_"/>
  </r>
  <r>
    <s v="6018.2"/>
    <x v="1"/>
    <x v="4"/>
    <x v="2"/>
    <s v="20A"/>
    <s v="160"/>
    <s v="Dolichospermum planctonicum "/>
    <b v="1"/>
    <n v="10"/>
    <n v="58"/>
    <m/>
    <n v="182.21263888888899"/>
    <n v="6.7418676388888904E-2"/>
    <n v="182.21263888888899"/>
    <n v="6.7418676388888904E-2"/>
    <m/>
  </r>
  <r>
    <s v="6018.3"/>
    <x v="1"/>
    <x v="4"/>
    <x v="2"/>
    <s v="20A"/>
    <s v="160"/>
    <s v="Microcystis sp"/>
    <b v="1"/>
    <n v="10"/>
    <n v="11"/>
    <m/>
    <n v="69.115138888888893"/>
    <n v="4.9623682357171099E-3"/>
    <n v="69.115138888888893"/>
    <n v="4.9623682357171099E-3"/>
    <s v="Microcystis spp._x000a_"/>
  </r>
  <r>
    <s v="6018.4"/>
    <x v="1"/>
    <x v="4"/>
    <x v="2"/>
    <s v="20A"/>
    <s v="160"/>
    <s v="Pseudanabaena sp."/>
    <b v="1"/>
    <n v="10"/>
    <n v="4"/>
    <m/>
    <n v="25.1327777777778"/>
    <n v="9.8017833333333398E-4"/>
    <n v="25.1327777777778"/>
    <n v="9.8017833333333398E-4"/>
    <m/>
  </r>
  <r>
    <s v="6025.1"/>
    <x v="1"/>
    <x v="5"/>
    <x v="2"/>
    <s v="20A"/>
    <s v="Whole Plate"/>
    <s v="Microcystis wesenbergii"/>
    <b v="1"/>
    <n v="10"/>
    <n v="62.55"/>
    <n v="3"/>
    <n v="143.86500000000001"/>
    <n v="2.7381825450000001E-2"/>
    <n v="143.86500000000001"/>
    <n v="2.7381825450000001E-2"/>
    <s v="Microcystis spp._x000a_"/>
  </r>
  <r>
    <s v="6025.2"/>
    <x v="1"/>
    <x v="5"/>
    <x v="2"/>
    <s v="20A"/>
    <s v="Whole Plate"/>
    <s v="Limnococcus limneticus_x000a_"/>
    <b v="0"/>
    <n v="10"/>
    <n v="25.3333333333333"/>
    <m/>
    <n v="7.6"/>
    <n v="3.4199999999999999E-3"/>
    <n v="0"/>
    <n v="0"/>
    <m/>
  </r>
  <r>
    <s v="6025.3"/>
    <x v="1"/>
    <x v="5"/>
    <x v="2"/>
    <s v="20A"/>
    <s v="Whole Plate"/>
    <s v="Dolichospermum planctonicum "/>
    <b v="1"/>
    <n v="10"/>
    <n v="15"/>
    <m/>
    <n v="1.5"/>
    <n v="5.5500000000000005E-4"/>
    <n v="1.5"/>
    <n v="5.5500000000000005E-4"/>
    <m/>
  </r>
  <r>
    <s v="6022.1"/>
    <x v="1"/>
    <x v="6"/>
    <x v="2"/>
    <s v="20A"/>
    <s v="Whole Plate"/>
    <s v="Microcystis wesenbergii"/>
    <b v="1"/>
    <n v="10"/>
    <n v="51.15"/>
    <n v="9"/>
    <n v="148.33500000000001"/>
    <n v="2.823260055E-2"/>
    <n v="148.33500000000001"/>
    <n v="2.823260055E-2"/>
    <s v="Microcystis spp._x000a_"/>
  </r>
  <r>
    <s v="6022.2"/>
    <x v="1"/>
    <x v="6"/>
    <x v="2"/>
    <s v="20A"/>
    <s v="Whole Plate"/>
    <s v="Coelosphaerium cf natans"/>
    <b v="0"/>
    <n v="10"/>
    <n v="43"/>
    <m/>
    <n v="8.6"/>
    <n v="1.978E-5"/>
    <n v="0"/>
    <n v="0"/>
    <m/>
  </r>
  <r>
    <s v="6022.3"/>
    <x v="1"/>
    <x v="6"/>
    <x v="2"/>
    <s v="20A"/>
    <s v="Whole Plate"/>
    <s v="Pseudanabaena sp."/>
    <b v="1"/>
    <n v="10"/>
    <n v="10"/>
    <m/>
    <n v="1"/>
    <n v="3.8999999999999999E-5"/>
    <n v="1"/>
    <n v="3.8999999999999999E-5"/>
    <m/>
  </r>
  <r>
    <s v="6022.4"/>
    <x v="1"/>
    <x v="6"/>
    <x v="2"/>
    <s v="20A"/>
    <s v="Whole Plate"/>
    <s v="Aphanocapsa sp"/>
    <b v="0"/>
    <n v="10"/>
    <n v="42"/>
    <m/>
    <n v="4.2"/>
    <n v="9.4499999999999993E-6"/>
    <n v="0"/>
    <n v="0"/>
    <m/>
  </r>
  <r>
    <s v="6022.5"/>
    <x v="1"/>
    <x v="6"/>
    <x v="2"/>
    <s v="20A"/>
    <s v="Whole Plate"/>
    <s v="Dolichospermum sp"/>
    <b v="1"/>
    <n v="10"/>
    <n v="29"/>
    <m/>
    <n v="5.8"/>
    <n v="1.1019999999999999E-3"/>
    <n v="5.8"/>
    <n v="1.1019999999999999E-3"/>
    <m/>
  </r>
  <r>
    <s v="6022.6"/>
    <x v="1"/>
    <x v="6"/>
    <x v="2"/>
    <s v="20A"/>
    <s v="Whole Plate"/>
    <s v="Dolichospermum planctonicum "/>
    <b v="1"/>
    <n v="10"/>
    <n v="14"/>
    <m/>
    <n v="1.4"/>
    <n v="5.1800000000000001E-4"/>
    <n v="1.4"/>
    <n v="5.1800000000000001E-4"/>
    <m/>
  </r>
  <r>
    <s v="6021.1"/>
    <x v="2"/>
    <x v="7"/>
    <x v="2"/>
    <s v="20A"/>
    <s v="160"/>
    <s v="Dolichospermum planctonicum "/>
    <b v="1"/>
    <n v="10"/>
    <n v="22"/>
    <m/>
    <n v="207.34541666666701"/>
    <n v="7.6717804166666806E-2"/>
    <n v="207.34541666666701"/>
    <n v="7.6717804166666806E-2"/>
    <m/>
  </r>
  <r>
    <s v="6021.2"/>
    <x v="2"/>
    <x v="7"/>
    <x v="2"/>
    <s v="20A"/>
    <s v="160"/>
    <s v="Microcystis wesenbergii"/>
    <b v="1"/>
    <n v="10"/>
    <n v="36.4"/>
    <n v="2"/>
    <n v="2515.79105555555"/>
    <n v="0.47883051160389001"/>
    <n v="2515.79105555556"/>
    <n v="0.47883051160389001"/>
    <s v="Microcystis spp._x000a_"/>
  </r>
  <r>
    <s v="6021.3"/>
    <x v="2"/>
    <x v="7"/>
    <x v="2"/>
    <s v="20A"/>
    <s v="160"/>
    <s v="Pseudanabaena sp."/>
    <b v="1"/>
    <n v="10"/>
    <n v="3.25"/>
    <m/>
    <n v="40.840763888888901"/>
    <n v="1.59278979166667E-3"/>
    <n v="40.840763888888901"/>
    <n v="1.59278979166667E-3"/>
    <m/>
  </r>
  <r>
    <s v="6016.1"/>
    <x v="2"/>
    <x v="8"/>
    <x v="2"/>
    <s v="20A"/>
    <s v="160"/>
    <s v="Microcystis wesenbergii"/>
    <b v="1"/>
    <n v="10"/>
    <n v="43.5"/>
    <n v="5"/>
    <n v="3416.4869791666702"/>
    <n v="0.65025996674479203"/>
    <n v="3416.4869791666702"/>
    <n v="0.65025996674479203"/>
    <s v="Microcystis spp._x000a_"/>
  </r>
  <r>
    <s v="6016.2"/>
    <x v="2"/>
    <x v="8"/>
    <x v="2"/>
    <s v="20A"/>
    <s v="160"/>
    <s v="Dolichospermum planctonicum "/>
    <b v="1"/>
    <n v="10"/>
    <n v="16.5"/>
    <m/>
    <n v="207.34541666666701"/>
    <n v="7.6717804166666806E-2"/>
    <n v="207.34541666666701"/>
    <n v="7.6717804166666806E-2"/>
    <m/>
  </r>
  <r>
    <s v="6016.3"/>
    <x v="2"/>
    <x v="8"/>
    <x v="2"/>
    <s v="20A"/>
    <s v="160"/>
    <s v="Pseudanabaena sp."/>
    <b v="1"/>
    <n v="10"/>
    <n v="3.9090909090909101"/>
    <m/>
    <n v="135.08868055555601"/>
    <n v="5.2684585416666804E-3"/>
    <n v="135.08868055555601"/>
    <n v="5.2684585416666804E-3"/>
    <m/>
  </r>
  <r>
    <s v="6016.4"/>
    <x v="2"/>
    <x v="8"/>
    <x v="2"/>
    <s v="20A"/>
    <s v="160"/>
    <s v="Microcystis sp"/>
    <b v="1"/>
    <n v="10"/>
    <n v="39"/>
    <m/>
    <n v="245.04458333333301"/>
    <n v="1.7593851017542499E-2"/>
    <n v="245.04458333333301"/>
    <n v="1.7593851017542499E-2"/>
    <s v="Microcystis spp._x000a_"/>
  </r>
  <r>
    <s v="6017.1"/>
    <x v="2"/>
    <x v="9"/>
    <x v="2"/>
    <s v="20A"/>
    <s v="160"/>
    <s v="Microcystis wesenbergii"/>
    <b v="1"/>
    <n v="10"/>
    <n v="35.200000000000003"/>
    <n v="25"/>
    <n v="4976.29"/>
    <n v="0.94713727569999995"/>
    <n v="4976.29"/>
    <n v="0.94713727569999995"/>
    <s v="Microcystis spp._x000a_"/>
  </r>
  <r>
    <s v="6017.2"/>
    <x v="2"/>
    <x v="9"/>
    <x v="2"/>
    <s v="20A"/>
    <s v="160"/>
    <s v="Dolichospermum planctonicum "/>
    <b v="1"/>
    <n v="10"/>
    <n v="66"/>
    <m/>
    <n v="414.69083333333299"/>
    <n v="0.153435608333333"/>
    <n v="414.69083333333299"/>
    <n v="0.153435608333333"/>
    <m/>
  </r>
  <r>
    <s v="6017.3"/>
    <x v="2"/>
    <x v="9"/>
    <x v="2"/>
    <s v="20A"/>
    <s v="160"/>
    <s v="Pseudanabaena sp."/>
    <b v="1"/>
    <n v="10"/>
    <n v="3"/>
    <m/>
    <n v="56.548749999999998"/>
    <n v="2.2054012499999999E-3"/>
    <n v="56.548749999999998"/>
    <n v="2.2054012499999999E-3"/>
    <m/>
  </r>
  <r>
    <s v="6015.1"/>
    <x v="2"/>
    <x v="10"/>
    <x v="2"/>
    <s v="20A"/>
    <s v="160"/>
    <s v="Microcystis wesenbergii"/>
    <b v="1"/>
    <n v="10"/>
    <n v="42.85"/>
    <n v="14"/>
    <n v="4576.99299305556"/>
    <n v="0.87113907636826504"/>
    <n v="4576.99299305556"/>
    <n v="0.87113907636826504"/>
    <s v="Microcystis spp._x000a_"/>
  </r>
  <r>
    <s v="6015.2"/>
    <x v="2"/>
    <x v="10"/>
    <x v="2"/>
    <s v="20A"/>
    <s v="160"/>
    <s v="Dolichospermum planctonicum "/>
    <b v="1"/>
    <n v="10"/>
    <n v="28"/>
    <m/>
    <n v="263.89416666666699"/>
    <n v="9.7640841666666797E-2"/>
    <n v="263.89416666666699"/>
    <n v="9.7640841666666797E-2"/>
    <m/>
  </r>
  <r>
    <s v="6015.3"/>
    <x v="2"/>
    <x v="10"/>
    <x v="2"/>
    <s v="20A"/>
    <s v="160"/>
    <s v="Microcystis sp"/>
    <b v="1"/>
    <n v="10"/>
    <n v="16.3333333333333"/>
    <m/>
    <n v="153.938263888889"/>
    <n v="1.10525474340972E-2"/>
    <n v="153.938263888889"/>
    <n v="1.10525474340972E-2"/>
    <s v="Microcystis spp._x000a_"/>
  </r>
  <r>
    <s v="6015.4"/>
    <x v="2"/>
    <x v="10"/>
    <x v="2"/>
    <s v="20A"/>
    <s v="160"/>
    <s v="Pseudanabaena sp."/>
    <b v="1"/>
    <n v="10"/>
    <n v="3.2"/>
    <m/>
    <n v="50.265555555555601"/>
    <n v="1.9603566666666701E-3"/>
    <n v="50.265555555555601"/>
    <n v="1.9603566666666701E-3"/>
    <m/>
  </r>
  <r>
    <s v="6024.1"/>
    <x v="3"/>
    <x v="11"/>
    <x v="2"/>
    <s v="20A"/>
    <s v="160"/>
    <s v="Dolichospermum circinale"/>
    <b v="1"/>
    <n v="10"/>
    <n v="12.866666666666699"/>
    <m/>
    <n v="606.32826388888896"/>
    <n v="0.34902680182500001"/>
    <n v="606.32826388888896"/>
    <n v="0.34902680182500001"/>
    <m/>
  </r>
  <r>
    <s v="6024.2"/>
    <x v="3"/>
    <x v="11"/>
    <x v="2"/>
    <s v="20A"/>
    <s v="160"/>
    <s v="Woronichinia naegeliana"/>
    <b v="1"/>
    <n v="10"/>
    <n v="208"/>
    <m/>
    <n v="653.45222222222196"/>
    <n v="0"/>
    <n v="653.45222222222196"/>
    <n v="0"/>
    <m/>
  </r>
  <r>
    <s v="6024.3"/>
    <x v="3"/>
    <x v="11"/>
    <x v="2"/>
    <s v="20A"/>
    <s v="160"/>
    <s v="Dolichospermum planctonicum "/>
    <b v="1"/>
    <n v="10"/>
    <n v="8"/>
    <m/>
    <n v="25.1327777777778"/>
    <n v="9.2991277777777891E-3"/>
    <n v="25.1327777777778"/>
    <n v="9.2991277777777891E-3"/>
    <m/>
  </r>
  <r>
    <s v="6024.4"/>
    <x v="3"/>
    <x v="11"/>
    <x v="2"/>
    <s v="20A"/>
    <s v="160"/>
    <s v="Dolichospermum sp"/>
    <b v="1"/>
    <n v="10"/>
    <n v="15"/>
    <m/>
    <n v="47.123958333333299"/>
    <n v="8.9535520833333299E-3"/>
    <n v="47.123958333333299"/>
    <n v="8.9535520833333299E-3"/>
    <m/>
  </r>
  <r>
    <s v="6024.5"/>
    <x v="3"/>
    <x v="11"/>
    <x v="2"/>
    <s v="20A"/>
    <s v="160"/>
    <s v="Dolichospermum spiroides"/>
    <b v="1"/>
    <n v="10"/>
    <n v="18"/>
    <m/>
    <n v="56.548749999999998"/>
    <n v="1.4702675E-2"/>
    <n v="56.548749999999998"/>
    <n v="1.4702675E-2"/>
    <m/>
  </r>
  <r>
    <s v="6024.6"/>
    <x v="3"/>
    <x v="11"/>
    <x v="2"/>
    <s v="20A"/>
    <s v="160"/>
    <s v="Microcystis sp"/>
    <b v="1"/>
    <n v="10"/>
    <n v="24"/>
    <m/>
    <n v="150.79666666666699"/>
    <n v="1.0826985241564601E-2"/>
    <n v="150.79666666666699"/>
    <n v="1.0826985241564601E-2"/>
    <s v="Microcystis spp._x000a_"/>
  </r>
  <r>
    <s v="6024.7"/>
    <x v="3"/>
    <x v="11"/>
    <x v="2"/>
    <s v="20A"/>
    <s v="160"/>
    <s v="Dolichospermum lemmermannii"/>
    <b v="1"/>
    <n v="10"/>
    <n v="28"/>
    <m/>
    <n v="87.964722222222207"/>
    <n v="9.67611944444444E-3"/>
    <n v="87.964722222222207"/>
    <n v="9.67611944444444E-3"/>
    <m/>
  </r>
  <r>
    <s v="6007.1"/>
    <x v="0"/>
    <x v="0"/>
    <x v="3"/>
    <s v="20A"/>
    <s v="Whole Plate"/>
    <s v="Microcystis sp"/>
    <b v="1"/>
    <n v="10"/>
    <n v="25"/>
    <n v="83"/>
    <n v="257.5"/>
    <n v="1.8488132140649999E-2"/>
    <n v="257.5"/>
    <n v="1.8488132140649999E-2"/>
    <s v="Microcystis spp._x000a_"/>
  </r>
  <r>
    <s v="6007.2"/>
    <x v="0"/>
    <x v="0"/>
    <x v="3"/>
    <s v="20A"/>
    <s v="Whole Plate"/>
    <s v="Microcystis wesenbergii"/>
    <b v="1"/>
    <n v="10"/>
    <n v="74.5"/>
    <m/>
    <n v="14.9"/>
    <n v="2.8359169999999999E-3"/>
    <n v="14.9"/>
    <n v="2.8359169999999999E-3"/>
    <s v="Microcystis spp._x000a_"/>
  </r>
  <r>
    <s v="6007.3"/>
    <x v="0"/>
    <x v="0"/>
    <x v="3"/>
    <s v="20A"/>
    <s v="Whole Plate"/>
    <s v="Aphanocapsa sp"/>
    <b v="0"/>
    <n v="10"/>
    <n v="40.3333333333333"/>
    <m/>
    <n v="36.299999999999997"/>
    <n v="8.1675000000000007E-5"/>
    <n v="0"/>
    <n v="0"/>
    <m/>
  </r>
  <r>
    <s v="6007.4"/>
    <x v="0"/>
    <x v="0"/>
    <x v="3"/>
    <s v="20A"/>
    <s v="Whole Plate"/>
    <s v="Pseudanabaena sp."/>
    <b v="1"/>
    <n v="10"/>
    <n v="7.5"/>
    <m/>
    <n v="1.5"/>
    <n v="5.8499999999999999E-5"/>
    <n v="1.5"/>
    <n v="5.8499999999999999E-5"/>
    <m/>
  </r>
  <r>
    <s v="6007.5"/>
    <x v="0"/>
    <x v="0"/>
    <x v="3"/>
    <s v="20A"/>
    <s v="Whole Plate"/>
    <s v="Dolichospermum sp"/>
    <b v="1"/>
    <n v="10"/>
    <n v="12"/>
    <m/>
    <n v="1.2"/>
    <n v="2.2800000000000001E-4"/>
    <n v="1.2"/>
    <n v="2.2800000000000001E-4"/>
    <m/>
  </r>
  <r>
    <s v="6006.1"/>
    <x v="0"/>
    <x v="1"/>
    <x v="3"/>
    <s v="20A"/>
    <s v="Whole Plate"/>
    <s v="Microcystis sp"/>
    <b v="1"/>
    <n v="10"/>
    <n v="17.25"/>
    <n v="94"/>
    <n v="196.65"/>
    <n v="1.4119189069743E-2"/>
    <n v="196.65"/>
    <n v="1.4119189069743E-2"/>
    <s v="Microcystis spp._x000a_"/>
  </r>
  <r>
    <s v="6006.2"/>
    <x v="0"/>
    <x v="1"/>
    <x v="3"/>
    <s v="20A"/>
    <s v="Whole Plate"/>
    <s v="Dolichospermum sp"/>
    <b v="1"/>
    <n v="10"/>
    <n v="12.363636363636401"/>
    <m/>
    <n v="13.6"/>
    <n v="2.5839999999999999E-3"/>
    <n v="13.6"/>
    <n v="2.5839999999999999E-3"/>
    <m/>
  </r>
  <r>
    <s v="6006.3"/>
    <x v="0"/>
    <x v="1"/>
    <x v="3"/>
    <s v="20A"/>
    <s v="Whole Plate"/>
    <s v="Oscillatoria sp"/>
    <b v="1"/>
    <n v="10"/>
    <n v="37.200000000000003"/>
    <m/>
    <n v="18.600000000000001"/>
    <n v="5.03037E-2"/>
    <n v="18.600000000000001"/>
    <n v="5.03037E-2"/>
    <m/>
  </r>
  <r>
    <s v="6006.4"/>
    <x v="0"/>
    <x v="1"/>
    <x v="3"/>
    <s v="20A"/>
    <s v="Whole Plate"/>
    <s v="Pseudanabaena sp."/>
    <b v="1"/>
    <n v="10"/>
    <n v="8.6666666666666696"/>
    <m/>
    <n v="2.6"/>
    <n v="1.014E-4"/>
    <n v="2.6"/>
    <n v="1.014E-4"/>
    <m/>
  </r>
  <r>
    <s v="6006.5"/>
    <x v="0"/>
    <x v="1"/>
    <x v="3"/>
    <s v="20A"/>
    <s v="Whole Plate"/>
    <s v="Microcystis wesenbergii"/>
    <b v="1"/>
    <n v="10"/>
    <n v="38.5"/>
    <m/>
    <n v="7.7"/>
    <n v="1.4655409999999999E-3"/>
    <n v="7.7"/>
    <n v="1.4655409999999999E-3"/>
    <s v="Microcystis spp._x000a_"/>
  </r>
  <r>
    <s v="6006.6"/>
    <x v="0"/>
    <x v="1"/>
    <x v="3"/>
    <s v="20A"/>
    <s v="Whole Plate"/>
    <s v="Aphanocapsa sp"/>
    <b v="0"/>
    <n v="10"/>
    <n v="68"/>
    <m/>
    <n v="6.8"/>
    <n v="1.5299999999999999E-5"/>
    <n v="0"/>
    <n v="0"/>
    <m/>
  </r>
  <r>
    <s v="6006.7"/>
    <x v="0"/>
    <x v="1"/>
    <x v="3"/>
    <s v="20A"/>
    <s v="Whole Plate"/>
    <s v="Dolichospermum spiroides"/>
    <b v="1"/>
    <n v="10"/>
    <n v="15"/>
    <m/>
    <n v="1.5"/>
    <n v="3.8999999999999999E-4"/>
    <n v="1.5"/>
    <n v="3.8999999999999999E-4"/>
    <m/>
  </r>
  <r>
    <s v="6013.1"/>
    <x v="1"/>
    <x v="2"/>
    <x v="3"/>
    <s v="20A"/>
    <s v="Whole Plate"/>
    <s v="Dolichospermum planctonicum "/>
    <b v="1"/>
    <n v="10"/>
    <n v="12"/>
    <m/>
    <n v="3.6"/>
    <n v="1.3320000000000001E-3"/>
    <n v="3.6"/>
    <n v="1.3320000000000001E-3"/>
    <m/>
  </r>
  <r>
    <s v="6013.2"/>
    <x v="1"/>
    <x v="2"/>
    <x v="3"/>
    <s v="20A"/>
    <s v="Whole Plate"/>
    <s v="Microcystis wesenbergii"/>
    <b v="1"/>
    <n v="10"/>
    <n v="40.4444444444444"/>
    <m/>
    <n v="72.8"/>
    <n v="1.3856024E-2"/>
    <n v="72.8"/>
    <n v="1.3856024E-2"/>
    <s v="Microcystis spp._x000a_"/>
  </r>
  <r>
    <s v="6013.3"/>
    <x v="1"/>
    <x v="2"/>
    <x v="3"/>
    <s v="20A"/>
    <s v="Whole Plate"/>
    <s v="Pseudanabaena sp."/>
    <b v="1"/>
    <n v="10"/>
    <n v="3.5"/>
    <m/>
    <n v="0.7"/>
    <n v="2.73E-5"/>
    <n v="0.7"/>
    <n v="2.73E-5"/>
    <m/>
  </r>
  <r>
    <s v="6013.4"/>
    <x v="1"/>
    <x v="2"/>
    <x v="3"/>
    <s v="20A"/>
    <s v="Whole Plate"/>
    <s v="Limnococcus limneticus_x000a_"/>
    <b v="0"/>
    <n v="10"/>
    <n v="18"/>
    <m/>
    <n v="1.8"/>
    <n v="8.0999999999999996E-4"/>
    <n v="0"/>
    <n v="0"/>
    <m/>
  </r>
  <r>
    <s v="6008.1"/>
    <x v="1"/>
    <x v="3"/>
    <x v="3"/>
    <s v="20A"/>
    <s v="Whole Plate"/>
    <s v="Microcystis wesenbergii"/>
    <b v="1"/>
    <n v="10"/>
    <n v="34.549999999999997"/>
    <n v="3"/>
    <n v="79.465000000000003"/>
    <n v="1.512457345E-2"/>
    <n v="79.465000000000003"/>
    <n v="1.512457345E-2"/>
    <s v="Microcystis spp._x000a_"/>
  </r>
  <r>
    <s v="6008.2"/>
    <x v="1"/>
    <x v="3"/>
    <x v="3"/>
    <s v="20A"/>
    <s v="Whole Plate"/>
    <s v="Oscillatoria sp"/>
    <b v="1"/>
    <n v="10"/>
    <n v="236.15"/>
    <n v="4"/>
    <n v="566.76"/>
    <n v="1.5328024200000001"/>
    <n v="566.76"/>
    <n v="1.5328024200000001"/>
    <m/>
  </r>
  <r>
    <s v="6008.3"/>
    <x v="1"/>
    <x v="3"/>
    <x v="3"/>
    <s v="20A"/>
    <s v="Whole Plate"/>
    <s v="Dolichospermum lemmermannii"/>
    <b v="1"/>
    <n v="10"/>
    <n v="13.4285714285714"/>
    <m/>
    <n v="9.4"/>
    <n v="1.034E-3"/>
    <n v="9.4"/>
    <n v="1.034E-3"/>
    <m/>
  </r>
  <r>
    <s v="6008.4"/>
    <x v="1"/>
    <x v="3"/>
    <x v="3"/>
    <s v="20A"/>
    <s v="Whole Plate"/>
    <s v="Microcystis sp"/>
    <b v="1"/>
    <n v="10"/>
    <n v="22.3333333333333"/>
    <m/>
    <n v="6.7"/>
    <n v="4.8105042851400001E-4"/>
    <n v="6.7"/>
    <n v="4.8105042851400001E-4"/>
    <s v="Microcystis spp._x000a_"/>
  </r>
  <r>
    <s v="6008.5"/>
    <x v="1"/>
    <x v="3"/>
    <x v="3"/>
    <s v="20A"/>
    <s v="Whole Plate"/>
    <s v="Geitlerinema sp"/>
    <b v="0"/>
    <n v="10"/>
    <n v="34"/>
    <m/>
    <n v="3.4"/>
    <n v="7.4800000000000002E-5"/>
    <n v="0"/>
    <n v="0"/>
    <m/>
  </r>
  <r>
    <s v="6008.6"/>
    <x v="1"/>
    <x v="3"/>
    <x v="3"/>
    <s v="20A"/>
    <s v="Whole Plate"/>
    <s v="Aphanocapsa sp"/>
    <b v="0"/>
    <n v="10"/>
    <n v="28"/>
    <m/>
    <n v="2.8"/>
    <n v="6.2999999999999998E-6"/>
    <n v="0"/>
    <n v="0"/>
    <m/>
  </r>
  <r>
    <s v="6008.7"/>
    <x v="1"/>
    <x v="3"/>
    <x v="3"/>
    <s v="20A"/>
    <s v="Whole Plate"/>
    <s v="Dolichospermum circinale"/>
    <b v="1"/>
    <n v="10"/>
    <n v="15"/>
    <m/>
    <n v="3"/>
    <n v="1.7269200000000001E-3"/>
    <n v="3"/>
    <n v="1.7269200000000001E-3"/>
    <m/>
  </r>
  <r>
    <s v="6008.8"/>
    <x v="1"/>
    <x v="3"/>
    <x v="3"/>
    <s v="20A"/>
    <s v="Whole Plate"/>
    <s v="Pseudanabaena sp."/>
    <b v="1"/>
    <n v="10"/>
    <n v="16"/>
    <m/>
    <n v="1.6"/>
    <n v="6.2399999999999999E-5"/>
    <n v="1.6"/>
    <n v="6.2399999999999999E-5"/>
    <m/>
  </r>
  <r>
    <s v="6004.1"/>
    <x v="1"/>
    <x v="4"/>
    <x v="3"/>
    <s v="20A"/>
    <s v="160"/>
    <s v="Microcystis wesenbergii"/>
    <b v="1"/>
    <n v="10"/>
    <n v="44.9"/>
    <n v="5"/>
    <n v="3526.4428819444402"/>
    <n v="0.67118787372048505"/>
    <n v="3526.4428819444402"/>
    <n v="0.67118787372048505"/>
    <s v="Microcystis spp._x000a_"/>
  </r>
  <r>
    <s v="6004.2"/>
    <x v="1"/>
    <x v="4"/>
    <x v="3"/>
    <s v="20A"/>
    <s v="160"/>
    <s v="Microcystis sp"/>
    <b v="1"/>
    <n v="10"/>
    <n v="32"/>
    <m/>
    <n v="301.59333333333302"/>
    <n v="2.1653970483129201E-2"/>
    <n v="301.59333333333302"/>
    <n v="2.1653970483129201E-2"/>
    <s v="Microcystis spp._x000a_"/>
  </r>
  <r>
    <s v="6004.3"/>
    <x v="1"/>
    <x v="4"/>
    <x v="3"/>
    <s v="20A"/>
    <s v="160"/>
    <s v="Dolichospermum planctonicum "/>
    <b v="1"/>
    <n v="10"/>
    <n v="10"/>
    <m/>
    <n v="31.415972222222202"/>
    <n v="1.16239097222222E-2"/>
    <n v="31.415972222222202"/>
    <n v="1.16239097222222E-2"/>
    <m/>
  </r>
  <r>
    <s v="6004.4"/>
    <x v="1"/>
    <x v="4"/>
    <x v="3"/>
    <s v="20A"/>
    <s v="160"/>
    <s v="Pseudanabaena sp."/>
    <b v="1"/>
    <n v="10"/>
    <n v="2.5"/>
    <m/>
    <n v="15.707986111111101"/>
    <n v="6.1261145833333298E-4"/>
    <n v="15.707986111111101"/>
    <n v="6.1261145833333298E-4"/>
    <m/>
  </r>
  <r>
    <s v="6012.1"/>
    <x v="1"/>
    <x v="5"/>
    <x v="3"/>
    <s v="20A"/>
    <s v="Whole Plate"/>
    <s v="Microcystis wesenbergii"/>
    <b v="1"/>
    <n v="10"/>
    <n v="49.4"/>
    <m/>
    <n v="98.8"/>
    <n v="1.8804603999999999E-2"/>
    <n v="98.8"/>
    <n v="1.8804603999999999E-2"/>
    <s v="Microcystis spp._x000a_"/>
  </r>
  <r>
    <s v="6012.2"/>
    <x v="1"/>
    <x v="5"/>
    <x v="3"/>
    <s v="20A"/>
    <s v="Whole Plate"/>
    <s v="Oscillatoria sp"/>
    <b v="1"/>
    <n v="10"/>
    <n v="258"/>
    <m/>
    <n v="51.6"/>
    <n v="0.13955219999999999"/>
    <n v="51.6"/>
    <n v="0.13955219999999999"/>
    <m/>
  </r>
  <r>
    <s v="6012.3"/>
    <x v="1"/>
    <x v="5"/>
    <x v="3"/>
    <s v="20A"/>
    <s v="Whole Plate"/>
    <s v="Dolichospermum lemmermannii"/>
    <b v="1"/>
    <n v="10"/>
    <n v="48"/>
    <m/>
    <n v="4.8"/>
    <n v="5.2800000000000004E-4"/>
    <n v="4.8"/>
    <n v="5.2800000000000004E-4"/>
    <m/>
  </r>
  <r>
    <s v="6011.1"/>
    <x v="1"/>
    <x v="6"/>
    <x v="3"/>
    <s v="20A"/>
    <s v="Whole Plate"/>
    <s v="Dolichospermum planctonicum "/>
    <b v="1"/>
    <n v="10"/>
    <n v="13.8571428571429"/>
    <m/>
    <n v="9.6999999999999993"/>
    <n v="3.5890000000000002E-3"/>
    <n v="9.6999999999999993"/>
    <n v="3.5890000000000002E-3"/>
    <m/>
  </r>
  <r>
    <s v="6011.2"/>
    <x v="1"/>
    <x v="6"/>
    <x v="3"/>
    <s v="20A"/>
    <s v="Whole Plate"/>
    <s v="Microcystis wesenbergii"/>
    <b v="1"/>
    <n v="10"/>
    <n v="43.75"/>
    <n v="30"/>
    <n v="218.75"/>
    <n v="4.1634687500000003E-2"/>
    <n v="218.75"/>
    <n v="4.1634687500000003E-2"/>
    <s v="Microcystis spp._x000a_"/>
  </r>
  <r>
    <s v="6011.3"/>
    <x v="1"/>
    <x v="6"/>
    <x v="3"/>
    <s v="20A"/>
    <s v="Whole Plate"/>
    <s v="Dolichospermum lemmermannii"/>
    <b v="1"/>
    <n v="10"/>
    <n v="34.5"/>
    <m/>
    <n v="6.9"/>
    <n v="7.5900000000000002E-4"/>
    <n v="6.9"/>
    <n v="7.5900000000000002E-4"/>
    <m/>
  </r>
  <r>
    <s v="6011.4"/>
    <x v="1"/>
    <x v="6"/>
    <x v="3"/>
    <s v="20A"/>
    <s v="Whole Plate"/>
    <s v="Dolichospermum circinale"/>
    <b v="1"/>
    <n v="10"/>
    <n v="13"/>
    <m/>
    <n v="2.6"/>
    <n v="1.496664E-3"/>
    <n v="2.6"/>
    <n v="1.496664E-3"/>
    <m/>
  </r>
  <r>
    <s v="6011.5"/>
    <x v="1"/>
    <x v="6"/>
    <x v="3"/>
    <s v="20A"/>
    <s v="Whole Plate"/>
    <s v="Pseudanabaena sp."/>
    <b v="1"/>
    <n v="10"/>
    <n v="4"/>
    <m/>
    <n v="0.4"/>
    <n v="1.56E-5"/>
    <n v="0.4"/>
    <n v="1.56E-5"/>
    <m/>
  </r>
  <r>
    <s v="6011.6"/>
    <x v="1"/>
    <x v="6"/>
    <x v="3"/>
    <s v="20A"/>
    <s v="Whole Plate"/>
    <s v="Oscillatoria sp"/>
    <b v="1"/>
    <n v="10"/>
    <n v="35.5"/>
    <m/>
    <n v="7.1"/>
    <n v="1.9201949999999999E-2"/>
    <n v="7.1"/>
    <n v="1.9201949999999999E-2"/>
    <m/>
  </r>
  <r>
    <s v="6011.7"/>
    <x v="1"/>
    <x v="6"/>
    <x v="3"/>
    <s v="20A"/>
    <s v="Whole Plate"/>
    <s v="Anabaena torulosa"/>
    <b v="1"/>
    <n v="10"/>
    <n v="18.5"/>
    <m/>
    <n v="3.7"/>
    <n v="8.1769999999999998E-4"/>
    <n v="3.7"/>
    <n v="8.1769999999999998E-4"/>
    <m/>
  </r>
  <r>
    <s v="6010.1"/>
    <x v="2"/>
    <x v="7"/>
    <x v="3"/>
    <s v="20A"/>
    <s v="160"/>
    <s v="Microcystis wesenbergii"/>
    <b v="1"/>
    <n v="10"/>
    <n v="41.142857142857103"/>
    <m/>
    <n v="1809.56"/>
    <n v="0.34441355480000002"/>
    <n v="1809.56"/>
    <n v="0.34441355480000002"/>
    <s v="Microcystis spp._x000a_"/>
  </r>
  <r>
    <s v="6010.2"/>
    <x v="2"/>
    <x v="7"/>
    <x v="3"/>
    <s v="20A"/>
    <s v="160"/>
    <s v="Pseudanabaena sp."/>
    <b v="1"/>
    <n v="10"/>
    <n v="12"/>
    <m/>
    <n v="37.699166666666699"/>
    <n v="1.4702675000000001E-3"/>
    <n v="37.699166666666699"/>
    <n v="1.4702675000000001E-3"/>
    <m/>
  </r>
  <r>
    <s v="6005.1"/>
    <x v="2"/>
    <x v="8"/>
    <x v="3"/>
    <s v="20A"/>
    <s v="160"/>
    <s v="Microcystis wesenbergii"/>
    <b v="1"/>
    <n v="10"/>
    <n v="49.65"/>
    <n v="92"/>
    <n v="17469.7938333333"/>
    <n v="3.32502586029833"/>
    <n v="17469.7938333333"/>
    <n v="3.32502586029833"/>
    <s v="Microcystis spp._x000a_"/>
  </r>
  <r>
    <s v="6005.2"/>
    <x v="2"/>
    <x v="8"/>
    <x v="3"/>
    <s v="20A"/>
    <s v="160"/>
    <s v="Microcystis sp"/>
    <b v="1"/>
    <n v="10"/>
    <n v="22.75"/>
    <m/>
    <n v="285.88534722222198"/>
    <n v="2.05261595204662E-2"/>
    <n v="285.88534722222198"/>
    <n v="2.05261595204662E-2"/>
    <s v="Microcystis spp._x000a_"/>
  </r>
  <r>
    <s v="6005.3"/>
    <x v="2"/>
    <x v="8"/>
    <x v="3"/>
    <s v="20A"/>
    <s v="160"/>
    <s v="Pseudanabaena sp."/>
    <b v="1"/>
    <n v="10"/>
    <n v="3.5"/>
    <m/>
    <n v="65.973541666666705"/>
    <n v="2.5729681250000001E-3"/>
    <n v="65.973541666666705"/>
    <n v="2.5729681250000001E-3"/>
    <m/>
  </r>
  <r>
    <s v="6009.1"/>
    <x v="2"/>
    <x v="9"/>
    <x v="3"/>
    <s v="20A"/>
    <s v="160"/>
    <s v="Microcystis wesenbergii"/>
    <b v="1"/>
    <n v="10"/>
    <n v="41.421052631578902"/>
    <m/>
    <n v="2472.4370138888899"/>
    <n v="0.47057893685347202"/>
    <n v="2472.4370138888899"/>
    <n v="0.47057893685347202"/>
    <s v="Microcystis spp._x000a_"/>
  </r>
  <r>
    <s v="6009.2"/>
    <x v="2"/>
    <x v="9"/>
    <x v="3"/>
    <s v="20A"/>
    <s v="160"/>
    <s v="Pseudanabaena sp."/>
    <b v="1"/>
    <n v="10"/>
    <n v="7.25"/>
    <m/>
    <n v="91.106319444444395"/>
    <n v="3.5531464583333301E-3"/>
    <n v="91.106319444444395"/>
    <n v="3.5531464583333301E-3"/>
    <m/>
  </r>
  <r>
    <s v="6003.1"/>
    <x v="2"/>
    <x v="10"/>
    <x v="3"/>
    <s v="20A"/>
    <s v="160"/>
    <s v="Microcystis wesenbergii"/>
    <b v="1"/>
    <n v="10"/>
    <n v="46.2"/>
    <n v="67"/>
    <n v="12627.335875000001"/>
    <n v="2.40336083708875"/>
    <n v="12627.335875000001"/>
    <n v="2.40336083708875"/>
    <s v="Microcystis spp._x000a_"/>
  </r>
  <r>
    <s v="6003.2"/>
    <x v="2"/>
    <x v="10"/>
    <x v="3"/>
    <s v="20A"/>
    <s v="160"/>
    <s v="Microcystis sp"/>
    <b v="1"/>
    <n v="10"/>
    <n v="21.5"/>
    <m/>
    <n v="270.177361111111"/>
    <n v="1.9398348557803199E-2"/>
    <n v="270.177361111111"/>
    <n v="1.9398348557803199E-2"/>
    <s v="Microcystis spp._x000a_"/>
  </r>
  <r>
    <s v="6014.1"/>
    <x v="3"/>
    <x v="11"/>
    <x v="3"/>
    <s v="20A"/>
    <s v="Whole Plate"/>
    <s v="Dolichospermum circinale"/>
    <b v="1"/>
    <n v="10"/>
    <n v="14.6"/>
    <n v="37"/>
    <n v="83.22"/>
    <n v="4.7904760800000001E-2"/>
    <n v="83.22"/>
    <n v="4.7904760800000001E-2"/>
    <m/>
  </r>
  <r>
    <s v="6014.2"/>
    <x v="3"/>
    <x v="11"/>
    <x v="3"/>
    <s v="20A"/>
    <s v="Whole Plate"/>
    <s v="Oscillatoria sp"/>
    <b v="1"/>
    <n v="10"/>
    <n v="80"/>
    <m/>
    <n v="8"/>
    <n v="2.1635999999999999E-2"/>
    <n v="8"/>
    <n v="2.1635999999999999E-2"/>
    <m/>
  </r>
  <r>
    <s v="6014.3"/>
    <x v="3"/>
    <x v="11"/>
    <x v="3"/>
    <s v="20A"/>
    <s v="Whole Plate"/>
    <s v="Woronichinia naegeliana"/>
    <b v="1"/>
    <n v="10"/>
    <n v="405"/>
    <m/>
    <n v="81"/>
    <n v="0"/>
    <n v="81"/>
    <n v="0"/>
    <m/>
  </r>
  <r>
    <s v="6014.4"/>
    <x v="3"/>
    <x v="11"/>
    <x v="3"/>
    <s v="20A"/>
    <s v="Whole Plate"/>
    <s v="Dolichospermum sp"/>
    <b v="1"/>
    <n v="10"/>
    <n v="19.5"/>
    <m/>
    <n v="7.8"/>
    <n v="1.482E-3"/>
    <n v="7.8"/>
    <n v="1.482E-3"/>
    <m/>
  </r>
  <r>
    <s v="6014.5"/>
    <x v="3"/>
    <x v="11"/>
    <x v="3"/>
    <s v="20A"/>
    <s v="Whole Plate"/>
    <s v="Dolichospermum lemmermannii"/>
    <b v="1"/>
    <n v="10"/>
    <n v="18.6666666666667"/>
    <m/>
    <n v="11.2"/>
    <n v="1.232E-3"/>
    <n v="11.2"/>
    <n v="1.232E-3"/>
    <m/>
  </r>
  <r>
    <s v="6014.6"/>
    <x v="3"/>
    <x v="11"/>
    <x v="3"/>
    <s v="20A"/>
    <s v="Whole Plate"/>
    <s v="Microcystis sp"/>
    <b v="1"/>
    <n v="10"/>
    <n v="28"/>
    <m/>
    <n v="2.8"/>
    <n v="2.01035999976E-4"/>
    <n v="2.8"/>
    <n v="2.01035999976E-4"/>
    <s v="Microcystis spp._x000a_"/>
  </r>
  <r>
    <s v="6014.7"/>
    <x v="3"/>
    <x v="11"/>
    <x v="3"/>
    <s v="20A"/>
    <s v="Whole Plate"/>
    <s v="Dolichospermum planctonicum "/>
    <b v="1"/>
    <n v="10"/>
    <n v="15.6"/>
    <m/>
    <n v="7.8"/>
    <n v="2.8860000000000001E-3"/>
    <n v="7.8"/>
    <n v="2.8860000000000001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13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J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12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F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2">
    <field x="3"/>
    <field x="15"/>
  </colFields>
  <colItems count="4">
    <i>
      <x/>
      <x v="1"/>
    </i>
    <i>
      <x v="1"/>
      <x v="1"/>
    </i>
    <i>
      <x v="2"/>
      <x v="1"/>
    </i>
    <i>
      <x v="3"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11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F50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TotalBioVolume" fld="12" baseField="0" baseItem="0" numFmtId="172"/>
  </dataFields>
  <formats count="25">
    <format dxfId="25">
      <pivotArea outline="0" fieldPosition="0"/>
    </format>
    <format dxfId="23">
      <pivotArea outline="0" fieldPosition="0">
        <references count="2">
          <reference field="1" count="1" selected="0">
            <x v="3"/>
          </reference>
          <reference field="3" count="2" selected="0">
            <x v="2"/>
            <x v="3"/>
          </reference>
        </references>
      </pivotArea>
    </format>
    <format dxfId="22">
      <pivotArea outline="0" fieldPosition="0">
        <references count="2">
          <reference field="1" count="3" selected="0">
            <x v="0"/>
            <x v="1"/>
            <x v="2"/>
          </reference>
          <reference field="3" count="1" selected="0">
            <x v="0"/>
          </reference>
        </references>
      </pivotArea>
    </format>
    <format dxfId="21">
      <pivotArea outline="0" fieldPosition="0">
        <references count="2">
          <reference field="1" count="1" selected="0">
            <x v="3"/>
          </reference>
          <reference field="3" count="2" selected="0">
            <x v="0"/>
            <x v="1"/>
          </reference>
        </references>
      </pivotArea>
    </format>
    <format dxfId="20">
      <pivotArea outline="0" fieldPosition="0">
        <references count="3">
          <reference field="1" count="1" selected="0">
            <x v="1"/>
          </reference>
          <reference field="2" count="1" selected="0">
            <x v="3"/>
          </reference>
          <reference field="3" count="1" selected="0">
            <x v="1"/>
          </reference>
        </references>
      </pivotArea>
    </format>
    <format dxfId="19">
      <pivotArea outline="0" fieldPosition="0">
        <references count="3">
          <reference field="1" count="1" selected="0">
            <x v="1"/>
          </reference>
          <reference field="2" count="1" selected="0">
            <x v="3"/>
          </reference>
          <reference field="3" count="2" selected="0">
            <x v="2"/>
            <x v="3"/>
          </reference>
        </references>
      </pivotArea>
    </format>
    <format dxfId="18">
      <pivotArea outline="0" fieldPosition="0">
        <references count="3">
          <reference field="1" count="1" selected="0">
            <x v="1"/>
          </reference>
          <reference field="2" count="1" selected="0">
            <x v="4"/>
          </reference>
          <reference field="3" count="2" selected="0">
            <x v="2"/>
            <x v="3"/>
          </reference>
        </references>
      </pivotArea>
    </format>
    <format dxfId="17">
      <pivotArea outline="0" fieldPosition="0">
        <references count="3">
          <reference field="1" count="1" selected="0">
            <x v="2"/>
          </reference>
          <reference field="2" count="2" selected="0">
            <x v="9"/>
            <x v="10"/>
          </reference>
          <reference field="3" count="1" selected="0">
            <x v="2"/>
          </reference>
        </references>
      </pivotArea>
    </format>
    <format dxfId="16">
      <pivotArea outline="0" fieldPosition="0">
        <references count="3">
          <reference field="1" count="1" selected="0">
            <x v="2"/>
          </reference>
          <reference field="2" count="2" selected="0">
            <x v="7"/>
            <x v="8"/>
          </reference>
          <reference field="3" count="1" selected="0">
            <x v="2"/>
          </reference>
        </references>
      </pivotArea>
    </format>
    <format dxfId="15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3"/>
          </reference>
        </references>
      </pivotArea>
    </format>
    <format dxfId="14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3"/>
          </reference>
        </references>
      </pivotArea>
    </format>
    <format dxfId="13">
      <pivotArea outline="0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12">
      <pivotArea outline="0" fieldPosition="0">
        <references count="3">
          <reference field="1" count="1" selected="0">
            <x v="1"/>
          </reference>
          <reference field="2" count="2" selected="0">
            <x v="5"/>
            <x v="6"/>
          </reference>
          <reference field="3" count="1" selected="0">
            <x v="3"/>
          </reference>
        </references>
      </pivotArea>
    </format>
    <format dxfId="11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3"/>
          </reference>
        </references>
      </pivotArea>
    </format>
    <format dxfId="10">
      <pivotArea outline="0" fieldPosition="0">
        <references count="3">
          <reference field="1" count="1" selected="0">
            <x v="2"/>
          </reference>
          <reference field="2" count="1" selected="0">
            <x v="9"/>
          </reference>
          <reference field="3" count="1" selected="0">
            <x v="3"/>
          </reference>
        </references>
      </pivotArea>
    </format>
    <format dxfId="9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1"/>
          </reference>
        </references>
      </pivotArea>
    </format>
    <format dxfId="8">
      <pivotArea outline="0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3" count="1" selected="0">
            <x v="1"/>
          </reference>
        </references>
      </pivotArea>
    </format>
    <format dxfId="7">
      <pivotArea outline="0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format>
    <format dxfId="6">
      <pivotArea outline="0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5">
      <pivotArea outline="0" fieldPosition="0">
        <references count="3">
          <reference field="1" count="1" selected="0">
            <x v="1"/>
          </reference>
          <reference field="2" count="2" selected="0">
            <x v="5"/>
            <x v="6"/>
          </reference>
          <reference field="3" count="1" selected="0">
            <x v="2"/>
          </reference>
        </references>
      </pivotArea>
    </format>
    <format dxfId="4">
      <pivotArea outline="0" fieldPosition="0">
        <references count="3">
          <reference field="1" count="1" selected="0">
            <x v="2"/>
          </reference>
          <reference field="2" count="1" selected="0">
            <x v="8"/>
          </reference>
          <reference field="3" count="1" selected="0">
            <x v="3"/>
          </reference>
        </references>
      </pivotArea>
    </format>
    <format dxfId="3">
      <pivotArea outline="0" fieldPosition="0">
        <references count="3">
          <reference field="1" count="1" selected="0">
            <x v="1"/>
          </reference>
          <reference field="2" count="3" selected="0">
            <x v="4"/>
            <x v="5"/>
            <x v="6"/>
          </reference>
          <reference field="3" count="1" selected="0">
            <x v="1"/>
          </reference>
        </references>
      </pivotArea>
    </format>
    <format dxfId="2">
      <pivotArea outline="0" fieldPosition="0">
        <references count="3">
          <reference field="1" count="1" selected="0">
            <x v="2"/>
          </reference>
          <reference field="2" count="4" selected="0">
            <x v="7"/>
            <x v="8"/>
            <x v="9"/>
            <x v="10"/>
          </reference>
          <reference field="3" count="1" selected="0">
            <x v="1"/>
          </reference>
        </references>
      </pivotArea>
    </format>
    <format dxfId="1">
      <pivotArea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format>
    <format dxfId="0">
      <pivotArea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11" totalsRowShown="0">
  <autoFilter ref="A1:P211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66" totalsRowShown="0">
  <autoFilter ref="A1:P66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1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9.36328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42.15</v>
      </c>
      <c r="K2">
        <v>105</v>
      </c>
      <c r="L2">
        <v>526.875</v>
      </c>
      <c r="M2">
        <v>3.7828872316912503E-2</v>
      </c>
      <c r="N2">
        <v>526.875</v>
      </c>
      <c r="O2">
        <v>3.7828872316912503E-2</v>
      </c>
      <c r="P2" s="1" t="s">
        <v>23</v>
      </c>
    </row>
    <row r="3" spans="1:16" ht="29" x14ac:dyDescent="0.35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b">
        <v>1</v>
      </c>
      <c r="I3">
        <v>10</v>
      </c>
      <c r="J3">
        <v>44.6666666666667</v>
      </c>
      <c r="L3">
        <v>13.4</v>
      </c>
      <c r="M3">
        <v>2.5504220000000001E-3</v>
      </c>
      <c r="N3">
        <v>13.4</v>
      </c>
      <c r="O3">
        <v>2.5504220000000001E-3</v>
      </c>
      <c r="P3" s="1" t="s">
        <v>23</v>
      </c>
    </row>
    <row r="4" spans="1:16" x14ac:dyDescent="0.3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1</v>
      </c>
      <c r="I4">
        <v>10</v>
      </c>
      <c r="J4">
        <v>16.454545454545499</v>
      </c>
      <c r="L4">
        <v>18.100000000000001</v>
      </c>
      <c r="M4">
        <v>1.9910000000000001E-3</v>
      </c>
      <c r="N4">
        <v>18.100000000000001</v>
      </c>
      <c r="O4">
        <v>1.9910000000000001E-3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1</v>
      </c>
      <c r="I5">
        <v>10</v>
      </c>
      <c r="J5">
        <v>3</v>
      </c>
      <c r="L5">
        <v>0.3</v>
      </c>
      <c r="M5">
        <v>1.17E-5</v>
      </c>
      <c r="N5">
        <v>0.3</v>
      </c>
      <c r="O5">
        <v>1.17E-5</v>
      </c>
    </row>
    <row r="6" spans="1:16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34</v>
      </c>
      <c r="L6">
        <v>3.4</v>
      </c>
      <c r="M6">
        <v>9.1953E-3</v>
      </c>
      <c r="N6">
        <v>3.4</v>
      </c>
      <c r="O6">
        <v>9.1953E-3</v>
      </c>
    </row>
    <row r="7" spans="1:16" x14ac:dyDescent="0.3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17.5</v>
      </c>
      <c r="L7">
        <v>3.5</v>
      </c>
      <c r="M7">
        <v>1.2949999999999999E-3</v>
      </c>
      <c r="N7">
        <v>3.5</v>
      </c>
      <c r="O7">
        <v>1.2949999999999999E-3</v>
      </c>
    </row>
    <row r="8" spans="1:16" ht="29" x14ac:dyDescent="0.35">
      <c r="A8" t="s">
        <v>34</v>
      </c>
      <c r="B8" t="s">
        <v>17</v>
      </c>
      <c r="C8" t="s">
        <v>35</v>
      </c>
      <c r="D8" t="s">
        <v>19</v>
      </c>
      <c r="E8" t="s">
        <v>20</v>
      </c>
      <c r="F8" t="s">
        <v>21</v>
      </c>
      <c r="G8" t="s">
        <v>22</v>
      </c>
      <c r="H8" t="b">
        <v>1</v>
      </c>
      <c r="I8">
        <v>10</v>
      </c>
      <c r="J8">
        <v>18.5</v>
      </c>
      <c r="K8">
        <v>53</v>
      </c>
      <c r="L8">
        <v>135.05000000000001</v>
      </c>
      <c r="M8">
        <v>9.6963970702709998E-3</v>
      </c>
      <c r="N8">
        <v>135.05000000000001</v>
      </c>
      <c r="O8">
        <v>9.6963970702709998E-3</v>
      </c>
      <c r="P8" s="1" t="s">
        <v>23</v>
      </c>
    </row>
    <row r="9" spans="1:16" x14ac:dyDescent="0.35">
      <c r="A9" t="s">
        <v>36</v>
      </c>
      <c r="B9" t="s">
        <v>17</v>
      </c>
      <c r="C9" t="s">
        <v>35</v>
      </c>
      <c r="D9" t="s">
        <v>19</v>
      </c>
      <c r="E9" t="s">
        <v>20</v>
      </c>
      <c r="F9" t="s">
        <v>21</v>
      </c>
      <c r="G9" t="s">
        <v>29</v>
      </c>
      <c r="H9" t="b">
        <v>1</v>
      </c>
      <c r="I9">
        <v>10</v>
      </c>
      <c r="J9">
        <v>15</v>
      </c>
      <c r="L9">
        <v>18</v>
      </c>
      <c r="M9">
        <v>7.0200000000000004E-4</v>
      </c>
      <c r="N9">
        <v>18</v>
      </c>
      <c r="O9">
        <v>7.0200000000000004E-4</v>
      </c>
    </row>
    <row r="10" spans="1:16" x14ac:dyDescent="0.35">
      <c r="A10" t="s">
        <v>37</v>
      </c>
      <c r="B10" t="s">
        <v>17</v>
      </c>
      <c r="C10" t="s">
        <v>35</v>
      </c>
      <c r="D10" t="s">
        <v>19</v>
      </c>
      <c r="E10" t="s">
        <v>20</v>
      </c>
      <c r="F10" t="s">
        <v>21</v>
      </c>
      <c r="G10" t="s">
        <v>31</v>
      </c>
      <c r="H10" t="b">
        <v>1</v>
      </c>
      <c r="I10">
        <v>10</v>
      </c>
      <c r="J10">
        <v>43</v>
      </c>
      <c r="L10">
        <v>25.8</v>
      </c>
      <c r="M10">
        <v>6.9776099999999994E-2</v>
      </c>
      <c r="N10">
        <v>25.8</v>
      </c>
      <c r="O10">
        <v>6.9776099999999994E-2</v>
      </c>
    </row>
    <row r="11" spans="1:16" x14ac:dyDescent="0.35">
      <c r="A11" t="s">
        <v>38</v>
      </c>
      <c r="B11" t="s">
        <v>17</v>
      </c>
      <c r="C11" t="s">
        <v>35</v>
      </c>
      <c r="D11" t="s">
        <v>19</v>
      </c>
      <c r="E11" t="s">
        <v>20</v>
      </c>
      <c r="F11" t="s">
        <v>21</v>
      </c>
      <c r="G11" t="s">
        <v>39</v>
      </c>
      <c r="H11" t="b">
        <v>1</v>
      </c>
      <c r="I11">
        <v>10</v>
      </c>
      <c r="J11">
        <v>31</v>
      </c>
      <c r="L11">
        <v>6.2</v>
      </c>
      <c r="M11">
        <v>1.178E-3</v>
      </c>
      <c r="N11">
        <v>6.2</v>
      </c>
      <c r="O11">
        <v>1.178E-3</v>
      </c>
    </row>
    <row r="12" spans="1:16" x14ac:dyDescent="0.35">
      <c r="A12" t="s">
        <v>40</v>
      </c>
      <c r="B12" t="s">
        <v>17</v>
      </c>
      <c r="C12" t="s">
        <v>35</v>
      </c>
      <c r="D12" t="s">
        <v>19</v>
      </c>
      <c r="E12" t="s">
        <v>20</v>
      </c>
      <c r="F12" t="s">
        <v>21</v>
      </c>
      <c r="G12" t="s">
        <v>33</v>
      </c>
      <c r="H12" t="b">
        <v>1</v>
      </c>
      <c r="I12">
        <v>10</v>
      </c>
      <c r="J12">
        <v>13</v>
      </c>
      <c r="L12">
        <v>2.6</v>
      </c>
      <c r="M12">
        <v>9.6199999999999996E-4</v>
      </c>
      <c r="N12">
        <v>2.6</v>
      </c>
      <c r="O12">
        <v>9.6199999999999996E-4</v>
      </c>
    </row>
    <row r="13" spans="1:16" ht="29" x14ac:dyDescent="0.35">
      <c r="A13" t="s">
        <v>41</v>
      </c>
      <c r="B13" t="s">
        <v>17</v>
      </c>
      <c r="C13" t="s">
        <v>35</v>
      </c>
      <c r="D13" t="s">
        <v>19</v>
      </c>
      <c r="E13" t="s">
        <v>20</v>
      </c>
      <c r="F13" t="s">
        <v>21</v>
      </c>
      <c r="G13" t="s">
        <v>25</v>
      </c>
      <c r="H13" t="b">
        <v>1</v>
      </c>
      <c r="I13">
        <v>10</v>
      </c>
      <c r="J13">
        <v>52</v>
      </c>
      <c r="L13">
        <v>10.4</v>
      </c>
      <c r="M13">
        <v>1.9794320000000002E-3</v>
      </c>
      <c r="N13">
        <v>10.4</v>
      </c>
      <c r="O13">
        <v>1.9794320000000002E-3</v>
      </c>
      <c r="P13" s="1" t="s">
        <v>23</v>
      </c>
    </row>
    <row r="14" spans="1:16" x14ac:dyDescent="0.35">
      <c r="A14" t="s">
        <v>42</v>
      </c>
      <c r="B14" t="s">
        <v>17</v>
      </c>
      <c r="C14" t="s">
        <v>35</v>
      </c>
      <c r="D14" t="s">
        <v>19</v>
      </c>
      <c r="E14" t="s">
        <v>20</v>
      </c>
      <c r="F14" t="s">
        <v>21</v>
      </c>
      <c r="G14" t="s">
        <v>43</v>
      </c>
      <c r="H14" t="b">
        <v>0</v>
      </c>
      <c r="I14">
        <v>10</v>
      </c>
      <c r="J14">
        <v>24</v>
      </c>
      <c r="L14">
        <v>2.4</v>
      </c>
      <c r="M14">
        <v>5.4E-6</v>
      </c>
      <c r="N14">
        <v>0</v>
      </c>
      <c r="O14">
        <v>0</v>
      </c>
    </row>
    <row r="15" spans="1:16" x14ac:dyDescent="0.35">
      <c r="A15" t="s">
        <v>44</v>
      </c>
      <c r="B15" t="s">
        <v>17</v>
      </c>
      <c r="C15" t="s">
        <v>35</v>
      </c>
      <c r="D15" t="s">
        <v>19</v>
      </c>
      <c r="E15" t="s">
        <v>20</v>
      </c>
      <c r="F15" t="s">
        <v>21</v>
      </c>
      <c r="G15" t="s">
        <v>45</v>
      </c>
      <c r="H15" t="b">
        <v>0</v>
      </c>
      <c r="I15">
        <v>10</v>
      </c>
      <c r="J15">
        <v>16</v>
      </c>
      <c r="L15">
        <v>1.6</v>
      </c>
      <c r="M15">
        <v>3.5200000000000002E-5</v>
      </c>
      <c r="N15">
        <v>0</v>
      </c>
      <c r="O15">
        <v>0</v>
      </c>
    </row>
    <row r="16" spans="1:16" ht="29" x14ac:dyDescent="0.35">
      <c r="A16" t="s">
        <v>46</v>
      </c>
      <c r="B16" t="s">
        <v>47</v>
      </c>
      <c r="C16" t="s">
        <v>48</v>
      </c>
      <c r="D16" t="s">
        <v>19</v>
      </c>
      <c r="E16" t="s">
        <v>20</v>
      </c>
      <c r="F16" t="s">
        <v>21</v>
      </c>
      <c r="G16" t="s">
        <v>25</v>
      </c>
      <c r="H16" t="b">
        <v>1</v>
      </c>
      <c r="I16">
        <v>10</v>
      </c>
      <c r="J16">
        <v>10</v>
      </c>
      <c r="L16">
        <v>1</v>
      </c>
      <c r="M16">
        <v>1.9033E-4</v>
      </c>
      <c r="N16">
        <v>1</v>
      </c>
      <c r="O16">
        <v>1.9033E-4</v>
      </c>
      <c r="P16" s="1" t="s">
        <v>23</v>
      </c>
    </row>
    <row r="17" spans="1:16" x14ac:dyDescent="0.35">
      <c r="A17" t="s">
        <v>49</v>
      </c>
      <c r="B17" t="s">
        <v>47</v>
      </c>
      <c r="C17" t="s">
        <v>48</v>
      </c>
      <c r="D17" t="s">
        <v>19</v>
      </c>
      <c r="E17" t="s">
        <v>20</v>
      </c>
      <c r="F17" t="s">
        <v>21</v>
      </c>
      <c r="G17" t="s">
        <v>29</v>
      </c>
      <c r="H17" t="b">
        <v>1</v>
      </c>
      <c r="I17">
        <v>10</v>
      </c>
      <c r="J17">
        <v>3</v>
      </c>
      <c r="L17">
        <v>1.5</v>
      </c>
      <c r="M17">
        <v>5.8499999999999999E-5</v>
      </c>
      <c r="N17">
        <v>1.5</v>
      </c>
      <c r="O17">
        <v>5.8499999999999999E-5</v>
      </c>
    </row>
    <row r="18" spans="1:16" x14ac:dyDescent="0.35">
      <c r="A18" t="s">
        <v>50</v>
      </c>
      <c r="B18" t="s">
        <v>47</v>
      </c>
      <c r="C18" t="s">
        <v>48</v>
      </c>
      <c r="D18" t="s">
        <v>19</v>
      </c>
      <c r="E18" t="s">
        <v>20</v>
      </c>
      <c r="F18" t="s">
        <v>21</v>
      </c>
      <c r="G18" t="s">
        <v>33</v>
      </c>
      <c r="H18" t="b">
        <v>1</v>
      </c>
      <c r="I18">
        <v>10</v>
      </c>
      <c r="J18">
        <v>11.5</v>
      </c>
      <c r="L18">
        <v>2.2999999999999998</v>
      </c>
      <c r="M18">
        <v>8.5099999999999998E-4</v>
      </c>
      <c r="N18">
        <v>2.2999999999999998</v>
      </c>
      <c r="O18">
        <v>8.5099999999999998E-4</v>
      </c>
    </row>
    <row r="19" spans="1:16" ht="29" x14ac:dyDescent="0.35">
      <c r="A19" t="s">
        <v>51</v>
      </c>
      <c r="B19" t="s">
        <v>47</v>
      </c>
      <c r="C19" t="s">
        <v>48</v>
      </c>
      <c r="D19" t="s">
        <v>19</v>
      </c>
      <c r="E19" t="s">
        <v>20</v>
      </c>
      <c r="F19" t="s">
        <v>21</v>
      </c>
      <c r="G19" s="1" t="s">
        <v>52</v>
      </c>
      <c r="H19" t="b">
        <v>0</v>
      </c>
      <c r="I19">
        <v>10</v>
      </c>
      <c r="J19">
        <v>12</v>
      </c>
      <c r="L19">
        <v>1.2</v>
      </c>
      <c r="M19">
        <v>5.4000000000000001E-4</v>
      </c>
      <c r="N19">
        <v>0</v>
      </c>
      <c r="O19">
        <v>0</v>
      </c>
    </row>
    <row r="20" spans="1:16" x14ac:dyDescent="0.35">
      <c r="A20" t="s">
        <v>53</v>
      </c>
      <c r="B20" t="s">
        <v>47</v>
      </c>
      <c r="C20" t="s">
        <v>48</v>
      </c>
      <c r="D20" t="s">
        <v>19</v>
      </c>
      <c r="E20" t="s">
        <v>20</v>
      </c>
      <c r="F20" t="s">
        <v>21</v>
      </c>
      <c r="G20" t="s">
        <v>43</v>
      </c>
      <c r="H20" t="b">
        <v>0</v>
      </c>
      <c r="I20">
        <v>10</v>
      </c>
      <c r="J20">
        <v>22</v>
      </c>
      <c r="L20">
        <v>2.2000000000000002</v>
      </c>
      <c r="M20">
        <v>4.95E-6</v>
      </c>
      <c r="N20">
        <v>0</v>
      </c>
      <c r="O20">
        <v>0</v>
      </c>
    </row>
    <row r="21" spans="1:16" x14ac:dyDescent="0.35">
      <c r="A21" t="s">
        <v>54</v>
      </c>
      <c r="B21" t="s">
        <v>47</v>
      </c>
      <c r="C21" t="s">
        <v>55</v>
      </c>
      <c r="D21" t="s">
        <v>19</v>
      </c>
      <c r="E21" t="s">
        <v>20</v>
      </c>
      <c r="F21" t="s">
        <v>21</v>
      </c>
      <c r="G21" t="s">
        <v>31</v>
      </c>
      <c r="H21" t="b">
        <v>1</v>
      </c>
      <c r="I21">
        <v>10</v>
      </c>
      <c r="J21">
        <v>153.333333333333</v>
      </c>
      <c r="L21">
        <v>138</v>
      </c>
      <c r="M21">
        <v>0.37322100000000002</v>
      </c>
      <c r="N21">
        <v>138</v>
      </c>
      <c r="O21">
        <v>0.37322100000000002</v>
      </c>
    </row>
    <row r="22" spans="1:16" x14ac:dyDescent="0.35">
      <c r="A22" t="s">
        <v>56</v>
      </c>
      <c r="B22" t="s">
        <v>47</v>
      </c>
      <c r="C22" t="s">
        <v>55</v>
      </c>
      <c r="D22" t="s">
        <v>19</v>
      </c>
      <c r="E22" t="s">
        <v>20</v>
      </c>
      <c r="F22" t="s">
        <v>21</v>
      </c>
      <c r="G22" t="s">
        <v>57</v>
      </c>
      <c r="H22" t="b">
        <v>1</v>
      </c>
      <c r="I22">
        <v>10</v>
      </c>
      <c r="J22">
        <v>18</v>
      </c>
      <c r="L22">
        <v>3.6</v>
      </c>
      <c r="M22">
        <v>2.0723040000000001E-3</v>
      </c>
      <c r="N22">
        <v>3.6</v>
      </c>
      <c r="O22">
        <v>2.0723040000000001E-3</v>
      </c>
    </row>
    <row r="23" spans="1:16" x14ac:dyDescent="0.35">
      <c r="A23" t="s">
        <v>58</v>
      </c>
      <c r="B23" t="s">
        <v>47</v>
      </c>
      <c r="C23" t="s">
        <v>55</v>
      </c>
      <c r="D23" t="s">
        <v>19</v>
      </c>
      <c r="E23" t="s">
        <v>20</v>
      </c>
      <c r="F23" t="s">
        <v>21</v>
      </c>
      <c r="G23" t="s">
        <v>59</v>
      </c>
      <c r="H23" t="b">
        <v>1</v>
      </c>
      <c r="I23">
        <v>10</v>
      </c>
      <c r="J23">
        <v>34</v>
      </c>
      <c r="L23">
        <v>3.4</v>
      </c>
      <c r="M23">
        <v>3.1735599999999997E-4</v>
      </c>
      <c r="N23">
        <v>3.4</v>
      </c>
      <c r="O23">
        <v>3.1735599999999997E-4</v>
      </c>
    </row>
    <row r="24" spans="1:16" ht="29" x14ac:dyDescent="0.35">
      <c r="A24" t="s">
        <v>60</v>
      </c>
      <c r="B24" t="s">
        <v>47</v>
      </c>
      <c r="C24" t="s">
        <v>55</v>
      </c>
      <c r="D24" t="s">
        <v>19</v>
      </c>
      <c r="E24" t="s">
        <v>20</v>
      </c>
      <c r="F24" t="s">
        <v>21</v>
      </c>
      <c r="G24" t="s">
        <v>25</v>
      </c>
      <c r="H24" t="b">
        <v>1</v>
      </c>
      <c r="I24">
        <v>10</v>
      </c>
      <c r="J24">
        <v>46</v>
      </c>
      <c r="L24">
        <v>4.5999999999999996</v>
      </c>
      <c r="M24">
        <v>8.7551800000000004E-4</v>
      </c>
      <c r="N24">
        <v>4.5999999999999996</v>
      </c>
      <c r="O24">
        <v>8.7551800000000004E-4</v>
      </c>
      <c r="P24" s="1" t="s">
        <v>23</v>
      </c>
    </row>
    <row r="25" spans="1:16" ht="29" x14ac:dyDescent="0.35">
      <c r="A25" t="s">
        <v>61</v>
      </c>
      <c r="B25" t="s">
        <v>47</v>
      </c>
      <c r="C25" t="s">
        <v>62</v>
      </c>
      <c r="D25" t="s">
        <v>19</v>
      </c>
      <c r="E25" t="s">
        <v>20</v>
      </c>
      <c r="F25" t="s">
        <v>21</v>
      </c>
      <c r="G25" t="s">
        <v>22</v>
      </c>
      <c r="H25" t="b">
        <v>1</v>
      </c>
      <c r="I25">
        <v>10</v>
      </c>
      <c r="J25">
        <v>11.25</v>
      </c>
      <c r="L25">
        <v>4.5</v>
      </c>
      <c r="M25">
        <v>3.2309357138999998E-4</v>
      </c>
      <c r="N25">
        <v>4.5</v>
      </c>
      <c r="O25">
        <v>3.2309357138999998E-4</v>
      </c>
      <c r="P25" s="1" t="s">
        <v>23</v>
      </c>
    </row>
    <row r="26" spans="1:16" x14ac:dyDescent="0.35">
      <c r="A26" t="s">
        <v>63</v>
      </c>
      <c r="B26" t="s">
        <v>47</v>
      </c>
      <c r="C26" t="s">
        <v>62</v>
      </c>
      <c r="D26" t="s">
        <v>19</v>
      </c>
      <c r="E26" t="s">
        <v>20</v>
      </c>
      <c r="F26" t="s">
        <v>21</v>
      </c>
      <c r="G26" t="s">
        <v>33</v>
      </c>
      <c r="H26" t="b">
        <v>1</v>
      </c>
      <c r="I26">
        <v>10</v>
      </c>
      <c r="J26">
        <v>29.65</v>
      </c>
      <c r="K26">
        <v>15</v>
      </c>
      <c r="L26">
        <v>103.77500000000001</v>
      </c>
      <c r="M26">
        <v>3.839675E-2</v>
      </c>
      <c r="N26">
        <v>103.77500000000001</v>
      </c>
      <c r="O26">
        <v>3.839675E-2</v>
      </c>
    </row>
    <row r="27" spans="1:16" x14ac:dyDescent="0.35">
      <c r="A27" t="s">
        <v>64</v>
      </c>
      <c r="B27" t="s">
        <v>47</v>
      </c>
      <c r="C27" t="s">
        <v>62</v>
      </c>
      <c r="D27" t="s">
        <v>19</v>
      </c>
      <c r="E27" t="s">
        <v>20</v>
      </c>
      <c r="F27" t="s">
        <v>21</v>
      </c>
      <c r="G27" t="s">
        <v>29</v>
      </c>
      <c r="H27" t="b">
        <v>1</v>
      </c>
      <c r="I27">
        <v>10</v>
      </c>
      <c r="J27">
        <v>6</v>
      </c>
      <c r="L27">
        <v>2.4</v>
      </c>
      <c r="M27">
        <v>9.3599999999999998E-5</v>
      </c>
      <c r="N27">
        <v>2.4</v>
      </c>
      <c r="O27">
        <v>9.3599999999999998E-5</v>
      </c>
    </row>
    <row r="28" spans="1:16" ht="29" x14ac:dyDescent="0.35">
      <c r="A28" t="s">
        <v>65</v>
      </c>
      <c r="B28" t="s">
        <v>47</v>
      </c>
      <c r="C28" t="s">
        <v>62</v>
      </c>
      <c r="D28" t="s">
        <v>19</v>
      </c>
      <c r="E28" t="s">
        <v>20</v>
      </c>
      <c r="F28" t="s">
        <v>21</v>
      </c>
      <c r="G28" t="s">
        <v>25</v>
      </c>
      <c r="H28" t="b">
        <v>1</v>
      </c>
      <c r="I28">
        <v>10</v>
      </c>
      <c r="J28">
        <v>30</v>
      </c>
      <c r="L28">
        <v>27</v>
      </c>
      <c r="M28">
        <v>5.13891E-3</v>
      </c>
      <c r="N28">
        <v>27</v>
      </c>
      <c r="O28">
        <v>5.13891E-3</v>
      </c>
      <c r="P28" s="1" t="s">
        <v>23</v>
      </c>
    </row>
    <row r="29" spans="1:16" x14ac:dyDescent="0.35">
      <c r="A29" t="s">
        <v>66</v>
      </c>
      <c r="B29" t="s">
        <v>47</v>
      </c>
      <c r="C29" t="s">
        <v>62</v>
      </c>
      <c r="D29" t="s">
        <v>19</v>
      </c>
      <c r="E29" t="s">
        <v>20</v>
      </c>
      <c r="F29" t="s">
        <v>21</v>
      </c>
      <c r="G29" t="s">
        <v>43</v>
      </c>
      <c r="H29" t="b">
        <v>0</v>
      </c>
      <c r="I29">
        <v>10</v>
      </c>
      <c r="J29">
        <v>352</v>
      </c>
      <c r="L29">
        <v>35.200000000000003</v>
      </c>
      <c r="M29">
        <v>7.9200000000000001E-5</v>
      </c>
      <c r="N29">
        <v>0</v>
      </c>
      <c r="O29">
        <v>0</v>
      </c>
    </row>
    <row r="30" spans="1:16" x14ac:dyDescent="0.35">
      <c r="A30" t="s">
        <v>67</v>
      </c>
      <c r="B30" t="s">
        <v>47</v>
      </c>
      <c r="C30" t="s">
        <v>68</v>
      </c>
      <c r="D30" t="s">
        <v>19</v>
      </c>
      <c r="E30" t="s">
        <v>20</v>
      </c>
      <c r="F30" t="s">
        <v>21</v>
      </c>
      <c r="G30" t="s">
        <v>31</v>
      </c>
      <c r="H30" t="b">
        <v>1</v>
      </c>
      <c r="I30">
        <v>10</v>
      </c>
      <c r="J30">
        <v>128</v>
      </c>
      <c r="L30">
        <v>12.8</v>
      </c>
      <c r="M30">
        <v>3.4617599999999998E-2</v>
      </c>
      <c r="N30">
        <v>12.8</v>
      </c>
      <c r="O30">
        <v>3.4617599999999998E-2</v>
      </c>
    </row>
    <row r="31" spans="1:16" x14ac:dyDescent="0.35">
      <c r="A31" t="s">
        <v>69</v>
      </c>
      <c r="B31" t="s">
        <v>47</v>
      </c>
      <c r="C31" t="s">
        <v>68</v>
      </c>
      <c r="D31" t="s">
        <v>19</v>
      </c>
      <c r="E31" t="s">
        <v>20</v>
      </c>
      <c r="F31" t="s">
        <v>21</v>
      </c>
      <c r="G31" t="s">
        <v>33</v>
      </c>
      <c r="H31" t="b">
        <v>1</v>
      </c>
      <c r="I31">
        <v>10</v>
      </c>
      <c r="J31">
        <v>18.571428571428601</v>
      </c>
      <c r="L31">
        <v>13</v>
      </c>
      <c r="M31">
        <v>4.81E-3</v>
      </c>
      <c r="N31">
        <v>13</v>
      </c>
      <c r="O31">
        <v>4.81E-3</v>
      </c>
    </row>
    <row r="32" spans="1:16" ht="29" x14ac:dyDescent="0.35">
      <c r="A32" t="s">
        <v>70</v>
      </c>
      <c r="B32" t="s">
        <v>47</v>
      </c>
      <c r="C32" t="s">
        <v>68</v>
      </c>
      <c r="D32" t="s">
        <v>19</v>
      </c>
      <c r="E32" t="s">
        <v>20</v>
      </c>
      <c r="F32" t="s">
        <v>21</v>
      </c>
      <c r="G32" t="s">
        <v>25</v>
      </c>
      <c r="H32" t="b">
        <v>1</v>
      </c>
      <c r="I32">
        <v>10</v>
      </c>
      <c r="J32">
        <v>52</v>
      </c>
      <c r="L32">
        <v>10.4</v>
      </c>
      <c r="M32">
        <v>1.9794320000000002E-3</v>
      </c>
      <c r="N32">
        <v>10.4</v>
      </c>
      <c r="O32">
        <v>1.9794320000000002E-3</v>
      </c>
      <c r="P32" s="1" t="s">
        <v>23</v>
      </c>
    </row>
    <row r="33" spans="1:16" x14ac:dyDescent="0.35">
      <c r="A33" t="s">
        <v>71</v>
      </c>
      <c r="B33" t="s">
        <v>47</v>
      </c>
      <c r="C33" t="s">
        <v>68</v>
      </c>
      <c r="D33" t="s">
        <v>19</v>
      </c>
      <c r="E33" t="s">
        <v>20</v>
      </c>
      <c r="F33" t="s">
        <v>21</v>
      </c>
      <c r="G33" t="s">
        <v>72</v>
      </c>
      <c r="H33" t="b">
        <v>1</v>
      </c>
      <c r="I33">
        <v>10</v>
      </c>
      <c r="J33">
        <v>156</v>
      </c>
      <c r="L33">
        <v>31.2</v>
      </c>
      <c r="M33">
        <v>0</v>
      </c>
      <c r="N33">
        <v>31.2</v>
      </c>
      <c r="O33">
        <v>0</v>
      </c>
    </row>
    <row r="34" spans="1:16" ht="29" x14ac:dyDescent="0.35">
      <c r="A34" t="s">
        <v>73</v>
      </c>
      <c r="B34" t="s">
        <v>47</v>
      </c>
      <c r="C34" t="s">
        <v>68</v>
      </c>
      <c r="D34" t="s">
        <v>19</v>
      </c>
      <c r="E34" t="s">
        <v>20</v>
      </c>
      <c r="F34" t="s">
        <v>21</v>
      </c>
      <c r="G34" s="1" t="s">
        <v>74</v>
      </c>
      <c r="H34" t="b">
        <v>1</v>
      </c>
      <c r="I34">
        <v>10</v>
      </c>
      <c r="J34">
        <v>22</v>
      </c>
      <c r="L34">
        <v>2.2000000000000002</v>
      </c>
      <c r="M34">
        <v>1.2320000000000001E-4</v>
      </c>
      <c r="N34">
        <v>2.2000000000000002</v>
      </c>
      <c r="O34">
        <v>1.2320000000000001E-4</v>
      </c>
    </row>
    <row r="35" spans="1:16" x14ac:dyDescent="0.35">
      <c r="A35" t="s">
        <v>75</v>
      </c>
      <c r="B35" t="s">
        <v>47</v>
      </c>
      <c r="C35" t="s">
        <v>68</v>
      </c>
      <c r="D35" t="s">
        <v>19</v>
      </c>
      <c r="E35" t="s">
        <v>20</v>
      </c>
      <c r="F35" t="s">
        <v>21</v>
      </c>
      <c r="G35" t="s">
        <v>29</v>
      </c>
      <c r="H35" t="b">
        <v>1</v>
      </c>
      <c r="I35">
        <v>10</v>
      </c>
      <c r="J35">
        <v>8</v>
      </c>
      <c r="L35">
        <v>0.8</v>
      </c>
      <c r="M35">
        <v>3.1199999999999999E-5</v>
      </c>
      <c r="N35">
        <v>0.8</v>
      </c>
      <c r="O35">
        <v>3.1199999999999999E-5</v>
      </c>
    </row>
    <row r="36" spans="1:16" x14ac:dyDescent="0.35">
      <c r="A36" t="s">
        <v>76</v>
      </c>
      <c r="B36" t="s">
        <v>47</v>
      </c>
      <c r="C36" t="s">
        <v>68</v>
      </c>
      <c r="D36" t="s">
        <v>19</v>
      </c>
      <c r="E36" t="s">
        <v>20</v>
      </c>
      <c r="F36" t="s">
        <v>21</v>
      </c>
      <c r="G36" t="s">
        <v>43</v>
      </c>
      <c r="H36" t="b">
        <v>0</v>
      </c>
      <c r="I36">
        <v>10</v>
      </c>
      <c r="J36">
        <v>245</v>
      </c>
      <c r="L36">
        <v>24.5</v>
      </c>
      <c r="M36">
        <v>5.5124999999999998E-5</v>
      </c>
      <c r="N36">
        <v>0</v>
      </c>
      <c r="O36">
        <v>0</v>
      </c>
    </row>
    <row r="37" spans="1:16" x14ac:dyDescent="0.35">
      <c r="A37" t="s">
        <v>77</v>
      </c>
      <c r="B37" t="s">
        <v>47</v>
      </c>
      <c r="C37" t="s">
        <v>78</v>
      </c>
      <c r="D37" t="s">
        <v>19</v>
      </c>
      <c r="E37" t="s">
        <v>20</v>
      </c>
      <c r="F37" t="s">
        <v>21</v>
      </c>
      <c r="G37" t="s">
        <v>79</v>
      </c>
      <c r="H37" t="b">
        <v>1</v>
      </c>
      <c r="I37">
        <v>10</v>
      </c>
      <c r="J37">
        <v>13.3333333333333</v>
      </c>
      <c r="L37">
        <v>4</v>
      </c>
      <c r="M37">
        <v>1.732E-3</v>
      </c>
      <c r="N37">
        <v>4</v>
      </c>
      <c r="O37">
        <v>1.732E-3</v>
      </c>
    </row>
    <row r="38" spans="1:16" x14ac:dyDescent="0.35">
      <c r="A38" t="s">
        <v>80</v>
      </c>
      <c r="B38" t="s">
        <v>47</v>
      </c>
      <c r="C38" t="s">
        <v>78</v>
      </c>
      <c r="D38" t="s">
        <v>19</v>
      </c>
      <c r="E38" t="s">
        <v>20</v>
      </c>
      <c r="F38" t="s">
        <v>21</v>
      </c>
      <c r="G38" t="s">
        <v>31</v>
      </c>
      <c r="H38" t="b">
        <v>1</v>
      </c>
      <c r="I38">
        <v>10</v>
      </c>
      <c r="J38">
        <v>130</v>
      </c>
      <c r="L38">
        <v>13</v>
      </c>
      <c r="M38">
        <v>3.5158500000000002E-2</v>
      </c>
      <c r="N38">
        <v>13</v>
      </c>
      <c r="O38">
        <v>3.5158500000000002E-2</v>
      </c>
    </row>
    <row r="39" spans="1:16" x14ac:dyDescent="0.35">
      <c r="A39" t="s">
        <v>81</v>
      </c>
      <c r="B39" t="s">
        <v>47</v>
      </c>
      <c r="C39" t="s">
        <v>78</v>
      </c>
      <c r="D39" t="s">
        <v>19</v>
      </c>
      <c r="E39" t="s">
        <v>20</v>
      </c>
      <c r="F39" t="s">
        <v>21</v>
      </c>
      <c r="G39" t="s">
        <v>33</v>
      </c>
      <c r="H39" t="b">
        <v>1</v>
      </c>
      <c r="I39">
        <v>10</v>
      </c>
      <c r="J39">
        <v>16.266666666666701</v>
      </c>
      <c r="L39">
        <v>24.4</v>
      </c>
      <c r="M39">
        <v>9.0279999999999996E-3</v>
      </c>
      <c r="N39">
        <v>24.4</v>
      </c>
      <c r="O39">
        <v>9.0279999999999996E-3</v>
      </c>
    </row>
    <row r="40" spans="1:16" x14ac:dyDescent="0.35">
      <c r="A40" t="s">
        <v>82</v>
      </c>
      <c r="B40" t="s">
        <v>47</v>
      </c>
      <c r="C40" t="s">
        <v>78</v>
      </c>
      <c r="D40" t="s">
        <v>19</v>
      </c>
      <c r="E40" t="s">
        <v>20</v>
      </c>
      <c r="F40" t="s">
        <v>21</v>
      </c>
      <c r="G40" t="s">
        <v>59</v>
      </c>
      <c r="H40" t="b">
        <v>1</v>
      </c>
      <c r="I40">
        <v>10</v>
      </c>
      <c r="J40">
        <v>36</v>
      </c>
      <c r="L40">
        <v>3.6</v>
      </c>
      <c r="M40">
        <v>3.3602399999999998E-4</v>
      </c>
      <c r="N40">
        <v>3.6</v>
      </c>
      <c r="O40">
        <v>3.3602399999999998E-4</v>
      </c>
    </row>
    <row r="41" spans="1:16" ht="29" x14ac:dyDescent="0.35">
      <c r="A41" t="s">
        <v>83</v>
      </c>
      <c r="B41" t="s">
        <v>47</v>
      </c>
      <c r="C41" t="s">
        <v>78</v>
      </c>
      <c r="D41" t="s">
        <v>19</v>
      </c>
      <c r="E41" t="s">
        <v>20</v>
      </c>
      <c r="F41" t="s">
        <v>21</v>
      </c>
      <c r="G41" t="s">
        <v>25</v>
      </c>
      <c r="H41" t="b">
        <v>1</v>
      </c>
      <c r="I41">
        <v>10</v>
      </c>
      <c r="J41">
        <v>55.3333333333333</v>
      </c>
      <c r="L41">
        <v>16.600000000000001</v>
      </c>
      <c r="M41">
        <v>3.1594779999999999E-3</v>
      </c>
      <c r="N41">
        <v>16.600000000000001</v>
      </c>
      <c r="O41">
        <v>3.1594779999999999E-3</v>
      </c>
      <c r="P41" s="1" t="s">
        <v>23</v>
      </c>
    </row>
    <row r="42" spans="1:16" x14ac:dyDescent="0.35">
      <c r="A42" t="s">
        <v>84</v>
      </c>
      <c r="B42" t="s">
        <v>47</v>
      </c>
      <c r="C42" t="s">
        <v>78</v>
      </c>
      <c r="D42" t="s">
        <v>19</v>
      </c>
      <c r="E42" t="s">
        <v>20</v>
      </c>
      <c r="F42" t="s">
        <v>21</v>
      </c>
      <c r="G42" t="s">
        <v>27</v>
      </c>
      <c r="H42" t="b">
        <v>1</v>
      </c>
      <c r="I42">
        <v>10</v>
      </c>
      <c r="J42">
        <v>38</v>
      </c>
      <c r="L42">
        <v>3.8</v>
      </c>
      <c r="M42">
        <v>4.1800000000000002E-4</v>
      </c>
      <c r="N42">
        <v>3.8</v>
      </c>
      <c r="O42">
        <v>4.1800000000000002E-4</v>
      </c>
    </row>
    <row r="43" spans="1:16" x14ac:dyDescent="0.35">
      <c r="A43" t="s">
        <v>85</v>
      </c>
      <c r="B43" t="s">
        <v>47</v>
      </c>
      <c r="C43" t="s">
        <v>78</v>
      </c>
      <c r="D43" t="s">
        <v>19</v>
      </c>
      <c r="E43" t="s">
        <v>20</v>
      </c>
      <c r="F43" t="s">
        <v>21</v>
      </c>
      <c r="G43" t="s">
        <v>39</v>
      </c>
      <c r="H43" t="b">
        <v>1</v>
      </c>
      <c r="I43">
        <v>10</v>
      </c>
      <c r="J43">
        <v>14</v>
      </c>
      <c r="L43">
        <v>1.4</v>
      </c>
      <c r="M43">
        <v>2.6600000000000001E-4</v>
      </c>
      <c r="N43">
        <v>1.4</v>
      </c>
      <c r="O43">
        <v>2.6600000000000001E-4</v>
      </c>
    </row>
    <row r="44" spans="1:16" x14ac:dyDescent="0.35">
      <c r="A44" t="s">
        <v>86</v>
      </c>
      <c r="B44" t="s">
        <v>87</v>
      </c>
      <c r="C44" t="s">
        <v>88</v>
      </c>
      <c r="D44" t="s">
        <v>19</v>
      </c>
      <c r="E44" t="s">
        <v>20</v>
      </c>
      <c r="F44" t="s">
        <v>21</v>
      </c>
      <c r="G44" t="s">
        <v>33</v>
      </c>
      <c r="H44" t="b">
        <v>1</v>
      </c>
      <c r="I44">
        <v>10</v>
      </c>
      <c r="J44">
        <v>20.399999999999999</v>
      </c>
      <c r="K44">
        <v>43</v>
      </c>
      <c r="L44">
        <v>128.52000000000001</v>
      </c>
      <c r="M44">
        <v>4.7552400000000002E-2</v>
      </c>
      <c r="N44">
        <v>128.52000000000001</v>
      </c>
      <c r="O44">
        <v>4.7552400000000002E-2</v>
      </c>
    </row>
    <row r="45" spans="1:16" x14ac:dyDescent="0.35">
      <c r="A45" t="s">
        <v>89</v>
      </c>
      <c r="B45" t="s">
        <v>87</v>
      </c>
      <c r="C45" t="s">
        <v>88</v>
      </c>
      <c r="D45" t="s">
        <v>19</v>
      </c>
      <c r="E45" t="s">
        <v>20</v>
      </c>
      <c r="F45" t="s">
        <v>21</v>
      </c>
      <c r="G45" t="s">
        <v>29</v>
      </c>
      <c r="H45" t="b">
        <v>1</v>
      </c>
      <c r="I45">
        <v>10</v>
      </c>
      <c r="J45">
        <v>8.5</v>
      </c>
      <c r="L45">
        <v>1.7</v>
      </c>
      <c r="M45">
        <v>6.6299999999999999E-5</v>
      </c>
      <c r="N45">
        <v>1.7</v>
      </c>
      <c r="O45">
        <v>6.6299999999999999E-5</v>
      </c>
    </row>
    <row r="46" spans="1:16" ht="29" x14ac:dyDescent="0.35">
      <c r="A46" t="s">
        <v>90</v>
      </c>
      <c r="B46" t="s">
        <v>87</v>
      </c>
      <c r="C46" t="s">
        <v>88</v>
      </c>
      <c r="D46" t="s">
        <v>19</v>
      </c>
      <c r="E46" t="s">
        <v>20</v>
      </c>
      <c r="F46" t="s">
        <v>21</v>
      </c>
      <c r="G46" t="s">
        <v>25</v>
      </c>
      <c r="H46" t="b">
        <v>1</v>
      </c>
      <c r="I46">
        <v>10</v>
      </c>
      <c r="J46">
        <v>22.3333333333333</v>
      </c>
      <c r="L46">
        <v>20.100000000000001</v>
      </c>
      <c r="M46">
        <v>3.8256330000000002E-3</v>
      </c>
      <c r="N46">
        <v>20.100000000000001</v>
      </c>
      <c r="O46">
        <v>3.8256330000000002E-3</v>
      </c>
      <c r="P46" s="1" t="s">
        <v>23</v>
      </c>
    </row>
    <row r="47" spans="1:16" ht="29" x14ac:dyDescent="0.35">
      <c r="A47" t="s">
        <v>91</v>
      </c>
      <c r="B47" t="s">
        <v>87</v>
      </c>
      <c r="C47" t="s">
        <v>92</v>
      </c>
      <c r="D47" t="s">
        <v>19</v>
      </c>
      <c r="E47" t="s">
        <v>20</v>
      </c>
      <c r="F47" t="s">
        <v>93</v>
      </c>
      <c r="G47" t="s">
        <v>25</v>
      </c>
      <c r="H47" t="b">
        <v>1</v>
      </c>
      <c r="I47">
        <v>10</v>
      </c>
      <c r="J47">
        <v>29.1666666666667</v>
      </c>
      <c r="L47">
        <v>549.77951388888903</v>
      </c>
      <c r="M47">
        <v>0.104639534878472</v>
      </c>
      <c r="N47">
        <v>549.77951388888903</v>
      </c>
      <c r="O47">
        <v>0.104639534878472</v>
      </c>
      <c r="P47" s="1" t="s">
        <v>23</v>
      </c>
    </row>
    <row r="48" spans="1:16" x14ac:dyDescent="0.35">
      <c r="A48" t="s">
        <v>94</v>
      </c>
      <c r="B48" t="s">
        <v>87</v>
      </c>
      <c r="C48" t="s">
        <v>92</v>
      </c>
      <c r="D48" t="s">
        <v>19</v>
      </c>
      <c r="E48" t="s">
        <v>20</v>
      </c>
      <c r="F48" t="s">
        <v>93</v>
      </c>
      <c r="G48" t="s">
        <v>33</v>
      </c>
      <c r="H48" t="b">
        <v>1</v>
      </c>
      <c r="I48">
        <v>10</v>
      </c>
      <c r="J48">
        <v>17</v>
      </c>
      <c r="L48">
        <v>427.25722222222203</v>
      </c>
      <c r="M48">
        <v>0.15808517222222199</v>
      </c>
      <c r="N48">
        <v>427.25722222222203</v>
      </c>
      <c r="O48">
        <v>0.15808517222222199</v>
      </c>
    </row>
    <row r="49" spans="1:16" x14ac:dyDescent="0.35">
      <c r="A49" t="s">
        <v>95</v>
      </c>
      <c r="B49" t="s">
        <v>87</v>
      </c>
      <c r="C49" t="s">
        <v>92</v>
      </c>
      <c r="D49" t="s">
        <v>19</v>
      </c>
      <c r="E49" t="s">
        <v>20</v>
      </c>
      <c r="F49" t="s">
        <v>93</v>
      </c>
      <c r="G49" t="s">
        <v>29</v>
      </c>
      <c r="H49" t="b">
        <v>1</v>
      </c>
      <c r="I49">
        <v>10</v>
      </c>
      <c r="J49">
        <v>8.8333333333333304</v>
      </c>
      <c r="L49">
        <v>166.50465277777801</v>
      </c>
      <c r="M49">
        <v>6.4936814583333403E-3</v>
      </c>
      <c r="N49">
        <v>166.50465277777801</v>
      </c>
      <c r="O49">
        <v>6.4936814583333403E-3</v>
      </c>
    </row>
    <row r="50" spans="1:16" ht="29" x14ac:dyDescent="0.35">
      <c r="A50" t="s">
        <v>96</v>
      </c>
      <c r="B50" t="s">
        <v>87</v>
      </c>
      <c r="C50" t="s">
        <v>92</v>
      </c>
      <c r="D50" t="s">
        <v>19</v>
      </c>
      <c r="E50" t="s">
        <v>20</v>
      </c>
      <c r="F50" t="s">
        <v>93</v>
      </c>
      <c r="G50" t="s">
        <v>22</v>
      </c>
      <c r="H50" t="b">
        <v>1</v>
      </c>
      <c r="I50">
        <v>10</v>
      </c>
      <c r="J50">
        <v>22</v>
      </c>
      <c r="L50">
        <v>69.115138888888893</v>
      </c>
      <c r="M50">
        <v>4.9623682357171099E-3</v>
      </c>
      <c r="N50">
        <v>69.115138888888893</v>
      </c>
      <c r="O50">
        <v>4.9623682357171099E-3</v>
      </c>
      <c r="P50" s="1" t="s">
        <v>23</v>
      </c>
    </row>
    <row r="51" spans="1:16" ht="29" x14ac:dyDescent="0.35">
      <c r="A51" t="s">
        <v>97</v>
      </c>
      <c r="B51" t="s">
        <v>87</v>
      </c>
      <c r="C51" t="s">
        <v>98</v>
      </c>
      <c r="D51" t="s">
        <v>19</v>
      </c>
      <c r="E51" t="s">
        <v>20</v>
      </c>
      <c r="F51" t="s">
        <v>21</v>
      </c>
      <c r="G51" t="s">
        <v>25</v>
      </c>
      <c r="H51" t="b">
        <v>1</v>
      </c>
      <c r="I51">
        <v>10</v>
      </c>
      <c r="J51">
        <v>18.8</v>
      </c>
      <c r="L51">
        <v>9.4</v>
      </c>
      <c r="M51">
        <v>1.7891020000000001E-3</v>
      </c>
      <c r="N51">
        <v>9.4</v>
      </c>
      <c r="O51">
        <v>1.7891020000000001E-3</v>
      </c>
      <c r="P51" s="1" t="s">
        <v>23</v>
      </c>
    </row>
    <row r="52" spans="1:16" x14ac:dyDescent="0.35">
      <c r="A52" t="s">
        <v>99</v>
      </c>
      <c r="B52" t="s">
        <v>87</v>
      </c>
      <c r="C52" t="s">
        <v>98</v>
      </c>
      <c r="D52" t="s">
        <v>19</v>
      </c>
      <c r="E52" t="s">
        <v>20</v>
      </c>
      <c r="F52" t="s">
        <v>21</v>
      </c>
      <c r="G52" t="s">
        <v>29</v>
      </c>
      <c r="H52" t="b">
        <v>1</v>
      </c>
      <c r="I52">
        <v>10</v>
      </c>
      <c r="J52">
        <v>13.8</v>
      </c>
      <c r="L52">
        <v>13.8</v>
      </c>
      <c r="M52">
        <v>5.3819999999999996E-4</v>
      </c>
      <c r="N52">
        <v>13.8</v>
      </c>
      <c r="O52">
        <v>5.3819999999999996E-4</v>
      </c>
    </row>
    <row r="53" spans="1:16" x14ac:dyDescent="0.35">
      <c r="A53" t="s">
        <v>100</v>
      </c>
      <c r="B53" t="s">
        <v>87</v>
      </c>
      <c r="C53" t="s">
        <v>98</v>
      </c>
      <c r="D53" t="s">
        <v>19</v>
      </c>
      <c r="E53" t="s">
        <v>20</v>
      </c>
      <c r="F53" t="s">
        <v>21</v>
      </c>
      <c r="G53" t="s">
        <v>45</v>
      </c>
      <c r="H53" t="b">
        <v>0</v>
      </c>
      <c r="I53">
        <v>10</v>
      </c>
      <c r="J53">
        <v>128</v>
      </c>
      <c r="L53">
        <v>12.8</v>
      </c>
      <c r="M53">
        <v>2.8160000000000001E-4</v>
      </c>
      <c r="N53">
        <v>0</v>
      </c>
      <c r="O53">
        <v>0</v>
      </c>
    </row>
    <row r="54" spans="1:16" x14ac:dyDescent="0.35">
      <c r="A54" t="s">
        <v>101</v>
      </c>
      <c r="B54" t="s">
        <v>87</v>
      </c>
      <c r="C54" t="s">
        <v>98</v>
      </c>
      <c r="D54" t="s">
        <v>19</v>
      </c>
      <c r="E54" t="s">
        <v>20</v>
      </c>
      <c r="F54" t="s">
        <v>21</v>
      </c>
      <c r="G54" t="s">
        <v>39</v>
      </c>
      <c r="H54" t="b">
        <v>1</v>
      </c>
      <c r="I54">
        <v>10</v>
      </c>
      <c r="J54">
        <v>34</v>
      </c>
      <c r="L54">
        <v>3.4</v>
      </c>
      <c r="M54">
        <v>6.4599999999999998E-4</v>
      </c>
      <c r="N54">
        <v>3.4</v>
      </c>
      <c r="O54">
        <v>6.4599999999999998E-4</v>
      </c>
    </row>
    <row r="55" spans="1:16" ht="29" x14ac:dyDescent="0.35">
      <c r="A55" t="s">
        <v>102</v>
      </c>
      <c r="B55" t="s">
        <v>87</v>
      </c>
      <c r="C55" t="s">
        <v>103</v>
      </c>
      <c r="D55" t="s">
        <v>19</v>
      </c>
      <c r="E55" t="s">
        <v>20</v>
      </c>
      <c r="F55" t="s">
        <v>93</v>
      </c>
      <c r="G55" t="s">
        <v>25</v>
      </c>
      <c r="H55" t="b">
        <v>1</v>
      </c>
      <c r="I55">
        <v>10</v>
      </c>
      <c r="J55">
        <v>22.714285714285701</v>
      </c>
      <c r="L55">
        <v>499.51395833333299</v>
      </c>
      <c r="M55">
        <v>9.5072491689583302E-2</v>
      </c>
      <c r="N55">
        <v>499.51395833333299</v>
      </c>
      <c r="O55">
        <v>9.5072491689583302E-2</v>
      </c>
      <c r="P55" s="1" t="s">
        <v>23</v>
      </c>
    </row>
    <row r="56" spans="1:16" x14ac:dyDescent="0.35">
      <c r="A56" t="s">
        <v>104</v>
      </c>
      <c r="B56" t="s">
        <v>87</v>
      </c>
      <c r="C56" t="s">
        <v>103</v>
      </c>
      <c r="D56" t="s">
        <v>19</v>
      </c>
      <c r="E56" t="s">
        <v>20</v>
      </c>
      <c r="F56" t="s">
        <v>93</v>
      </c>
      <c r="G56" t="s">
        <v>33</v>
      </c>
      <c r="H56" t="b">
        <v>1</v>
      </c>
      <c r="I56">
        <v>10</v>
      </c>
      <c r="J56">
        <v>21.4</v>
      </c>
      <c r="L56">
        <v>672.30180555555501</v>
      </c>
      <c r="M56">
        <v>0.24875166805555601</v>
      </c>
      <c r="N56">
        <v>672.30180555555603</v>
      </c>
      <c r="O56">
        <v>0.24875166805555601</v>
      </c>
    </row>
    <row r="57" spans="1:16" x14ac:dyDescent="0.35">
      <c r="A57" t="s">
        <v>105</v>
      </c>
      <c r="B57" t="s">
        <v>87</v>
      </c>
      <c r="C57" t="s">
        <v>103</v>
      </c>
      <c r="D57" t="s">
        <v>19</v>
      </c>
      <c r="E57" t="s">
        <v>20</v>
      </c>
      <c r="F57" t="s">
        <v>93</v>
      </c>
      <c r="G57" t="s">
        <v>29</v>
      </c>
      <c r="H57" t="b">
        <v>1</v>
      </c>
      <c r="I57">
        <v>10</v>
      </c>
      <c r="J57">
        <v>8.3333333333333304</v>
      </c>
      <c r="L57">
        <v>78.5399305555555</v>
      </c>
      <c r="M57">
        <v>3.0630572916666701E-3</v>
      </c>
      <c r="N57">
        <v>78.5399305555556</v>
      </c>
      <c r="O57">
        <v>3.0630572916666701E-3</v>
      </c>
    </row>
    <row r="58" spans="1:16" x14ac:dyDescent="0.35">
      <c r="A58" t="s">
        <v>106</v>
      </c>
      <c r="B58" t="s">
        <v>107</v>
      </c>
      <c r="C58" t="s">
        <v>108</v>
      </c>
      <c r="D58" t="s">
        <v>19</v>
      </c>
      <c r="E58" t="s">
        <v>20</v>
      </c>
      <c r="F58" t="s">
        <v>93</v>
      </c>
      <c r="G58" t="s">
        <v>79</v>
      </c>
      <c r="H58" t="b">
        <v>1</v>
      </c>
      <c r="I58">
        <v>10</v>
      </c>
      <c r="J58">
        <v>10</v>
      </c>
      <c r="L58">
        <v>31.415972222222202</v>
      </c>
      <c r="M58">
        <v>1.3603115972222199E-2</v>
      </c>
      <c r="N58">
        <v>31.415972222222202</v>
      </c>
      <c r="O58">
        <v>1.3603115972222199E-2</v>
      </c>
    </row>
    <row r="59" spans="1:16" x14ac:dyDescent="0.35">
      <c r="A59" t="s">
        <v>109</v>
      </c>
      <c r="B59" t="s">
        <v>107</v>
      </c>
      <c r="C59" t="s">
        <v>108</v>
      </c>
      <c r="D59" t="s">
        <v>19</v>
      </c>
      <c r="E59" t="s">
        <v>20</v>
      </c>
      <c r="F59" t="s">
        <v>93</v>
      </c>
      <c r="G59" t="s">
        <v>57</v>
      </c>
      <c r="H59" t="b">
        <v>1</v>
      </c>
      <c r="I59">
        <v>10</v>
      </c>
      <c r="J59">
        <v>13.55</v>
      </c>
      <c r="K59">
        <v>24</v>
      </c>
      <c r="L59">
        <v>1873.02026388889</v>
      </c>
      <c r="M59">
        <v>1.078185384705</v>
      </c>
      <c r="N59">
        <v>1873.02026388889</v>
      </c>
      <c r="O59">
        <v>1.078185384705</v>
      </c>
    </row>
    <row r="60" spans="1:16" ht="29" x14ac:dyDescent="0.35">
      <c r="A60" t="s">
        <v>110</v>
      </c>
      <c r="B60" t="s">
        <v>107</v>
      </c>
      <c r="C60" t="s">
        <v>108</v>
      </c>
      <c r="D60" t="s">
        <v>19</v>
      </c>
      <c r="E60" t="s">
        <v>20</v>
      </c>
      <c r="F60" t="s">
        <v>93</v>
      </c>
      <c r="G60" s="1" t="s">
        <v>74</v>
      </c>
      <c r="H60" t="b">
        <v>1</v>
      </c>
      <c r="I60">
        <v>10</v>
      </c>
      <c r="J60">
        <v>22</v>
      </c>
      <c r="L60">
        <v>69.115138888888893</v>
      </c>
      <c r="M60">
        <v>3.8704477777777801E-3</v>
      </c>
      <c r="N60">
        <v>69.115138888888893</v>
      </c>
      <c r="O60">
        <v>3.8704477777777801E-3</v>
      </c>
    </row>
    <row r="61" spans="1:16" x14ac:dyDescent="0.35">
      <c r="A61" t="s">
        <v>111</v>
      </c>
      <c r="B61" t="s">
        <v>107</v>
      </c>
      <c r="C61" t="s">
        <v>108</v>
      </c>
      <c r="D61" t="s">
        <v>19</v>
      </c>
      <c r="E61" t="s">
        <v>20</v>
      </c>
      <c r="F61" t="s">
        <v>93</v>
      </c>
      <c r="G61" t="s">
        <v>29</v>
      </c>
      <c r="H61" t="b">
        <v>1</v>
      </c>
      <c r="I61">
        <v>10</v>
      </c>
      <c r="J61">
        <v>8</v>
      </c>
      <c r="L61">
        <v>25.1327777777778</v>
      </c>
      <c r="M61">
        <v>9.8017833333333398E-4</v>
      </c>
      <c r="N61">
        <v>25.1327777777778</v>
      </c>
      <c r="O61">
        <v>9.8017833333333398E-4</v>
      </c>
    </row>
    <row r="62" spans="1:16" x14ac:dyDescent="0.35">
      <c r="A62" t="s">
        <v>112</v>
      </c>
      <c r="B62" t="s">
        <v>107</v>
      </c>
      <c r="C62" t="s">
        <v>108</v>
      </c>
      <c r="D62" t="s">
        <v>19</v>
      </c>
      <c r="E62" t="s">
        <v>20</v>
      </c>
      <c r="F62" t="s">
        <v>93</v>
      </c>
      <c r="G62" t="s">
        <v>113</v>
      </c>
      <c r="H62" t="b">
        <v>1</v>
      </c>
      <c r="I62">
        <v>10</v>
      </c>
      <c r="J62">
        <v>16</v>
      </c>
      <c r="L62">
        <v>50.265555555555601</v>
      </c>
      <c r="M62">
        <v>1.30690444444445E-2</v>
      </c>
      <c r="N62">
        <v>50.265555555555601</v>
      </c>
      <c r="O62">
        <v>1.30690444444445E-2</v>
      </c>
    </row>
    <row r="63" spans="1:16" x14ac:dyDescent="0.35">
      <c r="A63" t="s">
        <v>114</v>
      </c>
      <c r="B63" t="s">
        <v>107</v>
      </c>
      <c r="C63" t="s">
        <v>108</v>
      </c>
      <c r="D63" t="s">
        <v>19</v>
      </c>
      <c r="E63" t="s">
        <v>20</v>
      </c>
      <c r="F63" t="s">
        <v>93</v>
      </c>
      <c r="G63" t="s">
        <v>31</v>
      </c>
      <c r="H63" t="b">
        <v>1</v>
      </c>
      <c r="I63">
        <v>10</v>
      </c>
      <c r="J63">
        <v>44</v>
      </c>
      <c r="L63">
        <v>138.23027777777801</v>
      </c>
      <c r="M63">
        <v>0.37384378625000098</v>
      </c>
      <c r="N63">
        <v>138.23027777777801</v>
      </c>
      <c r="O63">
        <v>0.37384378625000098</v>
      </c>
    </row>
    <row r="64" spans="1:16" x14ac:dyDescent="0.35">
      <c r="A64" t="s">
        <v>115</v>
      </c>
      <c r="B64" t="s">
        <v>107</v>
      </c>
      <c r="C64" t="s">
        <v>108</v>
      </c>
      <c r="D64" t="s">
        <v>19</v>
      </c>
      <c r="E64" t="s">
        <v>20</v>
      </c>
      <c r="F64" t="s">
        <v>93</v>
      </c>
      <c r="G64" t="s">
        <v>72</v>
      </c>
      <c r="H64" t="b">
        <v>1</v>
      </c>
      <c r="I64">
        <v>10</v>
      </c>
      <c r="J64">
        <v>640</v>
      </c>
      <c r="L64">
        <v>2010.62222222222</v>
      </c>
      <c r="M64">
        <v>0</v>
      </c>
      <c r="N64">
        <v>2010.62222222222</v>
      </c>
      <c r="O64">
        <v>0</v>
      </c>
    </row>
    <row r="65" spans="1:16" ht="29" x14ac:dyDescent="0.35">
      <c r="A65" t="s">
        <v>116</v>
      </c>
      <c r="B65" t="s">
        <v>17</v>
      </c>
      <c r="C65" t="s">
        <v>18</v>
      </c>
      <c r="D65" t="s">
        <v>117</v>
      </c>
      <c r="E65" t="s">
        <v>20</v>
      </c>
      <c r="F65" t="s">
        <v>93</v>
      </c>
      <c r="G65" t="s">
        <v>22</v>
      </c>
      <c r="H65" t="b">
        <v>1</v>
      </c>
      <c r="I65">
        <v>10</v>
      </c>
      <c r="J65">
        <v>16.2</v>
      </c>
      <c r="K65">
        <v>50</v>
      </c>
      <c r="L65">
        <v>3562.57125</v>
      </c>
      <c r="M65">
        <v>0.255787526331964</v>
      </c>
      <c r="N65">
        <v>3562.57125</v>
      </c>
      <c r="O65">
        <v>0.255787526331964</v>
      </c>
      <c r="P65" s="1" t="s">
        <v>23</v>
      </c>
    </row>
    <row r="66" spans="1:16" ht="29" x14ac:dyDescent="0.35">
      <c r="A66" t="s">
        <v>118</v>
      </c>
      <c r="B66" t="s">
        <v>17</v>
      </c>
      <c r="C66" t="s">
        <v>18</v>
      </c>
      <c r="D66" t="s">
        <v>117</v>
      </c>
      <c r="E66" t="s">
        <v>20</v>
      </c>
      <c r="F66" t="s">
        <v>93</v>
      </c>
      <c r="G66" t="s">
        <v>25</v>
      </c>
      <c r="H66" t="b">
        <v>1</v>
      </c>
      <c r="I66">
        <v>10</v>
      </c>
      <c r="J66">
        <v>180</v>
      </c>
      <c r="L66">
        <v>565.48749999999995</v>
      </c>
      <c r="M66">
        <v>0.10762923587500001</v>
      </c>
      <c r="N66">
        <v>565.48749999999995</v>
      </c>
      <c r="O66">
        <v>0.10762923587500001</v>
      </c>
      <c r="P66" s="1" t="s">
        <v>23</v>
      </c>
    </row>
    <row r="67" spans="1:16" x14ac:dyDescent="0.35">
      <c r="A67" t="s">
        <v>119</v>
      </c>
      <c r="B67" t="s">
        <v>17</v>
      </c>
      <c r="C67" t="s">
        <v>18</v>
      </c>
      <c r="D67" t="s">
        <v>117</v>
      </c>
      <c r="E67" t="s">
        <v>20</v>
      </c>
      <c r="F67" t="s">
        <v>93</v>
      </c>
      <c r="G67" t="s">
        <v>29</v>
      </c>
      <c r="H67" t="b">
        <v>1</v>
      </c>
      <c r="I67">
        <v>10</v>
      </c>
      <c r="J67">
        <v>5.5714285714285703</v>
      </c>
      <c r="L67">
        <v>122.522291666667</v>
      </c>
      <c r="M67">
        <v>4.7783693750000104E-3</v>
      </c>
      <c r="N67">
        <v>122.522291666667</v>
      </c>
      <c r="O67">
        <v>4.7783693750000104E-3</v>
      </c>
    </row>
    <row r="68" spans="1:16" x14ac:dyDescent="0.35">
      <c r="A68" t="s">
        <v>120</v>
      </c>
      <c r="B68" t="s">
        <v>17</v>
      </c>
      <c r="C68" t="s">
        <v>18</v>
      </c>
      <c r="D68" t="s">
        <v>117</v>
      </c>
      <c r="E68" t="s">
        <v>20</v>
      </c>
      <c r="F68" t="s">
        <v>93</v>
      </c>
      <c r="G68" t="s">
        <v>39</v>
      </c>
      <c r="H68" t="b">
        <v>1</v>
      </c>
      <c r="I68">
        <v>10</v>
      </c>
      <c r="J68">
        <v>12</v>
      </c>
      <c r="L68">
        <v>37.699166666666699</v>
      </c>
      <c r="M68">
        <v>7.1628416666666703E-3</v>
      </c>
      <c r="N68">
        <v>37.699166666666699</v>
      </c>
      <c r="O68">
        <v>7.1628416666666703E-3</v>
      </c>
    </row>
    <row r="69" spans="1:16" x14ac:dyDescent="0.35">
      <c r="A69" t="s">
        <v>121</v>
      </c>
      <c r="B69" t="s">
        <v>17</v>
      </c>
      <c r="C69" t="s">
        <v>35</v>
      </c>
      <c r="D69" t="s">
        <v>117</v>
      </c>
      <c r="E69" t="s">
        <v>20</v>
      </c>
      <c r="F69" t="s">
        <v>21</v>
      </c>
      <c r="G69" t="s">
        <v>27</v>
      </c>
      <c r="H69" t="b">
        <v>1</v>
      </c>
      <c r="I69">
        <v>10</v>
      </c>
      <c r="J69">
        <v>21</v>
      </c>
      <c r="L69">
        <v>4.2</v>
      </c>
      <c r="M69">
        <v>4.6200000000000001E-4</v>
      </c>
      <c r="N69">
        <v>4.2</v>
      </c>
      <c r="O69">
        <v>4.6200000000000001E-4</v>
      </c>
    </row>
    <row r="70" spans="1:16" ht="29" x14ac:dyDescent="0.35">
      <c r="A70" t="s">
        <v>122</v>
      </c>
      <c r="B70" t="s">
        <v>17</v>
      </c>
      <c r="C70" t="s">
        <v>35</v>
      </c>
      <c r="D70" t="s">
        <v>117</v>
      </c>
      <c r="E70" t="s">
        <v>20</v>
      </c>
      <c r="F70" t="s">
        <v>21</v>
      </c>
      <c r="G70" t="s">
        <v>22</v>
      </c>
      <c r="H70" t="b">
        <v>1</v>
      </c>
      <c r="I70">
        <v>10</v>
      </c>
      <c r="J70">
        <v>24.55</v>
      </c>
      <c r="K70">
        <v>13</v>
      </c>
      <c r="L70">
        <v>81.015000000000001</v>
      </c>
      <c r="M70">
        <v>5.8167612635913E-3</v>
      </c>
      <c r="N70">
        <v>81.015000000000001</v>
      </c>
      <c r="O70">
        <v>5.8167612635913E-3</v>
      </c>
      <c r="P70" s="1" t="s">
        <v>23</v>
      </c>
    </row>
    <row r="71" spans="1:16" ht="29" x14ac:dyDescent="0.35">
      <c r="A71" t="s">
        <v>123</v>
      </c>
      <c r="B71" t="s">
        <v>17</v>
      </c>
      <c r="C71" t="s">
        <v>35</v>
      </c>
      <c r="D71" t="s">
        <v>117</v>
      </c>
      <c r="E71" t="s">
        <v>20</v>
      </c>
      <c r="F71" t="s">
        <v>21</v>
      </c>
      <c r="G71" t="s">
        <v>25</v>
      </c>
      <c r="H71" t="b">
        <v>1</v>
      </c>
      <c r="I71">
        <v>10</v>
      </c>
      <c r="J71">
        <v>101.5</v>
      </c>
      <c r="L71">
        <v>40.6</v>
      </c>
      <c r="M71">
        <v>7.7273979999999999E-3</v>
      </c>
      <c r="N71">
        <v>40.6</v>
      </c>
      <c r="O71">
        <v>7.7273979999999999E-3</v>
      </c>
      <c r="P71" s="1" t="s">
        <v>23</v>
      </c>
    </row>
    <row r="72" spans="1:16" x14ac:dyDescent="0.35">
      <c r="A72" t="s">
        <v>124</v>
      </c>
      <c r="B72" t="s">
        <v>17</v>
      </c>
      <c r="C72" t="s">
        <v>35</v>
      </c>
      <c r="D72" t="s">
        <v>117</v>
      </c>
      <c r="E72" t="s">
        <v>20</v>
      </c>
      <c r="F72" t="s">
        <v>21</v>
      </c>
      <c r="G72" t="s">
        <v>29</v>
      </c>
      <c r="H72" t="b">
        <v>1</v>
      </c>
      <c r="I72">
        <v>10</v>
      </c>
      <c r="J72">
        <v>17.5555555555556</v>
      </c>
      <c r="L72">
        <v>15.8</v>
      </c>
      <c r="M72">
        <v>6.1620000000000002E-4</v>
      </c>
      <c r="N72">
        <v>15.8</v>
      </c>
      <c r="O72">
        <v>6.1620000000000002E-4</v>
      </c>
    </row>
    <row r="73" spans="1:16" x14ac:dyDescent="0.35">
      <c r="A73" t="s">
        <v>125</v>
      </c>
      <c r="B73" t="s">
        <v>17</v>
      </c>
      <c r="C73" t="s">
        <v>35</v>
      </c>
      <c r="D73" t="s">
        <v>117</v>
      </c>
      <c r="E73" t="s">
        <v>20</v>
      </c>
      <c r="F73" t="s">
        <v>21</v>
      </c>
      <c r="G73" t="s">
        <v>31</v>
      </c>
      <c r="H73" t="b">
        <v>1</v>
      </c>
      <c r="I73">
        <v>10</v>
      </c>
      <c r="J73">
        <v>32</v>
      </c>
      <c r="L73">
        <v>3.2</v>
      </c>
      <c r="M73">
        <v>8.6543999999999996E-3</v>
      </c>
      <c r="N73">
        <v>3.2</v>
      </c>
      <c r="O73">
        <v>8.6543999999999996E-3</v>
      </c>
    </row>
    <row r="74" spans="1:16" x14ac:dyDescent="0.35">
      <c r="A74" t="s">
        <v>126</v>
      </c>
      <c r="B74" t="s">
        <v>17</v>
      </c>
      <c r="C74" t="s">
        <v>35</v>
      </c>
      <c r="D74" t="s">
        <v>117</v>
      </c>
      <c r="E74" t="s">
        <v>20</v>
      </c>
      <c r="F74" t="s">
        <v>21</v>
      </c>
      <c r="G74" t="s">
        <v>33</v>
      </c>
      <c r="H74" t="b">
        <v>1</v>
      </c>
      <c r="I74">
        <v>10</v>
      </c>
      <c r="J74">
        <v>5</v>
      </c>
      <c r="L74">
        <v>0.5</v>
      </c>
      <c r="M74">
        <v>1.85E-4</v>
      </c>
      <c r="N74">
        <v>0.5</v>
      </c>
      <c r="O74">
        <v>1.85E-4</v>
      </c>
    </row>
    <row r="75" spans="1:16" x14ac:dyDescent="0.35">
      <c r="A75" t="s">
        <v>127</v>
      </c>
      <c r="B75" t="s">
        <v>17</v>
      </c>
      <c r="C75" t="s">
        <v>35</v>
      </c>
      <c r="D75" t="s">
        <v>117</v>
      </c>
      <c r="E75" t="s">
        <v>20</v>
      </c>
      <c r="F75" t="s">
        <v>21</v>
      </c>
      <c r="G75" t="s">
        <v>128</v>
      </c>
      <c r="H75" t="b">
        <v>0</v>
      </c>
      <c r="I75">
        <v>10</v>
      </c>
      <c r="J75">
        <v>32</v>
      </c>
      <c r="L75">
        <v>3.2</v>
      </c>
      <c r="M75">
        <v>2.8447999999999999E-5</v>
      </c>
      <c r="N75">
        <v>0</v>
      </c>
      <c r="O75">
        <v>0</v>
      </c>
    </row>
    <row r="76" spans="1:16" ht="29" x14ac:dyDescent="0.35">
      <c r="A76" t="s">
        <v>129</v>
      </c>
      <c r="B76" t="s">
        <v>47</v>
      </c>
      <c r="C76" t="s">
        <v>48</v>
      </c>
      <c r="D76" t="s">
        <v>117</v>
      </c>
      <c r="E76" t="s">
        <v>20</v>
      </c>
      <c r="F76" t="s">
        <v>21</v>
      </c>
      <c r="G76" t="s">
        <v>25</v>
      </c>
      <c r="H76" t="b">
        <v>1</v>
      </c>
      <c r="I76">
        <v>10</v>
      </c>
      <c r="J76">
        <v>32.5555555555556</v>
      </c>
      <c r="L76">
        <v>29.3</v>
      </c>
      <c r="M76">
        <v>5.5766690000000002E-3</v>
      </c>
      <c r="N76">
        <v>29.3</v>
      </c>
      <c r="O76">
        <v>5.5766690000000002E-3</v>
      </c>
      <c r="P76" s="1" t="s">
        <v>23</v>
      </c>
    </row>
    <row r="77" spans="1:16" x14ac:dyDescent="0.35">
      <c r="A77" t="s">
        <v>130</v>
      </c>
      <c r="B77" t="s">
        <v>47</v>
      </c>
      <c r="C77" t="s">
        <v>55</v>
      </c>
      <c r="D77" t="s">
        <v>117</v>
      </c>
      <c r="E77" t="s">
        <v>20</v>
      </c>
      <c r="F77" t="s">
        <v>21</v>
      </c>
      <c r="G77" t="s">
        <v>31</v>
      </c>
      <c r="H77" t="b">
        <v>1</v>
      </c>
      <c r="I77">
        <v>10</v>
      </c>
      <c r="J77">
        <v>130.46666666666701</v>
      </c>
      <c r="L77">
        <v>195.7</v>
      </c>
      <c r="M77">
        <v>0.52927064999999995</v>
      </c>
      <c r="N77">
        <v>195.7</v>
      </c>
      <c r="O77">
        <v>0.52927064999999995</v>
      </c>
    </row>
    <row r="78" spans="1:16" x14ac:dyDescent="0.35">
      <c r="A78" t="s">
        <v>131</v>
      </c>
      <c r="B78" t="s">
        <v>47</v>
      </c>
      <c r="C78" t="s">
        <v>55</v>
      </c>
      <c r="D78" t="s">
        <v>117</v>
      </c>
      <c r="E78" t="s">
        <v>20</v>
      </c>
      <c r="F78" t="s">
        <v>21</v>
      </c>
      <c r="G78" t="s">
        <v>31</v>
      </c>
      <c r="H78" t="b">
        <v>1</v>
      </c>
      <c r="I78">
        <v>10</v>
      </c>
      <c r="J78">
        <v>130.46666666666701</v>
      </c>
      <c r="L78">
        <v>195.7</v>
      </c>
      <c r="M78">
        <v>0.52927064999999995</v>
      </c>
      <c r="N78">
        <v>195.7</v>
      </c>
      <c r="O78">
        <v>0.52927064999999995</v>
      </c>
    </row>
    <row r="79" spans="1:16" x14ac:dyDescent="0.35">
      <c r="A79" t="s">
        <v>132</v>
      </c>
      <c r="B79" t="s">
        <v>47</v>
      </c>
      <c r="C79" t="s">
        <v>55</v>
      </c>
      <c r="D79" t="s">
        <v>117</v>
      </c>
      <c r="E79" t="s">
        <v>20</v>
      </c>
      <c r="F79" t="s">
        <v>21</v>
      </c>
      <c r="G79" t="s">
        <v>27</v>
      </c>
      <c r="H79" t="b">
        <v>1</v>
      </c>
      <c r="I79">
        <v>10</v>
      </c>
      <c r="J79">
        <v>19.3333333333333</v>
      </c>
      <c r="L79">
        <v>5.8</v>
      </c>
      <c r="M79">
        <v>6.38E-4</v>
      </c>
      <c r="N79">
        <v>5.8</v>
      </c>
      <c r="O79">
        <v>6.38E-4</v>
      </c>
    </row>
    <row r="80" spans="1:16" ht="29" x14ac:dyDescent="0.35">
      <c r="A80" t="s">
        <v>133</v>
      </c>
      <c r="B80" t="s">
        <v>47</v>
      </c>
      <c r="C80" t="s">
        <v>55</v>
      </c>
      <c r="D80" t="s">
        <v>117</v>
      </c>
      <c r="E80" t="s">
        <v>20</v>
      </c>
      <c r="F80" t="s">
        <v>21</v>
      </c>
      <c r="G80" t="s">
        <v>25</v>
      </c>
      <c r="H80" t="b">
        <v>1</v>
      </c>
      <c r="I80">
        <v>10</v>
      </c>
      <c r="J80">
        <v>45.857142857142897</v>
      </c>
      <c r="L80">
        <v>32.1</v>
      </c>
      <c r="M80">
        <v>6.109593E-3</v>
      </c>
      <c r="N80">
        <v>32.1</v>
      </c>
      <c r="O80">
        <v>6.109593E-3</v>
      </c>
      <c r="P80" s="1" t="s">
        <v>23</v>
      </c>
    </row>
    <row r="81" spans="1:16" x14ac:dyDescent="0.35">
      <c r="A81" t="s">
        <v>134</v>
      </c>
      <c r="B81" t="s">
        <v>47</v>
      </c>
      <c r="C81" t="s">
        <v>55</v>
      </c>
      <c r="D81" t="s">
        <v>117</v>
      </c>
      <c r="E81" t="s">
        <v>20</v>
      </c>
      <c r="F81" t="s">
        <v>21</v>
      </c>
      <c r="G81" t="s">
        <v>43</v>
      </c>
      <c r="H81" t="b">
        <v>0</v>
      </c>
      <c r="I81">
        <v>10</v>
      </c>
      <c r="J81">
        <v>560</v>
      </c>
      <c r="L81">
        <v>56</v>
      </c>
      <c r="M81">
        <v>1.26E-4</v>
      </c>
      <c r="N81">
        <v>0</v>
      </c>
      <c r="O81">
        <v>0</v>
      </c>
    </row>
    <row r="82" spans="1:16" ht="29" x14ac:dyDescent="0.35">
      <c r="A82" t="s">
        <v>135</v>
      </c>
      <c r="B82" t="s">
        <v>47</v>
      </c>
      <c r="C82" t="s">
        <v>55</v>
      </c>
      <c r="D82" t="s">
        <v>117</v>
      </c>
      <c r="E82" t="s">
        <v>20</v>
      </c>
      <c r="F82" t="s">
        <v>21</v>
      </c>
      <c r="G82" t="s">
        <v>22</v>
      </c>
      <c r="H82" t="b">
        <v>1</v>
      </c>
      <c r="I82">
        <v>10</v>
      </c>
      <c r="J82">
        <v>18</v>
      </c>
      <c r="L82">
        <v>1.8</v>
      </c>
      <c r="M82">
        <v>1.29237428556E-4</v>
      </c>
      <c r="N82">
        <v>1.8</v>
      </c>
      <c r="O82">
        <v>1.29237428556E-4</v>
      </c>
      <c r="P82" s="1" t="s">
        <v>23</v>
      </c>
    </row>
    <row r="83" spans="1:16" x14ac:dyDescent="0.35">
      <c r="A83" t="s">
        <v>136</v>
      </c>
      <c r="B83" t="s">
        <v>47</v>
      </c>
      <c r="C83" t="s">
        <v>62</v>
      </c>
      <c r="D83" t="s">
        <v>117</v>
      </c>
      <c r="E83" t="s">
        <v>20</v>
      </c>
      <c r="F83" t="s">
        <v>21</v>
      </c>
      <c r="G83" t="s">
        <v>33</v>
      </c>
      <c r="H83" t="b">
        <v>1</v>
      </c>
      <c r="I83">
        <v>10</v>
      </c>
      <c r="J83">
        <v>24.7</v>
      </c>
      <c r="L83">
        <v>49.4</v>
      </c>
      <c r="M83">
        <v>1.8277999999999999E-2</v>
      </c>
      <c r="N83">
        <v>49.4</v>
      </c>
      <c r="O83">
        <v>1.8277999999999999E-2</v>
      </c>
    </row>
    <row r="84" spans="1:16" ht="29" x14ac:dyDescent="0.35">
      <c r="A84" t="s">
        <v>137</v>
      </c>
      <c r="B84" t="s">
        <v>47</v>
      </c>
      <c r="C84" t="s">
        <v>62</v>
      </c>
      <c r="D84" t="s">
        <v>117</v>
      </c>
      <c r="E84" t="s">
        <v>20</v>
      </c>
      <c r="F84" t="s">
        <v>21</v>
      </c>
      <c r="G84" t="s">
        <v>25</v>
      </c>
      <c r="H84" t="b">
        <v>1</v>
      </c>
      <c r="I84">
        <v>10</v>
      </c>
      <c r="J84">
        <v>32.818181818181799</v>
      </c>
      <c r="L84">
        <v>36.1</v>
      </c>
      <c r="M84">
        <v>6.8709130000000002E-3</v>
      </c>
      <c r="N84">
        <v>36.1</v>
      </c>
      <c r="O84">
        <v>6.8709130000000002E-3</v>
      </c>
      <c r="P84" s="1" t="s">
        <v>23</v>
      </c>
    </row>
    <row r="85" spans="1:16" x14ac:dyDescent="0.35">
      <c r="A85" t="s">
        <v>138</v>
      </c>
      <c r="B85" t="s">
        <v>47</v>
      </c>
      <c r="C85" t="s">
        <v>62</v>
      </c>
      <c r="D85" t="s">
        <v>117</v>
      </c>
      <c r="E85" t="s">
        <v>20</v>
      </c>
      <c r="F85" t="s">
        <v>21</v>
      </c>
      <c r="G85" t="s">
        <v>31</v>
      </c>
      <c r="H85" t="b">
        <v>1</v>
      </c>
      <c r="I85">
        <v>10</v>
      </c>
      <c r="J85">
        <v>252</v>
      </c>
      <c r="L85">
        <v>25.2</v>
      </c>
      <c r="M85">
        <v>6.8153400000000003E-2</v>
      </c>
      <c r="N85">
        <v>25.2</v>
      </c>
      <c r="O85">
        <v>6.8153400000000003E-2</v>
      </c>
    </row>
    <row r="86" spans="1:16" x14ac:dyDescent="0.35">
      <c r="A86" t="s">
        <v>139</v>
      </c>
      <c r="B86" t="s">
        <v>47</v>
      </c>
      <c r="C86" t="s">
        <v>68</v>
      </c>
      <c r="D86" t="s">
        <v>117</v>
      </c>
      <c r="E86" t="s">
        <v>20</v>
      </c>
      <c r="F86" t="s">
        <v>21</v>
      </c>
      <c r="G86" t="s">
        <v>33</v>
      </c>
      <c r="H86" t="b">
        <v>1</v>
      </c>
      <c r="I86">
        <v>10</v>
      </c>
      <c r="J86">
        <v>7.5</v>
      </c>
      <c r="L86">
        <v>1.5</v>
      </c>
      <c r="M86">
        <v>5.5500000000000005E-4</v>
      </c>
      <c r="N86">
        <v>1.5</v>
      </c>
      <c r="O86">
        <v>5.5500000000000005E-4</v>
      </c>
    </row>
    <row r="87" spans="1:16" ht="29" x14ac:dyDescent="0.35">
      <c r="A87" t="s">
        <v>140</v>
      </c>
      <c r="B87" t="s">
        <v>47</v>
      </c>
      <c r="C87" t="s">
        <v>68</v>
      </c>
      <c r="D87" t="s">
        <v>117</v>
      </c>
      <c r="E87" t="s">
        <v>20</v>
      </c>
      <c r="F87" t="s">
        <v>21</v>
      </c>
      <c r="G87" t="s">
        <v>25</v>
      </c>
      <c r="H87" t="b">
        <v>1</v>
      </c>
      <c r="I87">
        <v>10</v>
      </c>
      <c r="J87">
        <v>39</v>
      </c>
      <c r="L87">
        <v>7.8</v>
      </c>
      <c r="M87">
        <v>1.484574E-3</v>
      </c>
      <c r="N87">
        <v>7.8</v>
      </c>
      <c r="O87">
        <v>1.484574E-3</v>
      </c>
      <c r="P87" s="1" t="s">
        <v>23</v>
      </c>
    </row>
    <row r="88" spans="1:16" ht="29" x14ac:dyDescent="0.35">
      <c r="A88" t="s">
        <v>141</v>
      </c>
      <c r="B88" t="s">
        <v>47</v>
      </c>
      <c r="C88" t="s">
        <v>78</v>
      </c>
      <c r="D88" t="s">
        <v>117</v>
      </c>
      <c r="E88" t="s">
        <v>20</v>
      </c>
      <c r="F88" t="s">
        <v>21</v>
      </c>
      <c r="G88" t="s">
        <v>25</v>
      </c>
      <c r="H88" t="b">
        <v>1</v>
      </c>
      <c r="I88">
        <v>10</v>
      </c>
      <c r="J88">
        <v>23.428571428571399</v>
      </c>
      <c r="L88">
        <v>16.399999999999999</v>
      </c>
      <c r="M88">
        <v>3.1214120000000001E-3</v>
      </c>
      <c r="N88">
        <v>16.399999999999999</v>
      </c>
      <c r="O88">
        <v>3.1214120000000001E-3</v>
      </c>
      <c r="P88" s="1" t="s">
        <v>23</v>
      </c>
    </row>
    <row r="89" spans="1:16" x14ac:dyDescent="0.35">
      <c r="A89" t="s">
        <v>142</v>
      </c>
      <c r="B89" t="s">
        <v>47</v>
      </c>
      <c r="C89" t="s">
        <v>78</v>
      </c>
      <c r="D89" t="s">
        <v>117</v>
      </c>
      <c r="E89" t="s">
        <v>20</v>
      </c>
      <c r="F89" t="s">
        <v>21</v>
      </c>
      <c r="G89" t="s">
        <v>33</v>
      </c>
      <c r="H89" t="b">
        <v>1</v>
      </c>
      <c r="I89">
        <v>10</v>
      </c>
      <c r="J89">
        <v>12</v>
      </c>
      <c r="L89">
        <v>1.2</v>
      </c>
      <c r="M89">
        <v>4.44E-4</v>
      </c>
      <c r="N89">
        <v>1.2</v>
      </c>
      <c r="O89">
        <v>4.44E-4</v>
      </c>
    </row>
    <row r="90" spans="1:16" x14ac:dyDescent="0.35">
      <c r="A90" t="s">
        <v>143</v>
      </c>
      <c r="B90" t="s">
        <v>47</v>
      </c>
      <c r="C90" t="s">
        <v>78</v>
      </c>
      <c r="D90" t="s">
        <v>117</v>
      </c>
      <c r="E90" t="s">
        <v>20</v>
      </c>
      <c r="F90" t="s">
        <v>21</v>
      </c>
      <c r="G90" t="s">
        <v>29</v>
      </c>
      <c r="H90" t="b">
        <v>1</v>
      </c>
      <c r="I90">
        <v>10</v>
      </c>
      <c r="J90">
        <v>22</v>
      </c>
      <c r="L90">
        <v>2.2000000000000002</v>
      </c>
      <c r="M90">
        <v>8.5799999999999998E-5</v>
      </c>
      <c r="N90">
        <v>2.2000000000000002</v>
      </c>
      <c r="O90">
        <v>8.5799999999999998E-5</v>
      </c>
    </row>
    <row r="91" spans="1:16" x14ac:dyDescent="0.35">
      <c r="A91" t="s">
        <v>144</v>
      </c>
      <c r="B91" t="s">
        <v>87</v>
      </c>
      <c r="C91" t="s">
        <v>88</v>
      </c>
      <c r="D91" t="s">
        <v>117</v>
      </c>
      <c r="E91" t="s">
        <v>20</v>
      </c>
      <c r="F91" t="s">
        <v>21</v>
      </c>
      <c r="G91" t="s">
        <v>33</v>
      </c>
      <c r="H91" t="b">
        <v>1</v>
      </c>
      <c r="I91">
        <v>10</v>
      </c>
      <c r="J91">
        <v>25.55</v>
      </c>
      <c r="K91">
        <v>5</v>
      </c>
      <c r="L91">
        <v>63.875</v>
      </c>
      <c r="M91">
        <v>2.3633749999999999E-2</v>
      </c>
      <c r="N91">
        <v>63.875</v>
      </c>
      <c r="O91">
        <v>2.3633749999999999E-2</v>
      </c>
    </row>
    <row r="92" spans="1:16" x14ac:dyDescent="0.35">
      <c r="A92" t="s">
        <v>145</v>
      </c>
      <c r="B92" t="s">
        <v>87</v>
      </c>
      <c r="C92" t="s">
        <v>88</v>
      </c>
      <c r="D92" t="s">
        <v>117</v>
      </c>
      <c r="E92" t="s">
        <v>20</v>
      </c>
      <c r="F92" t="s">
        <v>21</v>
      </c>
      <c r="G92" t="s">
        <v>29</v>
      </c>
      <c r="H92" t="b">
        <v>1</v>
      </c>
      <c r="I92">
        <v>10</v>
      </c>
      <c r="J92">
        <v>14</v>
      </c>
      <c r="L92">
        <v>1.4</v>
      </c>
      <c r="M92">
        <v>5.4599999999999999E-5</v>
      </c>
      <c r="N92">
        <v>1.4</v>
      </c>
      <c r="O92">
        <v>5.4599999999999999E-5</v>
      </c>
    </row>
    <row r="93" spans="1:16" ht="29" x14ac:dyDescent="0.35">
      <c r="A93" t="s">
        <v>146</v>
      </c>
      <c r="B93" t="s">
        <v>87</v>
      </c>
      <c r="C93" t="s">
        <v>88</v>
      </c>
      <c r="D93" t="s">
        <v>117</v>
      </c>
      <c r="E93" t="s">
        <v>20</v>
      </c>
      <c r="F93" t="s">
        <v>21</v>
      </c>
      <c r="G93" t="s">
        <v>25</v>
      </c>
      <c r="H93" t="b">
        <v>1</v>
      </c>
      <c r="I93">
        <v>10</v>
      </c>
      <c r="J93">
        <v>42.4</v>
      </c>
      <c r="L93">
        <v>21.2</v>
      </c>
      <c r="M93">
        <v>4.0349959999999999E-3</v>
      </c>
      <c r="N93">
        <v>21.2</v>
      </c>
      <c r="O93">
        <v>4.0349959999999999E-3</v>
      </c>
      <c r="P93" s="1" t="s">
        <v>23</v>
      </c>
    </row>
    <row r="94" spans="1:16" x14ac:dyDescent="0.35">
      <c r="A94" t="s">
        <v>147</v>
      </c>
      <c r="B94" t="s">
        <v>87</v>
      </c>
      <c r="C94" t="s">
        <v>92</v>
      </c>
      <c r="D94" t="s">
        <v>117</v>
      </c>
      <c r="E94" t="s">
        <v>20</v>
      </c>
      <c r="F94" t="s">
        <v>21</v>
      </c>
      <c r="G94" t="s">
        <v>33</v>
      </c>
      <c r="H94" t="b">
        <v>1</v>
      </c>
      <c r="I94">
        <v>10</v>
      </c>
      <c r="J94">
        <v>20.7</v>
      </c>
      <c r="K94">
        <v>43</v>
      </c>
      <c r="L94">
        <v>130.41</v>
      </c>
      <c r="M94">
        <v>4.8251700000000002E-2</v>
      </c>
      <c r="N94">
        <v>130.41</v>
      </c>
      <c r="O94">
        <v>4.8251700000000002E-2</v>
      </c>
    </row>
    <row r="95" spans="1:16" ht="29" x14ac:dyDescent="0.35">
      <c r="A95" t="s">
        <v>148</v>
      </c>
      <c r="B95" t="s">
        <v>87</v>
      </c>
      <c r="C95" t="s">
        <v>92</v>
      </c>
      <c r="D95" t="s">
        <v>117</v>
      </c>
      <c r="E95" t="s">
        <v>20</v>
      </c>
      <c r="F95" t="s">
        <v>21</v>
      </c>
      <c r="G95" t="s">
        <v>25</v>
      </c>
      <c r="H95" t="b">
        <v>1</v>
      </c>
      <c r="I95">
        <v>10</v>
      </c>
      <c r="J95">
        <v>35.9</v>
      </c>
      <c r="K95">
        <v>7</v>
      </c>
      <c r="L95">
        <v>96.93</v>
      </c>
      <c r="M95">
        <v>1.84486869E-2</v>
      </c>
      <c r="N95">
        <v>96.93</v>
      </c>
      <c r="O95">
        <v>1.84486869E-2</v>
      </c>
      <c r="P95" s="1" t="s">
        <v>23</v>
      </c>
    </row>
    <row r="96" spans="1:16" x14ac:dyDescent="0.35">
      <c r="A96" t="s">
        <v>149</v>
      </c>
      <c r="B96" t="s">
        <v>87</v>
      </c>
      <c r="C96" t="s">
        <v>92</v>
      </c>
      <c r="D96" t="s">
        <v>117</v>
      </c>
      <c r="E96" t="s">
        <v>20</v>
      </c>
      <c r="F96" t="s">
        <v>21</v>
      </c>
      <c r="G96" t="s">
        <v>29</v>
      </c>
      <c r="H96" t="b">
        <v>1</v>
      </c>
      <c r="I96">
        <v>10</v>
      </c>
      <c r="J96">
        <v>6.1428571428571397</v>
      </c>
      <c r="L96">
        <v>4.3</v>
      </c>
      <c r="M96">
        <v>1.6770000000000001E-4</v>
      </c>
      <c r="N96">
        <v>4.3</v>
      </c>
      <c r="O96">
        <v>1.6770000000000001E-4</v>
      </c>
    </row>
    <row r="97" spans="1:16" ht="29" x14ac:dyDescent="0.35">
      <c r="A97" t="s">
        <v>150</v>
      </c>
      <c r="B97" t="s">
        <v>87</v>
      </c>
      <c r="C97" t="s">
        <v>98</v>
      </c>
      <c r="D97" t="s">
        <v>117</v>
      </c>
      <c r="E97" t="s">
        <v>20</v>
      </c>
      <c r="F97" t="s">
        <v>21</v>
      </c>
      <c r="G97" t="s">
        <v>25</v>
      </c>
      <c r="H97" t="b">
        <v>1</v>
      </c>
      <c r="I97">
        <v>10</v>
      </c>
      <c r="J97">
        <v>18.95</v>
      </c>
      <c r="K97">
        <v>9</v>
      </c>
      <c r="L97">
        <v>54.954999999999998</v>
      </c>
      <c r="M97">
        <v>1.0459585150000001E-2</v>
      </c>
      <c r="N97">
        <v>54.954999999999998</v>
      </c>
      <c r="O97">
        <v>1.0459585150000001E-2</v>
      </c>
      <c r="P97" s="1" t="s">
        <v>23</v>
      </c>
    </row>
    <row r="98" spans="1:16" x14ac:dyDescent="0.35">
      <c r="A98" t="s">
        <v>151</v>
      </c>
      <c r="B98" t="s">
        <v>87</v>
      </c>
      <c r="C98" t="s">
        <v>98</v>
      </c>
      <c r="D98" t="s">
        <v>117</v>
      </c>
      <c r="E98" t="s">
        <v>20</v>
      </c>
      <c r="F98" t="s">
        <v>21</v>
      </c>
      <c r="G98" t="s">
        <v>33</v>
      </c>
      <c r="H98" t="b">
        <v>1</v>
      </c>
      <c r="I98">
        <v>10</v>
      </c>
      <c r="J98">
        <v>28.05</v>
      </c>
      <c r="K98">
        <v>19</v>
      </c>
      <c r="L98">
        <v>109.395</v>
      </c>
      <c r="M98">
        <v>4.0476150000000002E-2</v>
      </c>
      <c r="N98">
        <v>109.395</v>
      </c>
      <c r="O98">
        <v>4.0476150000000002E-2</v>
      </c>
    </row>
    <row r="99" spans="1:16" x14ac:dyDescent="0.35">
      <c r="A99" t="s">
        <v>152</v>
      </c>
      <c r="B99" t="s">
        <v>87</v>
      </c>
      <c r="C99" t="s">
        <v>98</v>
      </c>
      <c r="D99" t="s">
        <v>117</v>
      </c>
      <c r="E99" t="s">
        <v>20</v>
      </c>
      <c r="F99" t="s">
        <v>21</v>
      </c>
      <c r="G99" t="s">
        <v>29</v>
      </c>
      <c r="H99" t="b">
        <v>1</v>
      </c>
      <c r="I99">
        <v>10</v>
      </c>
      <c r="J99">
        <v>5.8</v>
      </c>
      <c r="L99">
        <v>2.9</v>
      </c>
      <c r="M99">
        <v>1.131E-4</v>
      </c>
      <c r="N99">
        <v>2.9</v>
      </c>
      <c r="O99">
        <v>1.131E-4</v>
      </c>
    </row>
    <row r="100" spans="1:16" x14ac:dyDescent="0.35">
      <c r="A100" t="s">
        <v>153</v>
      </c>
      <c r="B100" t="s">
        <v>87</v>
      </c>
      <c r="C100" t="s">
        <v>103</v>
      </c>
      <c r="D100" t="s">
        <v>117</v>
      </c>
      <c r="E100" t="s">
        <v>20</v>
      </c>
      <c r="F100" t="s">
        <v>21</v>
      </c>
      <c r="G100" t="s">
        <v>33</v>
      </c>
      <c r="H100" t="b">
        <v>1</v>
      </c>
      <c r="I100">
        <v>10</v>
      </c>
      <c r="J100">
        <v>33.4</v>
      </c>
      <c r="K100">
        <v>3</v>
      </c>
      <c r="L100">
        <v>76.819999999999993</v>
      </c>
      <c r="M100">
        <v>2.8423400000000001E-2</v>
      </c>
      <c r="N100">
        <v>76.819999999999993</v>
      </c>
      <c r="O100">
        <v>2.8423400000000001E-2</v>
      </c>
    </row>
    <row r="101" spans="1:16" ht="29" x14ac:dyDescent="0.35">
      <c r="A101" t="s">
        <v>154</v>
      </c>
      <c r="B101" t="s">
        <v>87</v>
      </c>
      <c r="C101" t="s">
        <v>103</v>
      </c>
      <c r="D101" t="s">
        <v>117</v>
      </c>
      <c r="E101" t="s">
        <v>20</v>
      </c>
      <c r="F101" t="s">
        <v>21</v>
      </c>
      <c r="G101" t="s">
        <v>25</v>
      </c>
      <c r="H101" t="b">
        <v>1</v>
      </c>
      <c r="I101">
        <v>10</v>
      </c>
      <c r="J101">
        <v>36.470588235294102</v>
      </c>
      <c r="L101">
        <v>62</v>
      </c>
      <c r="M101">
        <v>1.180046E-2</v>
      </c>
      <c r="N101">
        <v>62</v>
      </c>
      <c r="O101">
        <v>1.180046E-2</v>
      </c>
      <c r="P101" s="1" t="s">
        <v>23</v>
      </c>
    </row>
    <row r="102" spans="1:16" x14ac:dyDescent="0.35">
      <c r="A102" t="s">
        <v>155</v>
      </c>
      <c r="B102" t="s">
        <v>87</v>
      </c>
      <c r="C102" t="s">
        <v>103</v>
      </c>
      <c r="D102" t="s">
        <v>117</v>
      </c>
      <c r="E102" t="s">
        <v>20</v>
      </c>
      <c r="F102" t="s">
        <v>21</v>
      </c>
      <c r="G102" t="s">
        <v>29</v>
      </c>
      <c r="H102" t="b">
        <v>1</v>
      </c>
      <c r="I102">
        <v>10</v>
      </c>
      <c r="J102">
        <v>5.4</v>
      </c>
      <c r="L102">
        <v>2.7</v>
      </c>
      <c r="M102">
        <v>1.053E-4</v>
      </c>
      <c r="N102">
        <v>2.7</v>
      </c>
      <c r="O102">
        <v>1.053E-4</v>
      </c>
    </row>
    <row r="103" spans="1:16" x14ac:dyDescent="0.35">
      <c r="A103" t="s">
        <v>156</v>
      </c>
      <c r="B103" t="s">
        <v>107</v>
      </c>
      <c r="C103" t="s">
        <v>108</v>
      </c>
      <c r="D103" t="s">
        <v>117</v>
      </c>
      <c r="E103" t="s">
        <v>20</v>
      </c>
      <c r="F103" t="s">
        <v>93</v>
      </c>
      <c r="G103" t="s">
        <v>57</v>
      </c>
      <c r="H103" t="b">
        <v>1</v>
      </c>
      <c r="I103">
        <v>10</v>
      </c>
      <c r="J103">
        <v>12.55</v>
      </c>
      <c r="K103">
        <v>3</v>
      </c>
      <c r="L103">
        <v>906.82203819444396</v>
      </c>
      <c r="M103">
        <v>0.52200303806625004</v>
      </c>
      <c r="N103">
        <v>906.82203819444396</v>
      </c>
      <c r="O103">
        <v>0.52200303806625004</v>
      </c>
    </row>
    <row r="104" spans="1:16" x14ac:dyDescent="0.35">
      <c r="A104" t="s">
        <v>157</v>
      </c>
      <c r="B104" t="s">
        <v>107</v>
      </c>
      <c r="C104" t="s">
        <v>108</v>
      </c>
      <c r="D104" t="s">
        <v>117</v>
      </c>
      <c r="E104" t="s">
        <v>20</v>
      </c>
      <c r="F104" t="s">
        <v>93</v>
      </c>
      <c r="G104" t="s">
        <v>72</v>
      </c>
      <c r="H104" t="b">
        <v>1</v>
      </c>
      <c r="I104">
        <v>10</v>
      </c>
      <c r="J104">
        <v>240</v>
      </c>
      <c r="L104">
        <v>753.98333333333301</v>
      </c>
      <c r="M104">
        <v>0</v>
      </c>
      <c r="N104">
        <v>753.98333333333301</v>
      </c>
      <c r="O104">
        <v>0</v>
      </c>
    </row>
    <row r="105" spans="1:16" ht="29" x14ac:dyDescent="0.35">
      <c r="A105" t="s">
        <v>158</v>
      </c>
      <c r="B105" t="s">
        <v>107</v>
      </c>
      <c r="C105" t="s">
        <v>108</v>
      </c>
      <c r="D105" t="s">
        <v>117</v>
      </c>
      <c r="E105" t="s">
        <v>20</v>
      </c>
      <c r="F105" t="s">
        <v>93</v>
      </c>
      <c r="G105" t="s">
        <v>22</v>
      </c>
      <c r="H105" t="b">
        <v>1</v>
      </c>
      <c r="I105">
        <v>10</v>
      </c>
      <c r="J105">
        <v>14</v>
      </c>
      <c r="L105">
        <v>43.982361111111103</v>
      </c>
      <c r="M105">
        <v>3.1578706954563402E-3</v>
      </c>
      <c r="N105">
        <v>43.982361111111103</v>
      </c>
      <c r="O105">
        <v>3.1578706954563402E-3</v>
      </c>
      <c r="P105" s="1" t="s">
        <v>23</v>
      </c>
    </row>
    <row r="106" spans="1:16" ht="29" x14ac:dyDescent="0.35">
      <c r="A106" t="s">
        <v>159</v>
      </c>
      <c r="B106" t="s">
        <v>17</v>
      </c>
      <c r="C106" t="s">
        <v>18</v>
      </c>
      <c r="D106" t="s">
        <v>160</v>
      </c>
      <c r="E106" t="s">
        <v>20</v>
      </c>
      <c r="F106" t="s">
        <v>93</v>
      </c>
      <c r="G106" t="s">
        <v>22</v>
      </c>
      <c r="H106" t="b">
        <v>1</v>
      </c>
      <c r="I106">
        <v>10</v>
      </c>
      <c r="J106">
        <v>22.1</v>
      </c>
      <c r="K106">
        <v>92</v>
      </c>
      <c r="L106">
        <v>7776.0814444444404</v>
      </c>
      <c r="M106">
        <v>0.55831153895668095</v>
      </c>
      <c r="N106">
        <v>7776.0814444444404</v>
      </c>
      <c r="O106">
        <v>0.55831153895668095</v>
      </c>
      <c r="P106" s="1" t="s">
        <v>23</v>
      </c>
    </row>
    <row r="107" spans="1:16" x14ac:dyDescent="0.35">
      <c r="A107" t="s">
        <v>161</v>
      </c>
      <c r="B107" t="s">
        <v>17</v>
      </c>
      <c r="C107" t="s">
        <v>18</v>
      </c>
      <c r="D107" t="s">
        <v>160</v>
      </c>
      <c r="E107" t="s">
        <v>20</v>
      </c>
      <c r="F107" t="s">
        <v>93</v>
      </c>
      <c r="G107" t="s">
        <v>39</v>
      </c>
      <c r="H107" t="b">
        <v>1</v>
      </c>
      <c r="I107">
        <v>10</v>
      </c>
      <c r="J107">
        <v>17</v>
      </c>
      <c r="L107">
        <v>160.221458333333</v>
      </c>
      <c r="M107">
        <v>3.04420770833333E-2</v>
      </c>
      <c r="N107">
        <v>160.221458333333</v>
      </c>
      <c r="O107">
        <v>3.04420770833333E-2</v>
      </c>
    </row>
    <row r="108" spans="1:16" x14ac:dyDescent="0.35">
      <c r="A108" t="s">
        <v>162</v>
      </c>
      <c r="B108" t="s">
        <v>17</v>
      </c>
      <c r="C108" t="s">
        <v>35</v>
      </c>
      <c r="D108" t="s">
        <v>160</v>
      </c>
      <c r="E108" t="s">
        <v>20</v>
      </c>
      <c r="F108" t="s">
        <v>21</v>
      </c>
      <c r="G108" t="s">
        <v>31</v>
      </c>
      <c r="H108" t="b">
        <v>1</v>
      </c>
      <c r="I108">
        <v>10</v>
      </c>
      <c r="J108">
        <v>111.333333333333</v>
      </c>
      <c r="L108">
        <v>33.4</v>
      </c>
      <c r="M108">
        <v>9.0330300000000002E-2</v>
      </c>
      <c r="N108">
        <v>33.4</v>
      </c>
      <c r="O108">
        <v>9.0330300000000002E-2</v>
      </c>
    </row>
    <row r="109" spans="1:16" ht="29" x14ac:dyDescent="0.35">
      <c r="A109" t="s">
        <v>163</v>
      </c>
      <c r="B109" t="s">
        <v>17</v>
      </c>
      <c r="C109" t="s">
        <v>35</v>
      </c>
      <c r="D109" t="s">
        <v>160</v>
      </c>
      <c r="E109" t="s">
        <v>20</v>
      </c>
      <c r="F109" t="s">
        <v>21</v>
      </c>
      <c r="G109" t="s">
        <v>22</v>
      </c>
      <c r="H109" t="b">
        <v>1</v>
      </c>
      <c r="I109">
        <v>10</v>
      </c>
      <c r="J109">
        <v>22.55</v>
      </c>
      <c r="K109">
        <v>18</v>
      </c>
      <c r="L109">
        <v>85.69</v>
      </c>
      <c r="M109">
        <v>6.1524195849798E-3</v>
      </c>
      <c r="N109">
        <v>85.69</v>
      </c>
      <c r="O109">
        <v>6.1524195849798E-3</v>
      </c>
      <c r="P109" s="1" t="s">
        <v>23</v>
      </c>
    </row>
    <row r="110" spans="1:16" x14ac:dyDescent="0.35">
      <c r="A110" t="s">
        <v>164</v>
      </c>
      <c r="B110" t="s">
        <v>17</v>
      </c>
      <c r="C110" t="s">
        <v>35</v>
      </c>
      <c r="D110" t="s">
        <v>160</v>
      </c>
      <c r="E110" t="s">
        <v>20</v>
      </c>
      <c r="F110" t="s">
        <v>21</v>
      </c>
      <c r="G110" t="s">
        <v>27</v>
      </c>
      <c r="H110" t="b">
        <v>1</v>
      </c>
      <c r="I110">
        <v>10</v>
      </c>
      <c r="J110">
        <v>12.5</v>
      </c>
      <c r="L110">
        <v>2.5</v>
      </c>
      <c r="M110">
        <v>2.7500000000000002E-4</v>
      </c>
      <c r="N110">
        <v>2.5</v>
      </c>
      <c r="O110">
        <v>2.7500000000000002E-4</v>
      </c>
    </row>
    <row r="111" spans="1:16" ht="29" x14ac:dyDescent="0.35">
      <c r="A111" t="s">
        <v>165</v>
      </c>
      <c r="B111" t="s">
        <v>17</v>
      </c>
      <c r="C111" t="s">
        <v>35</v>
      </c>
      <c r="D111" t="s">
        <v>160</v>
      </c>
      <c r="E111" t="s">
        <v>20</v>
      </c>
      <c r="F111" t="s">
        <v>21</v>
      </c>
      <c r="G111" t="s">
        <v>25</v>
      </c>
      <c r="H111" t="b">
        <v>1</v>
      </c>
      <c r="I111">
        <v>10</v>
      </c>
      <c r="J111">
        <v>59</v>
      </c>
      <c r="L111">
        <v>11.8</v>
      </c>
      <c r="M111">
        <v>2.245894E-3</v>
      </c>
      <c r="N111">
        <v>11.8</v>
      </c>
      <c r="O111">
        <v>2.245894E-3</v>
      </c>
      <c r="P111" s="1" t="s">
        <v>23</v>
      </c>
    </row>
    <row r="112" spans="1:16" x14ac:dyDescent="0.35">
      <c r="A112" t="s">
        <v>166</v>
      </c>
      <c r="B112" t="s">
        <v>17</v>
      </c>
      <c r="C112" t="s">
        <v>35</v>
      </c>
      <c r="D112" t="s">
        <v>160</v>
      </c>
      <c r="E112" t="s">
        <v>20</v>
      </c>
      <c r="F112" t="s">
        <v>21</v>
      </c>
      <c r="G112" t="s">
        <v>39</v>
      </c>
      <c r="H112" t="b">
        <v>1</v>
      </c>
      <c r="I112">
        <v>10</v>
      </c>
      <c r="J112">
        <v>11</v>
      </c>
      <c r="L112">
        <v>2.2000000000000002</v>
      </c>
      <c r="M112">
        <v>4.1800000000000002E-4</v>
      </c>
      <c r="N112">
        <v>2.2000000000000002</v>
      </c>
      <c r="O112">
        <v>4.1800000000000002E-4</v>
      </c>
    </row>
    <row r="113" spans="1:16" x14ac:dyDescent="0.35">
      <c r="A113" t="s">
        <v>167</v>
      </c>
      <c r="B113" t="s">
        <v>17</v>
      </c>
      <c r="C113" t="s">
        <v>35</v>
      </c>
      <c r="D113" t="s">
        <v>160</v>
      </c>
      <c r="E113" t="s">
        <v>20</v>
      </c>
      <c r="F113" t="s">
        <v>21</v>
      </c>
      <c r="G113" t="s">
        <v>29</v>
      </c>
      <c r="H113" t="b">
        <v>1</v>
      </c>
      <c r="I113">
        <v>10</v>
      </c>
      <c r="J113">
        <v>14</v>
      </c>
      <c r="L113">
        <v>2.8</v>
      </c>
      <c r="M113">
        <v>1.092E-4</v>
      </c>
      <c r="N113">
        <v>2.8</v>
      </c>
      <c r="O113">
        <v>1.092E-4</v>
      </c>
    </row>
    <row r="114" spans="1:16" x14ac:dyDescent="0.35">
      <c r="A114" t="s">
        <v>168</v>
      </c>
      <c r="B114" t="s">
        <v>17</v>
      </c>
      <c r="C114" t="s">
        <v>35</v>
      </c>
      <c r="D114" t="s">
        <v>160</v>
      </c>
      <c r="E114" t="s">
        <v>20</v>
      </c>
      <c r="F114" t="s">
        <v>21</v>
      </c>
      <c r="G114" t="s">
        <v>33</v>
      </c>
      <c r="H114" t="b">
        <v>1</v>
      </c>
      <c r="I114">
        <v>10</v>
      </c>
      <c r="J114">
        <v>12</v>
      </c>
      <c r="L114">
        <v>1.2</v>
      </c>
      <c r="M114">
        <v>4.44E-4</v>
      </c>
      <c r="N114">
        <v>1.2</v>
      </c>
      <c r="O114">
        <v>4.44E-4</v>
      </c>
    </row>
    <row r="115" spans="1:16" ht="29" x14ac:dyDescent="0.35">
      <c r="A115" t="s">
        <v>169</v>
      </c>
      <c r="B115" t="s">
        <v>47</v>
      </c>
      <c r="C115" t="s">
        <v>48</v>
      </c>
      <c r="D115" t="s">
        <v>160</v>
      </c>
      <c r="E115" t="s">
        <v>20</v>
      </c>
      <c r="F115" t="s">
        <v>21</v>
      </c>
      <c r="G115" t="s">
        <v>25</v>
      </c>
      <c r="H115" t="b">
        <v>1</v>
      </c>
      <c r="I115">
        <v>10</v>
      </c>
      <c r="J115">
        <v>37.85</v>
      </c>
      <c r="K115">
        <v>27</v>
      </c>
      <c r="L115">
        <v>177.89500000000001</v>
      </c>
      <c r="M115">
        <v>3.3858755349999999E-2</v>
      </c>
      <c r="N115">
        <v>177.89500000000001</v>
      </c>
      <c r="O115">
        <v>3.3858755349999999E-2</v>
      </c>
      <c r="P115" s="1" t="s">
        <v>23</v>
      </c>
    </row>
    <row r="116" spans="1:16" x14ac:dyDescent="0.35">
      <c r="A116" t="s">
        <v>170</v>
      </c>
      <c r="B116" t="s">
        <v>47</v>
      </c>
      <c r="C116" t="s">
        <v>48</v>
      </c>
      <c r="D116" t="s">
        <v>160</v>
      </c>
      <c r="E116" t="s">
        <v>20</v>
      </c>
      <c r="F116" t="s">
        <v>21</v>
      </c>
      <c r="G116" t="s">
        <v>33</v>
      </c>
      <c r="H116" t="b">
        <v>1</v>
      </c>
      <c r="I116">
        <v>10</v>
      </c>
      <c r="J116">
        <v>10.5</v>
      </c>
      <c r="L116">
        <v>2.1</v>
      </c>
      <c r="M116">
        <v>7.7700000000000002E-4</v>
      </c>
      <c r="N116">
        <v>2.1</v>
      </c>
      <c r="O116">
        <v>7.7700000000000002E-4</v>
      </c>
    </row>
    <row r="117" spans="1:16" ht="29" x14ac:dyDescent="0.35">
      <c r="A117" t="s">
        <v>171</v>
      </c>
      <c r="B117" t="s">
        <v>47</v>
      </c>
      <c r="C117" t="s">
        <v>48</v>
      </c>
      <c r="D117" t="s">
        <v>160</v>
      </c>
      <c r="E117" t="s">
        <v>20</v>
      </c>
      <c r="F117" t="s">
        <v>21</v>
      </c>
      <c r="G117" s="1" t="s">
        <v>52</v>
      </c>
      <c r="H117" t="b">
        <v>0</v>
      </c>
      <c r="I117">
        <v>10</v>
      </c>
      <c r="J117">
        <v>25.6666666666667</v>
      </c>
      <c r="L117">
        <v>15.4</v>
      </c>
      <c r="M117">
        <v>6.9300000000000004E-3</v>
      </c>
      <c r="N117">
        <v>0</v>
      </c>
      <c r="O117">
        <v>0</v>
      </c>
    </row>
    <row r="118" spans="1:16" x14ac:dyDescent="0.35">
      <c r="A118" t="s">
        <v>172</v>
      </c>
      <c r="B118" t="s">
        <v>47</v>
      </c>
      <c r="C118" t="s">
        <v>55</v>
      </c>
      <c r="D118" t="s">
        <v>160</v>
      </c>
      <c r="E118" t="s">
        <v>20</v>
      </c>
      <c r="F118" t="s">
        <v>21</v>
      </c>
      <c r="G118" t="s">
        <v>31</v>
      </c>
      <c r="H118" t="b">
        <v>1</v>
      </c>
      <c r="I118">
        <v>10</v>
      </c>
      <c r="J118">
        <v>193.78571428571399</v>
      </c>
      <c r="L118">
        <v>271.3</v>
      </c>
      <c r="M118">
        <v>0.73373085000000005</v>
      </c>
      <c r="N118">
        <v>271.3</v>
      </c>
      <c r="O118">
        <v>0.73373085000000005</v>
      </c>
    </row>
    <row r="119" spans="1:16" ht="29" x14ac:dyDescent="0.35">
      <c r="A119" t="s">
        <v>173</v>
      </c>
      <c r="B119" t="s">
        <v>47</v>
      </c>
      <c r="C119" t="s">
        <v>55</v>
      </c>
      <c r="D119" t="s">
        <v>160</v>
      </c>
      <c r="E119" t="s">
        <v>20</v>
      </c>
      <c r="F119" t="s">
        <v>21</v>
      </c>
      <c r="G119" t="s">
        <v>25</v>
      </c>
      <c r="H119" t="b">
        <v>1</v>
      </c>
      <c r="I119">
        <v>10</v>
      </c>
      <c r="J119">
        <v>33.714285714285701</v>
      </c>
      <c r="L119">
        <v>23.6</v>
      </c>
      <c r="M119">
        <v>4.491788E-3</v>
      </c>
      <c r="N119">
        <v>23.6</v>
      </c>
      <c r="O119">
        <v>4.491788E-3</v>
      </c>
      <c r="P119" s="1" t="s">
        <v>23</v>
      </c>
    </row>
    <row r="120" spans="1:16" x14ac:dyDescent="0.35">
      <c r="A120" t="s">
        <v>174</v>
      </c>
      <c r="B120" t="s">
        <v>47</v>
      </c>
      <c r="C120" t="s">
        <v>55</v>
      </c>
      <c r="D120" t="s">
        <v>160</v>
      </c>
      <c r="E120" t="s">
        <v>20</v>
      </c>
      <c r="F120" t="s">
        <v>21</v>
      </c>
      <c r="G120" t="s">
        <v>175</v>
      </c>
      <c r="H120" t="b">
        <v>1</v>
      </c>
      <c r="I120">
        <v>10</v>
      </c>
      <c r="J120">
        <v>8</v>
      </c>
      <c r="L120">
        <v>0.8</v>
      </c>
      <c r="M120">
        <v>1.7679999999999999E-4</v>
      </c>
      <c r="N120">
        <v>0.8</v>
      </c>
      <c r="O120">
        <v>1.7679999999999999E-4</v>
      </c>
    </row>
    <row r="121" spans="1:16" x14ac:dyDescent="0.35">
      <c r="A121" t="s">
        <v>176</v>
      </c>
      <c r="B121" t="s">
        <v>47</v>
      </c>
      <c r="C121" t="s">
        <v>55</v>
      </c>
      <c r="D121" t="s">
        <v>160</v>
      </c>
      <c r="E121" t="s">
        <v>20</v>
      </c>
      <c r="F121" t="s">
        <v>21</v>
      </c>
      <c r="G121" t="s">
        <v>177</v>
      </c>
      <c r="H121" t="b">
        <v>0</v>
      </c>
      <c r="I121">
        <v>10</v>
      </c>
      <c r="J121">
        <v>12</v>
      </c>
      <c r="L121">
        <v>1.2</v>
      </c>
      <c r="M121">
        <v>2.6400000000000001E-5</v>
      </c>
      <c r="N121">
        <v>0</v>
      </c>
      <c r="O121">
        <v>0</v>
      </c>
    </row>
    <row r="122" spans="1:16" ht="29" x14ac:dyDescent="0.35">
      <c r="A122" t="s">
        <v>178</v>
      </c>
      <c r="B122" t="s">
        <v>47</v>
      </c>
      <c r="C122" t="s">
        <v>55</v>
      </c>
      <c r="D122" t="s">
        <v>160</v>
      </c>
      <c r="E122" t="s">
        <v>20</v>
      </c>
      <c r="F122" t="s">
        <v>21</v>
      </c>
      <c r="G122" t="s">
        <v>22</v>
      </c>
      <c r="H122" t="b">
        <v>1</v>
      </c>
      <c r="I122">
        <v>10</v>
      </c>
      <c r="J122">
        <v>12</v>
      </c>
      <c r="L122">
        <v>1.2</v>
      </c>
      <c r="M122">
        <v>8.6158285704000006E-5</v>
      </c>
      <c r="N122">
        <v>1.2</v>
      </c>
      <c r="O122">
        <v>8.6158285704000006E-5</v>
      </c>
      <c r="P122" s="1" t="s">
        <v>23</v>
      </c>
    </row>
    <row r="123" spans="1:16" x14ac:dyDescent="0.35">
      <c r="A123" t="s">
        <v>179</v>
      </c>
      <c r="B123" t="s">
        <v>47</v>
      </c>
      <c r="C123" t="s">
        <v>55</v>
      </c>
      <c r="D123" t="s">
        <v>160</v>
      </c>
      <c r="E123" t="s">
        <v>20</v>
      </c>
      <c r="F123" t="s">
        <v>21</v>
      </c>
      <c r="G123" t="s">
        <v>180</v>
      </c>
      <c r="H123" t="b">
        <v>1</v>
      </c>
      <c r="I123">
        <v>10</v>
      </c>
      <c r="J123">
        <v>361</v>
      </c>
      <c r="L123">
        <v>72.2</v>
      </c>
      <c r="M123">
        <v>3.7543999999999998E-5</v>
      </c>
      <c r="N123">
        <v>72.2</v>
      </c>
      <c r="O123">
        <v>3.7543999999999998E-5</v>
      </c>
    </row>
    <row r="124" spans="1:16" ht="29" x14ac:dyDescent="0.35">
      <c r="A124" t="s">
        <v>181</v>
      </c>
      <c r="B124" t="s">
        <v>47</v>
      </c>
      <c r="C124" t="s">
        <v>62</v>
      </c>
      <c r="D124" t="s">
        <v>160</v>
      </c>
      <c r="E124" t="s">
        <v>20</v>
      </c>
      <c r="F124" t="s">
        <v>93</v>
      </c>
      <c r="G124" t="s">
        <v>25</v>
      </c>
      <c r="H124" t="b">
        <v>1</v>
      </c>
      <c r="I124">
        <v>10</v>
      </c>
      <c r="J124">
        <v>36.700000000000003</v>
      </c>
      <c r="K124">
        <v>5</v>
      </c>
      <c r="L124">
        <v>2882.4154513888898</v>
      </c>
      <c r="M124">
        <v>0.54861013286284699</v>
      </c>
      <c r="N124">
        <v>2882.4154513888898</v>
      </c>
      <c r="O124">
        <v>0.54861013286284699</v>
      </c>
      <c r="P124" s="1" t="s">
        <v>23</v>
      </c>
    </row>
    <row r="125" spans="1:16" x14ac:dyDescent="0.35">
      <c r="A125" t="s">
        <v>182</v>
      </c>
      <c r="B125" t="s">
        <v>47</v>
      </c>
      <c r="C125" t="s">
        <v>62</v>
      </c>
      <c r="D125" t="s">
        <v>160</v>
      </c>
      <c r="E125" t="s">
        <v>20</v>
      </c>
      <c r="F125" t="s">
        <v>93</v>
      </c>
      <c r="G125" t="s">
        <v>33</v>
      </c>
      <c r="H125" t="b">
        <v>1</v>
      </c>
      <c r="I125">
        <v>10</v>
      </c>
      <c r="J125">
        <v>58</v>
      </c>
      <c r="L125">
        <v>182.21263888888899</v>
      </c>
      <c r="M125">
        <v>6.7418676388888904E-2</v>
      </c>
      <c r="N125">
        <v>182.21263888888899</v>
      </c>
      <c r="O125">
        <v>6.7418676388888904E-2</v>
      </c>
    </row>
    <row r="126" spans="1:16" ht="29" x14ac:dyDescent="0.35">
      <c r="A126" t="s">
        <v>183</v>
      </c>
      <c r="B126" t="s">
        <v>47</v>
      </c>
      <c r="C126" t="s">
        <v>62</v>
      </c>
      <c r="D126" t="s">
        <v>160</v>
      </c>
      <c r="E126" t="s">
        <v>20</v>
      </c>
      <c r="F126" t="s">
        <v>93</v>
      </c>
      <c r="G126" t="s">
        <v>22</v>
      </c>
      <c r="H126" t="b">
        <v>1</v>
      </c>
      <c r="I126">
        <v>10</v>
      </c>
      <c r="J126">
        <v>11</v>
      </c>
      <c r="L126">
        <v>69.115138888888893</v>
      </c>
      <c r="M126">
        <v>4.9623682357171099E-3</v>
      </c>
      <c r="N126">
        <v>69.115138888888893</v>
      </c>
      <c r="O126">
        <v>4.9623682357171099E-3</v>
      </c>
      <c r="P126" s="1" t="s">
        <v>23</v>
      </c>
    </row>
    <row r="127" spans="1:16" x14ac:dyDescent="0.35">
      <c r="A127" t="s">
        <v>184</v>
      </c>
      <c r="B127" t="s">
        <v>47</v>
      </c>
      <c r="C127" t="s">
        <v>62</v>
      </c>
      <c r="D127" t="s">
        <v>160</v>
      </c>
      <c r="E127" t="s">
        <v>20</v>
      </c>
      <c r="F127" t="s">
        <v>93</v>
      </c>
      <c r="G127" t="s">
        <v>29</v>
      </c>
      <c r="H127" t="b">
        <v>1</v>
      </c>
      <c r="I127">
        <v>10</v>
      </c>
      <c r="J127">
        <v>4</v>
      </c>
      <c r="L127">
        <v>25.1327777777778</v>
      </c>
      <c r="M127">
        <v>9.8017833333333398E-4</v>
      </c>
      <c r="N127">
        <v>25.1327777777778</v>
      </c>
      <c r="O127">
        <v>9.8017833333333398E-4</v>
      </c>
    </row>
    <row r="128" spans="1:16" ht="29" x14ac:dyDescent="0.35">
      <c r="A128" t="s">
        <v>185</v>
      </c>
      <c r="B128" t="s">
        <v>47</v>
      </c>
      <c r="C128" t="s">
        <v>68</v>
      </c>
      <c r="D128" t="s">
        <v>160</v>
      </c>
      <c r="E128" t="s">
        <v>20</v>
      </c>
      <c r="F128" t="s">
        <v>21</v>
      </c>
      <c r="G128" t="s">
        <v>25</v>
      </c>
      <c r="H128" t="b">
        <v>1</v>
      </c>
      <c r="I128">
        <v>10</v>
      </c>
      <c r="J128">
        <v>62.55</v>
      </c>
      <c r="K128">
        <v>3</v>
      </c>
      <c r="L128">
        <v>143.86500000000001</v>
      </c>
      <c r="M128">
        <v>2.7381825450000001E-2</v>
      </c>
      <c r="N128">
        <v>143.86500000000001</v>
      </c>
      <c r="O128">
        <v>2.7381825450000001E-2</v>
      </c>
      <c r="P128" s="1" t="s">
        <v>23</v>
      </c>
    </row>
    <row r="129" spans="1:16" ht="29" x14ac:dyDescent="0.35">
      <c r="A129" t="s">
        <v>186</v>
      </c>
      <c r="B129" t="s">
        <v>47</v>
      </c>
      <c r="C129" t="s">
        <v>68</v>
      </c>
      <c r="D129" t="s">
        <v>160</v>
      </c>
      <c r="E129" t="s">
        <v>20</v>
      </c>
      <c r="F129" t="s">
        <v>21</v>
      </c>
      <c r="G129" s="1" t="s">
        <v>52</v>
      </c>
      <c r="H129" t="b">
        <v>0</v>
      </c>
      <c r="I129">
        <v>10</v>
      </c>
      <c r="J129">
        <v>25.3333333333333</v>
      </c>
      <c r="L129">
        <v>7.6</v>
      </c>
      <c r="M129">
        <v>3.4199999999999999E-3</v>
      </c>
      <c r="N129">
        <v>0</v>
      </c>
      <c r="O129">
        <v>0</v>
      </c>
    </row>
    <row r="130" spans="1:16" x14ac:dyDescent="0.35">
      <c r="A130" t="s">
        <v>187</v>
      </c>
      <c r="B130" t="s">
        <v>47</v>
      </c>
      <c r="C130" t="s">
        <v>68</v>
      </c>
      <c r="D130" t="s">
        <v>160</v>
      </c>
      <c r="E130" t="s">
        <v>20</v>
      </c>
      <c r="F130" t="s">
        <v>21</v>
      </c>
      <c r="G130" t="s">
        <v>33</v>
      </c>
      <c r="H130" t="b">
        <v>1</v>
      </c>
      <c r="I130">
        <v>10</v>
      </c>
      <c r="J130">
        <v>15</v>
      </c>
      <c r="L130">
        <v>1.5</v>
      </c>
      <c r="M130">
        <v>5.5500000000000005E-4</v>
      </c>
      <c r="N130">
        <v>1.5</v>
      </c>
      <c r="O130">
        <v>5.5500000000000005E-4</v>
      </c>
    </row>
    <row r="131" spans="1:16" ht="29" x14ac:dyDescent="0.35">
      <c r="A131" t="s">
        <v>188</v>
      </c>
      <c r="B131" t="s">
        <v>47</v>
      </c>
      <c r="C131" t="s">
        <v>78</v>
      </c>
      <c r="D131" t="s">
        <v>160</v>
      </c>
      <c r="E131" t="s">
        <v>20</v>
      </c>
      <c r="F131" t="s">
        <v>21</v>
      </c>
      <c r="G131" t="s">
        <v>25</v>
      </c>
      <c r="H131" t="b">
        <v>1</v>
      </c>
      <c r="I131">
        <v>10</v>
      </c>
      <c r="J131">
        <v>51.15</v>
      </c>
      <c r="K131">
        <v>9</v>
      </c>
      <c r="L131">
        <v>148.33500000000001</v>
      </c>
      <c r="M131">
        <v>2.823260055E-2</v>
      </c>
      <c r="N131">
        <v>148.33500000000001</v>
      </c>
      <c r="O131">
        <v>2.823260055E-2</v>
      </c>
      <c r="P131" s="1" t="s">
        <v>23</v>
      </c>
    </row>
    <row r="132" spans="1:16" x14ac:dyDescent="0.35">
      <c r="A132" t="s">
        <v>189</v>
      </c>
      <c r="B132" t="s">
        <v>47</v>
      </c>
      <c r="C132" t="s">
        <v>78</v>
      </c>
      <c r="D132" t="s">
        <v>160</v>
      </c>
      <c r="E132" t="s">
        <v>20</v>
      </c>
      <c r="F132" t="s">
        <v>21</v>
      </c>
      <c r="G132" t="s">
        <v>190</v>
      </c>
      <c r="H132" t="b">
        <v>0</v>
      </c>
      <c r="I132">
        <v>10</v>
      </c>
      <c r="J132">
        <v>43</v>
      </c>
      <c r="L132">
        <v>8.6</v>
      </c>
      <c r="M132">
        <v>1.978E-5</v>
      </c>
      <c r="N132">
        <v>0</v>
      </c>
      <c r="O132">
        <v>0</v>
      </c>
    </row>
    <row r="133" spans="1:16" x14ac:dyDescent="0.35">
      <c r="A133" t="s">
        <v>191</v>
      </c>
      <c r="B133" t="s">
        <v>47</v>
      </c>
      <c r="C133" t="s">
        <v>78</v>
      </c>
      <c r="D133" t="s">
        <v>160</v>
      </c>
      <c r="E133" t="s">
        <v>20</v>
      </c>
      <c r="F133" t="s">
        <v>21</v>
      </c>
      <c r="G133" t="s">
        <v>29</v>
      </c>
      <c r="H133" t="b">
        <v>1</v>
      </c>
      <c r="I133">
        <v>10</v>
      </c>
      <c r="J133">
        <v>10</v>
      </c>
      <c r="L133">
        <v>1</v>
      </c>
      <c r="M133">
        <v>3.8999999999999999E-5</v>
      </c>
      <c r="N133">
        <v>1</v>
      </c>
      <c r="O133">
        <v>3.8999999999999999E-5</v>
      </c>
    </row>
    <row r="134" spans="1:16" x14ac:dyDescent="0.35">
      <c r="A134" t="s">
        <v>192</v>
      </c>
      <c r="B134" t="s">
        <v>47</v>
      </c>
      <c r="C134" t="s">
        <v>78</v>
      </c>
      <c r="D134" t="s">
        <v>160</v>
      </c>
      <c r="E134" t="s">
        <v>20</v>
      </c>
      <c r="F134" t="s">
        <v>21</v>
      </c>
      <c r="G134" t="s">
        <v>43</v>
      </c>
      <c r="H134" t="b">
        <v>0</v>
      </c>
      <c r="I134">
        <v>10</v>
      </c>
      <c r="J134">
        <v>42</v>
      </c>
      <c r="L134">
        <v>4.2</v>
      </c>
      <c r="M134">
        <v>9.4499999999999993E-6</v>
      </c>
      <c r="N134">
        <v>0</v>
      </c>
      <c r="O134">
        <v>0</v>
      </c>
    </row>
    <row r="135" spans="1:16" x14ac:dyDescent="0.35">
      <c r="A135" t="s">
        <v>193</v>
      </c>
      <c r="B135" t="s">
        <v>47</v>
      </c>
      <c r="C135" t="s">
        <v>78</v>
      </c>
      <c r="D135" t="s">
        <v>160</v>
      </c>
      <c r="E135" t="s">
        <v>20</v>
      </c>
      <c r="F135" t="s">
        <v>21</v>
      </c>
      <c r="G135" t="s">
        <v>39</v>
      </c>
      <c r="H135" t="b">
        <v>1</v>
      </c>
      <c r="I135">
        <v>10</v>
      </c>
      <c r="J135">
        <v>29</v>
      </c>
      <c r="L135">
        <v>5.8</v>
      </c>
      <c r="M135">
        <v>1.1019999999999999E-3</v>
      </c>
      <c r="N135">
        <v>5.8</v>
      </c>
      <c r="O135">
        <v>1.1019999999999999E-3</v>
      </c>
    </row>
    <row r="136" spans="1:16" x14ac:dyDescent="0.35">
      <c r="A136" t="s">
        <v>194</v>
      </c>
      <c r="B136" t="s">
        <v>47</v>
      </c>
      <c r="C136" t="s">
        <v>78</v>
      </c>
      <c r="D136" t="s">
        <v>160</v>
      </c>
      <c r="E136" t="s">
        <v>20</v>
      </c>
      <c r="F136" t="s">
        <v>21</v>
      </c>
      <c r="G136" t="s">
        <v>33</v>
      </c>
      <c r="H136" t="b">
        <v>1</v>
      </c>
      <c r="I136">
        <v>10</v>
      </c>
      <c r="J136">
        <v>14</v>
      </c>
      <c r="L136">
        <v>1.4</v>
      </c>
      <c r="M136">
        <v>5.1800000000000001E-4</v>
      </c>
      <c r="N136">
        <v>1.4</v>
      </c>
      <c r="O136">
        <v>5.1800000000000001E-4</v>
      </c>
    </row>
    <row r="137" spans="1:16" x14ac:dyDescent="0.35">
      <c r="A137" t="s">
        <v>195</v>
      </c>
      <c r="B137" t="s">
        <v>87</v>
      </c>
      <c r="C137" t="s">
        <v>88</v>
      </c>
      <c r="D137" t="s">
        <v>160</v>
      </c>
      <c r="E137" t="s">
        <v>20</v>
      </c>
      <c r="F137" t="s">
        <v>93</v>
      </c>
      <c r="G137" t="s">
        <v>33</v>
      </c>
      <c r="H137" t="b">
        <v>1</v>
      </c>
      <c r="I137">
        <v>10</v>
      </c>
      <c r="J137">
        <v>22</v>
      </c>
      <c r="L137">
        <v>207.34541666666701</v>
      </c>
      <c r="M137">
        <v>7.6717804166666806E-2</v>
      </c>
      <c r="N137">
        <v>207.34541666666701</v>
      </c>
      <c r="O137">
        <v>7.6717804166666806E-2</v>
      </c>
    </row>
    <row r="138" spans="1:16" ht="29" x14ac:dyDescent="0.35">
      <c r="A138" t="s">
        <v>196</v>
      </c>
      <c r="B138" t="s">
        <v>87</v>
      </c>
      <c r="C138" t="s">
        <v>88</v>
      </c>
      <c r="D138" t="s">
        <v>160</v>
      </c>
      <c r="E138" t="s">
        <v>20</v>
      </c>
      <c r="F138" t="s">
        <v>93</v>
      </c>
      <c r="G138" t="s">
        <v>25</v>
      </c>
      <c r="H138" t="b">
        <v>1</v>
      </c>
      <c r="I138">
        <v>10</v>
      </c>
      <c r="J138">
        <v>36.4</v>
      </c>
      <c r="K138">
        <v>2</v>
      </c>
      <c r="L138">
        <v>2515.79105555555</v>
      </c>
      <c r="M138">
        <v>0.47883051160389001</v>
      </c>
      <c r="N138">
        <v>2515.79105555556</v>
      </c>
      <c r="O138">
        <v>0.47883051160389001</v>
      </c>
      <c r="P138" s="1" t="s">
        <v>23</v>
      </c>
    </row>
    <row r="139" spans="1:16" x14ac:dyDescent="0.35">
      <c r="A139" t="s">
        <v>197</v>
      </c>
      <c r="B139" t="s">
        <v>87</v>
      </c>
      <c r="C139" t="s">
        <v>88</v>
      </c>
      <c r="D139" t="s">
        <v>160</v>
      </c>
      <c r="E139" t="s">
        <v>20</v>
      </c>
      <c r="F139" t="s">
        <v>93</v>
      </c>
      <c r="G139" t="s">
        <v>29</v>
      </c>
      <c r="H139" t="b">
        <v>1</v>
      </c>
      <c r="I139">
        <v>10</v>
      </c>
      <c r="J139">
        <v>3.25</v>
      </c>
      <c r="L139">
        <v>40.840763888888901</v>
      </c>
      <c r="M139">
        <v>1.59278979166667E-3</v>
      </c>
      <c r="N139">
        <v>40.840763888888901</v>
      </c>
      <c r="O139">
        <v>1.59278979166667E-3</v>
      </c>
    </row>
    <row r="140" spans="1:16" ht="29" x14ac:dyDescent="0.35">
      <c r="A140" t="s">
        <v>198</v>
      </c>
      <c r="B140" t="s">
        <v>87</v>
      </c>
      <c r="C140" t="s">
        <v>92</v>
      </c>
      <c r="D140" t="s">
        <v>160</v>
      </c>
      <c r="E140" t="s">
        <v>20</v>
      </c>
      <c r="F140" t="s">
        <v>93</v>
      </c>
      <c r="G140" t="s">
        <v>25</v>
      </c>
      <c r="H140" t="b">
        <v>1</v>
      </c>
      <c r="I140">
        <v>10</v>
      </c>
      <c r="J140">
        <v>43.5</v>
      </c>
      <c r="K140">
        <v>5</v>
      </c>
      <c r="L140">
        <v>3416.4869791666702</v>
      </c>
      <c r="M140">
        <v>0.65025996674479203</v>
      </c>
      <c r="N140">
        <v>3416.4869791666702</v>
      </c>
      <c r="O140">
        <v>0.65025996674479203</v>
      </c>
      <c r="P140" s="1" t="s">
        <v>23</v>
      </c>
    </row>
    <row r="141" spans="1:16" x14ac:dyDescent="0.35">
      <c r="A141" t="s">
        <v>199</v>
      </c>
      <c r="B141" t="s">
        <v>87</v>
      </c>
      <c r="C141" t="s">
        <v>92</v>
      </c>
      <c r="D141" t="s">
        <v>160</v>
      </c>
      <c r="E141" t="s">
        <v>20</v>
      </c>
      <c r="F141" t="s">
        <v>93</v>
      </c>
      <c r="G141" t="s">
        <v>33</v>
      </c>
      <c r="H141" t="b">
        <v>1</v>
      </c>
      <c r="I141">
        <v>10</v>
      </c>
      <c r="J141">
        <v>16.5</v>
      </c>
      <c r="L141">
        <v>207.34541666666701</v>
      </c>
      <c r="M141">
        <v>7.6717804166666806E-2</v>
      </c>
      <c r="N141">
        <v>207.34541666666701</v>
      </c>
      <c r="O141">
        <v>7.6717804166666806E-2</v>
      </c>
    </row>
    <row r="142" spans="1:16" x14ac:dyDescent="0.35">
      <c r="A142" t="s">
        <v>200</v>
      </c>
      <c r="B142" t="s">
        <v>87</v>
      </c>
      <c r="C142" t="s">
        <v>92</v>
      </c>
      <c r="D142" t="s">
        <v>160</v>
      </c>
      <c r="E142" t="s">
        <v>20</v>
      </c>
      <c r="F142" t="s">
        <v>93</v>
      </c>
      <c r="G142" t="s">
        <v>29</v>
      </c>
      <c r="H142" t="b">
        <v>1</v>
      </c>
      <c r="I142">
        <v>10</v>
      </c>
      <c r="J142">
        <v>3.9090909090909101</v>
      </c>
      <c r="L142">
        <v>135.08868055555601</v>
      </c>
      <c r="M142">
        <v>5.2684585416666804E-3</v>
      </c>
      <c r="N142">
        <v>135.08868055555601</v>
      </c>
      <c r="O142">
        <v>5.2684585416666804E-3</v>
      </c>
    </row>
    <row r="143" spans="1:16" ht="29" x14ac:dyDescent="0.35">
      <c r="A143" t="s">
        <v>201</v>
      </c>
      <c r="B143" t="s">
        <v>87</v>
      </c>
      <c r="C143" t="s">
        <v>92</v>
      </c>
      <c r="D143" t="s">
        <v>160</v>
      </c>
      <c r="E143" t="s">
        <v>20</v>
      </c>
      <c r="F143" t="s">
        <v>93</v>
      </c>
      <c r="G143" t="s">
        <v>22</v>
      </c>
      <c r="H143" t="b">
        <v>1</v>
      </c>
      <c r="I143">
        <v>10</v>
      </c>
      <c r="J143">
        <v>39</v>
      </c>
      <c r="L143">
        <v>245.04458333333301</v>
      </c>
      <c r="M143">
        <v>1.7593851017542499E-2</v>
      </c>
      <c r="N143">
        <v>245.04458333333301</v>
      </c>
      <c r="O143">
        <v>1.7593851017542499E-2</v>
      </c>
      <c r="P143" s="1" t="s">
        <v>23</v>
      </c>
    </row>
    <row r="144" spans="1:16" ht="29" x14ac:dyDescent="0.35">
      <c r="A144" t="s">
        <v>202</v>
      </c>
      <c r="B144" t="s">
        <v>87</v>
      </c>
      <c r="C144" t="s">
        <v>98</v>
      </c>
      <c r="D144" t="s">
        <v>160</v>
      </c>
      <c r="E144" t="s">
        <v>20</v>
      </c>
      <c r="F144" t="s">
        <v>93</v>
      </c>
      <c r="G144" t="s">
        <v>25</v>
      </c>
      <c r="H144" t="b">
        <v>1</v>
      </c>
      <c r="I144">
        <v>10</v>
      </c>
      <c r="J144">
        <v>35.200000000000003</v>
      </c>
      <c r="K144">
        <v>25</v>
      </c>
      <c r="L144">
        <v>4976.29</v>
      </c>
      <c r="M144">
        <v>0.94713727569999995</v>
      </c>
      <c r="N144">
        <v>4976.29</v>
      </c>
      <c r="O144">
        <v>0.94713727569999995</v>
      </c>
      <c r="P144" s="1" t="s">
        <v>23</v>
      </c>
    </row>
    <row r="145" spans="1:16" x14ac:dyDescent="0.35">
      <c r="A145" t="s">
        <v>203</v>
      </c>
      <c r="B145" t="s">
        <v>87</v>
      </c>
      <c r="C145" t="s">
        <v>98</v>
      </c>
      <c r="D145" t="s">
        <v>160</v>
      </c>
      <c r="E145" t="s">
        <v>20</v>
      </c>
      <c r="F145" t="s">
        <v>93</v>
      </c>
      <c r="G145" t="s">
        <v>33</v>
      </c>
      <c r="H145" t="b">
        <v>1</v>
      </c>
      <c r="I145">
        <v>10</v>
      </c>
      <c r="J145">
        <v>66</v>
      </c>
      <c r="L145">
        <v>414.69083333333299</v>
      </c>
      <c r="M145">
        <v>0.153435608333333</v>
      </c>
      <c r="N145">
        <v>414.69083333333299</v>
      </c>
      <c r="O145">
        <v>0.153435608333333</v>
      </c>
    </row>
    <row r="146" spans="1:16" x14ac:dyDescent="0.35">
      <c r="A146" t="s">
        <v>204</v>
      </c>
      <c r="B146" t="s">
        <v>87</v>
      </c>
      <c r="C146" t="s">
        <v>98</v>
      </c>
      <c r="D146" t="s">
        <v>160</v>
      </c>
      <c r="E146" t="s">
        <v>20</v>
      </c>
      <c r="F146" t="s">
        <v>93</v>
      </c>
      <c r="G146" t="s">
        <v>29</v>
      </c>
      <c r="H146" t="b">
        <v>1</v>
      </c>
      <c r="I146">
        <v>10</v>
      </c>
      <c r="J146">
        <v>3</v>
      </c>
      <c r="L146">
        <v>56.548749999999998</v>
      </c>
      <c r="M146">
        <v>2.2054012499999999E-3</v>
      </c>
      <c r="N146">
        <v>56.548749999999998</v>
      </c>
      <c r="O146">
        <v>2.2054012499999999E-3</v>
      </c>
    </row>
    <row r="147" spans="1:16" ht="29" x14ac:dyDescent="0.35">
      <c r="A147" t="s">
        <v>205</v>
      </c>
      <c r="B147" t="s">
        <v>87</v>
      </c>
      <c r="C147" t="s">
        <v>103</v>
      </c>
      <c r="D147" t="s">
        <v>160</v>
      </c>
      <c r="E147" t="s">
        <v>20</v>
      </c>
      <c r="F147" t="s">
        <v>93</v>
      </c>
      <c r="G147" t="s">
        <v>25</v>
      </c>
      <c r="H147" t="b">
        <v>1</v>
      </c>
      <c r="I147">
        <v>10</v>
      </c>
      <c r="J147">
        <v>42.85</v>
      </c>
      <c r="K147">
        <v>14</v>
      </c>
      <c r="L147">
        <v>4576.99299305556</v>
      </c>
      <c r="M147">
        <v>0.87113907636826504</v>
      </c>
      <c r="N147">
        <v>4576.99299305556</v>
      </c>
      <c r="O147">
        <v>0.87113907636826504</v>
      </c>
      <c r="P147" s="1" t="s">
        <v>23</v>
      </c>
    </row>
    <row r="148" spans="1:16" x14ac:dyDescent="0.35">
      <c r="A148" t="s">
        <v>206</v>
      </c>
      <c r="B148" t="s">
        <v>87</v>
      </c>
      <c r="C148" t="s">
        <v>103</v>
      </c>
      <c r="D148" t="s">
        <v>160</v>
      </c>
      <c r="E148" t="s">
        <v>20</v>
      </c>
      <c r="F148" t="s">
        <v>93</v>
      </c>
      <c r="G148" t="s">
        <v>33</v>
      </c>
      <c r="H148" t="b">
        <v>1</v>
      </c>
      <c r="I148">
        <v>10</v>
      </c>
      <c r="J148">
        <v>28</v>
      </c>
      <c r="L148">
        <v>263.89416666666699</v>
      </c>
      <c r="M148">
        <v>9.7640841666666797E-2</v>
      </c>
      <c r="N148">
        <v>263.89416666666699</v>
      </c>
      <c r="O148">
        <v>9.7640841666666797E-2</v>
      </c>
    </row>
    <row r="149" spans="1:16" ht="29" x14ac:dyDescent="0.35">
      <c r="A149" t="s">
        <v>207</v>
      </c>
      <c r="B149" t="s">
        <v>87</v>
      </c>
      <c r="C149" t="s">
        <v>103</v>
      </c>
      <c r="D149" t="s">
        <v>160</v>
      </c>
      <c r="E149" t="s">
        <v>20</v>
      </c>
      <c r="F149" t="s">
        <v>93</v>
      </c>
      <c r="G149" t="s">
        <v>22</v>
      </c>
      <c r="H149" t="b">
        <v>1</v>
      </c>
      <c r="I149">
        <v>10</v>
      </c>
      <c r="J149">
        <v>16.3333333333333</v>
      </c>
      <c r="L149">
        <v>153.938263888889</v>
      </c>
      <c r="M149">
        <v>1.10525474340972E-2</v>
      </c>
      <c r="N149">
        <v>153.938263888889</v>
      </c>
      <c r="O149">
        <v>1.10525474340972E-2</v>
      </c>
      <c r="P149" s="1" t="s">
        <v>23</v>
      </c>
    </row>
    <row r="150" spans="1:16" x14ac:dyDescent="0.35">
      <c r="A150" t="s">
        <v>208</v>
      </c>
      <c r="B150" t="s">
        <v>87</v>
      </c>
      <c r="C150" t="s">
        <v>103</v>
      </c>
      <c r="D150" t="s">
        <v>160</v>
      </c>
      <c r="E150" t="s">
        <v>20</v>
      </c>
      <c r="F150" t="s">
        <v>93</v>
      </c>
      <c r="G150" t="s">
        <v>29</v>
      </c>
      <c r="H150" t="b">
        <v>1</v>
      </c>
      <c r="I150">
        <v>10</v>
      </c>
      <c r="J150">
        <v>3.2</v>
      </c>
      <c r="L150">
        <v>50.265555555555601</v>
      </c>
      <c r="M150">
        <v>1.9603566666666701E-3</v>
      </c>
      <c r="N150">
        <v>50.265555555555601</v>
      </c>
      <c r="O150">
        <v>1.9603566666666701E-3</v>
      </c>
    </row>
    <row r="151" spans="1:16" x14ac:dyDescent="0.35">
      <c r="A151" t="s">
        <v>209</v>
      </c>
      <c r="B151" t="s">
        <v>107</v>
      </c>
      <c r="C151" t="s">
        <v>108</v>
      </c>
      <c r="D151" t="s">
        <v>160</v>
      </c>
      <c r="E151" t="s">
        <v>20</v>
      </c>
      <c r="F151" t="s">
        <v>93</v>
      </c>
      <c r="G151" t="s">
        <v>57</v>
      </c>
      <c r="H151" t="b">
        <v>1</v>
      </c>
      <c r="I151">
        <v>10</v>
      </c>
      <c r="J151">
        <v>12.866666666666699</v>
      </c>
      <c r="L151">
        <v>606.32826388888896</v>
      </c>
      <c r="M151">
        <v>0.34902680182500001</v>
      </c>
      <c r="N151">
        <v>606.32826388888896</v>
      </c>
      <c r="O151">
        <v>0.34902680182500001</v>
      </c>
    </row>
    <row r="152" spans="1:16" x14ac:dyDescent="0.35">
      <c r="A152" t="s">
        <v>210</v>
      </c>
      <c r="B152" t="s">
        <v>107</v>
      </c>
      <c r="C152" t="s">
        <v>108</v>
      </c>
      <c r="D152" t="s">
        <v>160</v>
      </c>
      <c r="E152" t="s">
        <v>20</v>
      </c>
      <c r="F152" t="s">
        <v>93</v>
      </c>
      <c r="G152" t="s">
        <v>72</v>
      </c>
      <c r="H152" t="b">
        <v>1</v>
      </c>
      <c r="I152">
        <v>10</v>
      </c>
      <c r="J152">
        <v>208</v>
      </c>
      <c r="L152">
        <v>653.45222222222196</v>
      </c>
      <c r="M152">
        <v>0</v>
      </c>
      <c r="N152">
        <v>653.45222222222196</v>
      </c>
      <c r="O152">
        <v>0</v>
      </c>
    </row>
    <row r="153" spans="1:16" x14ac:dyDescent="0.35">
      <c r="A153" t="s">
        <v>211</v>
      </c>
      <c r="B153" t="s">
        <v>107</v>
      </c>
      <c r="C153" t="s">
        <v>108</v>
      </c>
      <c r="D153" t="s">
        <v>160</v>
      </c>
      <c r="E153" t="s">
        <v>20</v>
      </c>
      <c r="F153" t="s">
        <v>93</v>
      </c>
      <c r="G153" t="s">
        <v>33</v>
      </c>
      <c r="H153" t="b">
        <v>1</v>
      </c>
      <c r="I153">
        <v>10</v>
      </c>
      <c r="J153">
        <v>8</v>
      </c>
      <c r="L153">
        <v>25.1327777777778</v>
      </c>
      <c r="M153">
        <v>9.2991277777777891E-3</v>
      </c>
      <c r="N153">
        <v>25.1327777777778</v>
      </c>
      <c r="O153">
        <v>9.2991277777777891E-3</v>
      </c>
    </row>
    <row r="154" spans="1:16" x14ac:dyDescent="0.35">
      <c r="A154" t="s">
        <v>212</v>
      </c>
      <c r="B154" t="s">
        <v>107</v>
      </c>
      <c r="C154" t="s">
        <v>108</v>
      </c>
      <c r="D154" t="s">
        <v>160</v>
      </c>
      <c r="E154" t="s">
        <v>20</v>
      </c>
      <c r="F154" t="s">
        <v>93</v>
      </c>
      <c r="G154" t="s">
        <v>39</v>
      </c>
      <c r="H154" t="b">
        <v>1</v>
      </c>
      <c r="I154">
        <v>10</v>
      </c>
      <c r="J154">
        <v>15</v>
      </c>
      <c r="L154">
        <v>47.123958333333299</v>
      </c>
      <c r="M154">
        <v>8.9535520833333299E-3</v>
      </c>
      <c r="N154">
        <v>47.123958333333299</v>
      </c>
      <c r="O154">
        <v>8.9535520833333299E-3</v>
      </c>
    </row>
    <row r="155" spans="1:16" x14ac:dyDescent="0.35">
      <c r="A155" t="s">
        <v>213</v>
      </c>
      <c r="B155" t="s">
        <v>107</v>
      </c>
      <c r="C155" t="s">
        <v>108</v>
      </c>
      <c r="D155" t="s">
        <v>160</v>
      </c>
      <c r="E155" t="s">
        <v>20</v>
      </c>
      <c r="F155" t="s">
        <v>93</v>
      </c>
      <c r="G155" t="s">
        <v>113</v>
      </c>
      <c r="H155" t="b">
        <v>1</v>
      </c>
      <c r="I155">
        <v>10</v>
      </c>
      <c r="J155">
        <v>18</v>
      </c>
      <c r="L155">
        <v>56.548749999999998</v>
      </c>
      <c r="M155">
        <v>1.4702675E-2</v>
      </c>
      <c r="N155">
        <v>56.548749999999998</v>
      </c>
      <c r="O155">
        <v>1.4702675E-2</v>
      </c>
    </row>
    <row r="156" spans="1:16" ht="29" x14ac:dyDescent="0.35">
      <c r="A156" t="s">
        <v>214</v>
      </c>
      <c r="B156" t="s">
        <v>107</v>
      </c>
      <c r="C156" t="s">
        <v>108</v>
      </c>
      <c r="D156" t="s">
        <v>160</v>
      </c>
      <c r="E156" t="s">
        <v>20</v>
      </c>
      <c r="F156" t="s">
        <v>93</v>
      </c>
      <c r="G156" t="s">
        <v>22</v>
      </c>
      <c r="H156" t="b">
        <v>1</v>
      </c>
      <c r="I156">
        <v>10</v>
      </c>
      <c r="J156">
        <v>24</v>
      </c>
      <c r="L156">
        <v>150.79666666666699</v>
      </c>
      <c r="M156">
        <v>1.0826985241564601E-2</v>
      </c>
      <c r="N156">
        <v>150.79666666666699</v>
      </c>
      <c r="O156">
        <v>1.0826985241564601E-2</v>
      </c>
      <c r="P156" s="1" t="s">
        <v>23</v>
      </c>
    </row>
    <row r="157" spans="1:16" x14ac:dyDescent="0.35">
      <c r="A157" t="s">
        <v>215</v>
      </c>
      <c r="B157" t="s">
        <v>107</v>
      </c>
      <c r="C157" t="s">
        <v>108</v>
      </c>
      <c r="D157" t="s">
        <v>160</v>
      </c>
      <c r="E157" t="s">
        <v>20</v>
      </c>
      <c r="F157" t="s">
        <v>93</v>
      </c>
      <c r="G157" t="s">
        <v>27</v>
      </c>
      <c r="H157" t="b">
        <v>1</v>
      </c>
      <c r="I157">
        <v>10</v>
      </c>
      <c r="J157">
        <v>28</v>
      </c>
      <c r="L157">
        <v>87.964722222222207</v>
      </c>
      <c r="M157">
        <v>9.67611944444444E-3</v>
      </c>
      <c r="N157">
        <v>87.964722222222207</v>
      </c>
      <c r="O157">
        <v>9.67611944444444E-3</v>
      </c>
    </row>
    <row r="158" spans="1:16" ht="29" x14ac:dyDescent="0.35">
      <c r="A158" t="s">
        <v>216</v>
      </c>
      <c r="B158" t="s">
        <v>17</v>
      </c>
      <c r="C158" t="s">
        <v>18</v>
      </c>
      <c r="D158" t="s">
        <v>217</v>
      </c>
      <c r="E158" t="s">
        <v>20</v>
      </c>
      <c r="F158" t="s">
        <v>21</v>
      </c>
      <c r="G158" t="s">
        <v>22</v>
      </c>
      <c r="H158" t="b">
        <v>1</v>
      </c>
      <c r="I158">
        <v>10</v>
      </c>
      <c r="J158">
        <v>25</v>
      </c>
      <c r="K158">
        <v>83</v>
      </c>
      <c r="L158">
        <v>257.5</v>
      </c>
      <c r="M158">
        <v>1.8488132140649999E-2</v>
      </c>
      <c r="N158">
        <v>257.5</v>
      </c>
      <c r="O158">
        <v>1.8488132140649999E-2</v>
      </c>
      <c r="P158" s="1" t="s">
        <v>23</v>
      </c>
    </row>
    <row r="159" spans="1:16" ht="29" x14ac:dyDescent="0.35">
      <c r="A159" t="s">
        <v>218</v>
      </c>
      <c r="B159" t="s">
        <v>17</v>
      </c>
      <c r="C159" t="s">
        <v>18</v>
      </c>
      <c r="D159" t="s">
        <v>217</v>
      </c>
      <c r="E159" t="s">
        <v>20</v>
      </c>
      <c r="F159" t="s">
        <v>21</v>
      </c>
      <c r="G159" t="s">
        <v>25</v>
      </c>
      <c r="H159" t="b">
        <v>1</v>
      </c>
      <c r="I159">
        <v>10</v>
      </c>
      <c r="J159">
        <v>74.5</v>
      </c>
      <c r="L159">
        <v>14.9</v>
      </c>
      <c r="M159">
        <v>2.8359169999999999E-3</v>
      </c>
      <c r="N159">
        <v>14.9</v>
      </c>
      <c r="O159">
        <v>2.8359169999999999E-3</v>
      </c>
      <c r="P159" s="1" t="s">
        <v>23</v>
      </c>
    </row>
    <row r="160" spans="1:16" x14ac:dyDescent="0.35">
      <c r="A160" t="s">
        <v>219</v>
      </c>
      <c r="B160" t="s">
        <v>17</v>
      </c>
      <c r="C160" t="s">
        <v>18</v>
      </c>
      <c r="D160" t="s">
        <v>217</v>
      </c>
      <c r="E160" t="s">
        <v>20</v>
      </c>
      <c r="F160" t="s">
        <v>21</v>
      </c>
      <c r="G160" t="s">
        <v>43</v>
      </c>
      <c r="H160" t="b">
        <v>0</v>
      </c>
      <c r="I160">
        <v>10</v>
      </c>
      <c r="J160">
        <v>40.3333333333333</v>
      </c>
      <c r="L160">
        <v>36.299999999999997</v>
      </c>
      <c r="M160">
        <v>8.1675000000000007E-5</v>
      </c>
      <c r="N160">
        <v>0</v>
      </c>
      <c r="O160">
        <v>0</v>
      </c>
    </row>
    <row r="161" spans="1:16" x14ac:dyDescent="0.35">
      <c r="A161" t="s">
        <v>220</v>
      </c>
      <c r="B161" t="s">
        <v>17</v>
      </c>
      <c r="C161" t="s">
        <v>18</v>
      </c>
      <c r="D161" t="s">
        <v>217</v>
      </c>
      <c r="E161" t="s">
        <v>20</v>
      </c>
      <c r="F161" t="s">
        <v>21</v>
      </c>
      <c r="G161" t="s">
        <v>29</v>
      </c>
      <c r="H161" t="b">
        <v>1</v>
      </c>
      <c r="I161">
        <v>10</v>
      </c>
      <c r="J161">
        <v>7.5</v>
      </c>
      <c r="L161">
        <v>1.5</v>
      </c>
      <c r="M161">
        <v>5.8499999999999999E-5</v>
      </c>
      <c r="N161">
        <v>1.5</v>
      </c>
      <c r="O161">
        <v>5.8499999999999999E-5</v>
      </c>
    </row>
    <row r="162" spans="1:16" x14ac:dyDescent="0.35">
      <c r="A162" t="s">
        <v>221</v>
      </c>
      <c r="B162" t="s">
        <v>17</v>
      </c>
      <c r="C162" t="s">
        <v>18</v>
      </c>
      <c r="D162" t="s">
        <v>217</v>
      </c>
      <c r="E162" t="s">
        <v>20</v>
      </c>
      <c r="F162" t="s">
        <v>21</v>
      </c>
      <c r="G162" t="s">
        <v>39</v>
      </c>
      <c r="H162" t="b">
        <v>1</v>
      </c>
      <c r="I162">
        <v>10</v>
      </c>
      <c r="J162">
        <v>12</v>
      </c>
      <c r="L162">
        <v>1.2</v>
      </c>
      <c r="M162">
        <v>2.2800000000000001E-4</v>
      </c>
      <c r="N162">
        <v>1.2</v>
      </c>
      <c r="O162">
        <v>2.2800000000000001E-4</v>
      </c>
    </row>
    <row r="163" spans="1:16" ht="29" x14ac:dyDescent="0.35">
      <c r="A163" t="s">
        <v>222</v>
      </c>
      <c r="B163" t="s">
        <v>17</v>
      </c>
      <c r="C163" t="s">
        <v>35</v>
      </c>
      <c r="D163" t="s">
        <v>217</v>
      </c>
      <c r="E163" t="s">
        <v>20</v>
      </c>
      <c r="F163" t="s">
        <v>21</v>
      </c>
      <c r="G163" t="s">
        <v>22</v>
      </c>
      <c r="H163" t="b">
        <v>1</v>
      </c>
      <c r="I163">
        <v>10</v>
      </c>
      <c r="J163">
        <v>17.25</v>
      </c>
      <c r="K163">
        <v>94</v>
      </c>
      <c r="L163">
        <v>196.65</v>
      </c>
      <c r="M163">
        <v>1.4119189069743E-2</v>
      </c>
      <c r="N163">
        <v>196.65</v>
      </c>
      <c r="O163">
        <v>1.4119189069743E-2</v>
      </c>
      <c r="P163" s="1" t="s">
        <v>23</v>
      </c>
    </row>
    <row r="164" spans="1:16" x14ac:dyDescent="0.35">
      <c r="A164" t="s">
        <v>223</v>
      </c>
      <c r="B164" t="s">
        <v>17</v>
      </c>
      <c r="C164" t="s">
        <v>35</v>
      </c>
      <c r="D164" t="s">
        <v>217</v>
      </c>
      <c r="E164" t="s">
        <v>20</v>
      </c>
      <c r="F164" t="s">
        <v>21</v>
      </c>
      <c r="G164" t="s">
        <v>39</v>
      </c>
      <c r="H164" t="b">
        <v>1</v>
      </c>
      <c r="I164">
        <v>10</v>
      </c>
      <c r="J164">
        <v>12.363636363636401</v>
      </c>
      <c r="L164">
        <v>13.6</v>
      </c>
      <c r="M164">
        <v>2.5839999999999999E-3</v>
      </c>
      <c r="N164">
        <v>13.6</v>
      </c>
      <c r="O164">
        <v>2.5839999999999999E-3</v>
      </c>
    </row>
    <row r="165" spans="1:16" x14ac:dyDescent="0.35">
      <c r="A165" t="s">
        <v>224</v>
      </c>
      <c r="B165" t="s">
        <v>17</v>
      </c>
      <c r="C165" t="s">
        <v>35</v>
      </c>
      <c r="D165" t="s">
        <v>217</v>
      </c>
      <c r="E165" t="s">
        <v>20</v>
      </c>
      <c r="F165" t="s">
        <v>21</v>
      </c>
      <c r="G165" t="s">
        <v>31</v>
      </c>
      <c r="H165" t="b">
        <v>1</v>
      </c>
      <c r="I165">
        <v>10</v>
      </c>
      <c r="J165">
        <v>37.200000000000003</v>
      </c>
      <c r="L165">
        <v>18.600000000000001</v>
      </c>
      <c r="M165">
        <v>5.03037E-2</v>
      </c>
      <c r="N165">
        <v>18.600000000000001</v>
      </c>
      <c r="O165">
        <v>5.03037E-2</v>
      </c>
    </row>
    <row r="166" spans="1:16" x14ac:dyDescent="0.35">
      <c r="A166" t="s">
        <v>225</v>
      </c>
      <c r="B166" t="s">
        <v>17</v>
      </c>
      <c r="C166" t="s">
        <v>35</v>
      </c>
      <c r="D166" t="s">
        <v>217</v>
      </c>
      <c r="E166" t="s">
        <v>20</v>
      </c>
      <c r="F166" t="s">
        <v>21</v>
      </c>
      <c r="G166" t="s">
        <v>29</v>
      </c>
      <c r="H166" t="b">
        <v>1</v>
      </c>
      <c r="I166">
        <v>10</v>
      </c>
      <c r="J166">
        <v>8.6666666666666696</v>
      </c>
      <c r="L166">
        <v>2.6</v>
      </c>
      <c r="M166">
        <v>1.014E-4</v>
      </c>
      <c r="N166">
        <v>2.6</v>
      </c>
      <c r="O166">
        <v>1.014E-4</v>
      </c>
    </row>
    <row r="167" spans="1:16" ht="29" x14ac:dyDescent="0.35">
      <c r="A167" t="s">
        <v>226</v>
      </c>
      <c r="B167" t="s">
        <v>17</v>
      </c>
      <c r="C167" t="s">
        <v>35</v>
      </c>
      <c r="D167" t="s">
        <v>217</v>
      </c>
      <c r="E167" t="s">
        <v>20</v>
      </c>
      <c r="F167" t="s">
        <v>21</v>
      </c>
      <c r="G167" t="s">
        <v>25</v>
      </c>
      <c r="H167" t="b">
        <v>1</v>
      </c>
      <c r="I167">
        <v>10</v>
      </c>
      <c r="J167">
        <v>38.5</v>
      </c>
      <c r="L167">
        <v>7.7</v>
      </c>
      <c r="M167">
        <v>1.4655409999999999E-3</v>
      </c>
      <c r="N167">
        <v>7.7</v>
      </c>
      <c r="O167">
        <v>1.4655409999999999E-3</v>
      </c>
      <c r="P167" s="1" t="s">
        <v>23</v>
      </c>
    </row>
    <row r="168" spans="1:16" x14ac:dyDescent="0.35">
      <c r="A168" t="s">
        <v>227</v>
      </c>
      <c r="B168" t="s">
        <v>17</v>
      </c>
      <c r="C168" t="s">
        <v>35</v>
      </c>
      <c r="D168" t="s">
        <v>217</v>
      </c>
      <c r="E168" t="s">
        <v>20</v>
      </c>
      <c r="F168" t="s">
        <v>21</v>
      </c>
      <c r="G168" t="s">
        <v>43</v>
      </c>
      <c r="H168" t="b">
        <v>0</v>
      </c>
      <c r="I168">
        <v>10</v>
      </c>
      <c r="J168">
        <v>68</v>
      </c>
      <c r="L168">
        <v>6.8</v>
      </c>
      <c r="M168">
        <v>1.5299999999999999E-5</v>
      </c>
      <c r="N168">
        <v>0</v>
      </c>
      <c r="O168">
        <v>0</v>
      </c>
    </row>
    <row r="169" spans="1:16" x14ac:dyDescent="0.35">
      <c r="A169" t="s">
        <v>228</v>
      </c>
      <c r="B169" t="s">
        <v>17</v>
      </c>
      <c r="C169" t="s">
        <v>35</v>
      </c>
      <c r="D169" t="s">
        <v>217</v>
      </c>
      <c r="E169" t="s">
        <v>20</v>
      </c>
      <c r="F169" t="s">
        <v>21</v>
      </c>
      <c r="G169" t="s">
        <v>113</v>
      </c>
      <c r="H169" t="b">
        <v>1</v>
      </c>
      <c r="I169">
        <v>10</v>
      </c>
      <c r="J169">
        <v>15</v>
      </c>
      <c r="L169">
        <v>1.5</v>
      </c>
      <c r="M169">
        <v>3.8999999999999999E-4</v>
      </c>
      <c r="N169">
        <v>1.5</v>
      </c>
      <c r="O169">
        <v>3.8999999999999999E-4</v>
      </c>
    </row>
    <row r="170" spans="1:16" x14ac:dyDescent="0.35">
      <c r="A170" t="s">
        <v>229</v>
      </c>
      <c r="B170" t="s">
        <v>47</v>
      </c>
      <c r="C170" t="s">
        <v>48</v>
      </c>
      <c r="D170" t="s">
        <v>217</v>
      </c>
      <c r="E170" t="s">
        <v>20</v>
      </c>
      <c r="F170" t="s">
        <v>21</v>
      </c>
      <c r="G170" t="s">
        <v>33</v>
      </c>
      <c r="H170" t="b">
        <v>1</v>
      </c>
      <c r="I170">
        <v>10</v>
      </c>
      <c r="J170">
        <v>12</v>
      </c>
      <c r="L170">
        <v>3.6</v>
      </c>
      <c r="M170">
        <v>1.3320000000000001E-3</v>
      </c>
      <c r="N170">
        <v>3.6</v>
      </c>
      <c r="O170">
        <v>1.3320000000000001E-3</v>
      </c>
    </row>
    <row r="171" spans="1:16" ht="29" x14ac:dyDescent="0.35">
      <c r="A171" t="s">
        <v>230</v>
      </c>
      <c r="B171" t="s">
        <v>47</v>
      </c>
      <c r="C171" t="s">
        <v>48</v>
      </c>
      <c r="D171" t="s">
        <v>217</v>
      </c>
      <c r="E171" t="s">
        <v>20</v>
      </c>
      <c r="F171" t="s">
        <v>21</v>
      </c>
      <c r="G171" t="s">
        <v>25</v>
      </c>
      <c r="H171" t="b">
        <v>1</v>
      </c>
      <c r="I171">
        <v>10</v>
      </c>
      <c r="J171">
        <v>40.4444444444444</v>
      </c>
      <c r="L171">
        <v>72.8</v>
      </c>
      <c r="M171">
        <v>1.3856024E-2</v>
      </c>
      <c r="N171">
        <v>72.8</v>
      </c>
      <c r="O171">
        <v>1.3856024E-2</v>
      </c>
      <c r="P171" s="1" t="s">
        <v>23</v>
      </c>
    </row>
    <row r="172" spans="1:16" x14ac:dyDescent="0.35">
      <c r="A172" t="s">
        <v>231</v>
      </c>
      <c r="B172" t="s">
        <v>47</v>
      </c>
      <c r="C172" t="s">
        <v>48</v>
      </c>
      <c r="D172" t="s">
        <v>217</v>
      </c>
      <c r="E172" t="s">
        <v>20</v>
      </c>
      <c r="F172" t="s">
        <v>21</v>
      </c>
      <c r="G172" t="s">
        <v>29</v>
      </c>
      <c r="H172" t="b">
        <v>1</v>
      </c>
      <c r="I172">
        <v>10</v>
      </c>
      <c r="J172">
        <v>3.5</v>
      </c>
      <c r="L172">
        <v>0.7</v>
      </c>
      <c r="M172">
        <v>2.73E-5</v>
      </c>
      <c r="N172">
        <v>0.7</v>
      </c>
      <c r="O172">
        <v>2.73E-5</v>
      </c>
    </row>
    <row r="173" spans="1:16" ht="29" x14ac:dyDescent="0.35">
      <c r="A173" t="s">
        <v>232</v>
      </c>
      <c r="B173" t="s">
        <v>47</v>
      </c>
      <c r="C173" t="s">
        <v>48</v>
      </c>
      <c r="D173" t="s">
        <v>217</v>
      </c>
      <c r="E173" t="s">
        <v>20</v>
      </c>
      <c r="F173" t="s">
        <v>21</v>
      </c>
      <c r="G173" s="1" t="s">
        <v>52</v>
      </c>
      <c r="H173" t="b">
        <v>0</v>
      </c>
      <c r="I173">
        <v>10</v>
      </c>
      <c r="J173">
        <v>18</v>
      </c>
      <c r="L173">
        <v>1.8</v>
      </c>
      <c r="M173">
        <v>8.0999999999999996E-4</v>
      </c>
      <c r="N173">
        <v>0</v>
      </c>
      <c r="O173">
        <v>0</v>
      </c>
    </row>
    <row r="174" spans="1:16" ht="29" x14ac:dyDescent="0.35">
      <c r="A174" t="s">
        <v>233</v>
      </c>
      <c r="B174" t="s">
        <v>47</v>
      </c>
      <c r="C174" t="s">
        <v>55</v>
      </c>
      <c r="D174" t="s">
        <v>217</v>
      </c>
      <c r="E174" t="s">
        <v>20</v>
      </c>
      <c r="F174" t="s">
        <v>21</v>
      </c>
      <c r="G174" t="s">
        <v>25</v>
      </c>
      <c r="H174" t="b">
        <v>1</v>
      </c>
      <c r="I174">
        <v>10</v>
      </c>
      <c r="J174">
        <v>34.549999999999997</v>
      </c>
      <c r="K174">
        <v>3</v>
      </c>
      <c r="L174">
        <v>79.465000000000003</v>
      </c>
      <c r="M174">
        <v>1.512457345E-2</v>
      </c>
      <c r="N174">
        <v>79.465000000000003</v>
      </c>
      <c r="O174">
        <v>1.512457345E-2</v>
      </c>
      <c r="P174" s="1" t="s">
        <v>23</v>
      </c>
    </row>
    <row r="175" spans="1:16" x14ac:dyDescent="0.35">
      <c r="A175" t="s">
        <v>234</v>
      </c>
      <c r="B175" t="s">
        <v>47</v>
      </c>
      <c r="C175" t="s">
        <v>55</v>
      </c>
      <c r="D175" t="s">
        <v>217</v>
      </c>
      <c r="E175" t="s">
        <v>20</v>
      </c>
      <c r="F175" t="s">
        <v>21</v>
      </c>
      <c r="G175" t="s">
        <v>31</v>
      </c>
      <c r="H175" t="b">
        <v>1</v>
      </c>
      <c r="I175">
        <v>10</v>
      </c>
      <c r="J175">
        <v>236.15</v>
      </c>
      <c r="K175">
        <v>4</v>
      </c>
      <c r="L175">
        <v>566.76</v>
      </c>
      <c r="M175">
        <v>1.5328024200000001</v>
      </c>
      <c r="N175">
        <v>566.76</v>
      </c>
      <c r="O175">
        <v>1.5328024200000001</v>
      </c>
    </row>
    <row r="176" spans="1:16" x14ac:dyDescent="0.35">
      <c r="A176" t="s">
        <v>235</v>
      </c>
      <c r="B176" t="s">
        <v>47</v>
      </c>
      <c r="C176" t="s">
        <v>55</v>
      </c>
      <c r="D176" t="s">
        <v>217</v>
      </c>
      <c r="E176" t="s">
        <v>20</v>
      </c>
      <c r="F176" t="s">
        <v>21</v>
      </c>
      <c r="G176" t="s">
        <v>27</v>
      </c>
      <c r="H176" t="b">
        <v>1</v>
      </c>
      <c r="I176">
        <v>10</v>
      </c>
      <c r="J176">
        <v>13.4285714285714</v>
      </c>
      <c r="L176">
        <v>9.4</v>
      </c>
      <c r="M176">
        <v>1.034E-3</v>
      </c>
      <c r="N176">
        <v>9.4</v>
      </c>
      <c r="O176">
        <v>1.034E-3</v>
      </c>
    </row>
    <row r="177" spans="1:16" ht="29" x14ac:dyDescent="0.35">
      <c r="A177" t="s">
        <v>236</v>
      </c>
      <c r="B177" t="s">
        <v>47</v>
      </c>
      <c r="C177" t="s">
        <v>55</v>
      </c>
      <c r="D177" t="s">
        <v>217</v>
      </c>
      <c r="E177" t="s">
        <v>20</v>
      </c>
      <c r="F177" t="s">
        <v>21</v>
      </c>
      <c r="G177" t="s">
        <v>22</v>
      </c>
      <c r="H177" t="b">
        <v>1</v>
      </c>
      <c r="I177">
        <v>10</v>
      </c>
      <c r="J177">
        <v>22.3333333333333</v>
      </c>
      <c r="L177">
        <v>6.7</v>
      </c>
      <c r="M177">
        <v>4.8105042851400001E-4</v>
      </c>
      <c r="N177">
        <v>6.7</v>
      </c>
      <c r="O177">
        <v>4.8105042851400001E-4</v>
      </c>
      <c r="P177" s="1" t="s">
        <v>23</v>
      </c>
    </row>
    <row r="178" spans="1:16" x14ac:dyDescent="0.35">
      <c r="A178" t="s">
        <v>237</v>
      </c>
      <c r="B178" t="s">
        <v>47</v>
      </c>
      <c r="C178" t="s">
        <v>55</v>
      </c>
      <c r="D178" t="s">
        <v>217</v>
      </c>
      <c r="E178" t="s">
        <v>20</v>
      </c>
      <c r="F178" t="s">
        <v>21</v>
      </c>
      <c r="G178" t="s">
        <v>177</v>
      </c>
      <c r="H178" t="b">
        <v>0</v>
      </c>
      <c r="I178">
        <v>10</v>
      </c>
      <c r="J178">
        <v>34</v>
      </c>
      <c r="L178">
        <v>3.4</v>
      </c>
      <c r="M178">
        <v>7.4800000000000002E-5</v>
      </c>
      <c r="N178">
        <v>0</v>
      </c>
      <c r="O178">
        <v>0</v>
      </c>
    </row>
    <row r="179" spans="1:16" x14ac:dyDescent="0.35">
      <c r="A179" t="s">
        <v>238</v>
      </c>
      <c r="B179" t="s">
        <v>47</v>
      </c>
      <c r="C179" t="s">
        <v>55</v>
      </c>
      <c r="D179" t="s">
        <v>217</v>
      </c>
      <c r="E179" t="s">
        <v>20</v>
      </c>
      <c r="F179" t="s">
        <v>21</v>
      </c>
      <c r="G179" t="s">
        <v>43</v>
      </c>
      <c r="H179" t="b">
        <v>0</v>
      </c>
      <c r="I179">
        <v>10</v>
      </c>
      <c r="J179">
        <v>28</v>
      </c>
      <c r="L179">
        <v>2.8</v>
      </c>
      <c r="M179">
        <v>6.2999999999999998E-6</v>
      </c>
      <c r="N179">
        <v>0</v>
      </c>
      <c r="O179">
        <v>0</v>
      </c>
    </row>
    <row r="180" spans="1:16" x14ac:dyDescent="0.35">
      <c r="A180" t="s">
        <v>239</v>
      </c>
      <c r="B180" t="s">
        <v>47</v>
      </c>
      <c r="C180" t="s">
        <v>55</v>
      </c>
      <c r="D180" t="s">
        <v>217</v>
      </c>
      <c r="E180" t="s">
        <v>20</v>
      </c>
      <c r="F180" t="s">
        <v>21</v>
      </c>
      <c r="G180" t="s">
        <v>57</v>
      </c>
      <c r="H180" t="b">
        <v>1</v>
      </c>
      <c r="I180">
        <v>10</v>
      </c>
      <c r="J180">
        <v>15</v>
      </c>
      <c r="L180">
        <v>3</v>
      </c>
      <c r="M180">
        <v>1.7269200000000001E-3</v>
      </c>
      <c r="N180">
        <v>3</v>
      </c>
      <c r="O180">
        <v>1.7269200000000001E-3</v>
      </c>
    </row>
    <row r="181" spans="1:16" x14ac:dyDescent="0.35">
      <c r="A181" t="s">
        <v>240</v>
      </c>
      <c r="B181" t="s">
        <v>47</v>
      </c>
      <c r="C181" t="s">
        <v>55</v>
      </c>
      <c r="D181" t="s">
        <v>217</v>
      </c>
      <c r="E181" t="s">
        <v>20</v>
      </c>
      <c r="F181" t="s">
        <v>21</v>
      </c>
      <c r="G181" t="s">
        <v>29</v>
      </c>
      <c r="H181" t="b">
        <v>1</v>
      </c>
      <c r="I181">
        <v>10</v>
      </c>
      <c r="J181">
        <v>16</v>
      </c>
      <c r="L181">
        <v>1.6</v>
      </c>
      <c r="M181">
        <v>6.2399999999999999E-5</v>
      </c>
      <c r="N181">
        <v>1.6</v>
      </c>
      <c r="O181">
        <v>6.2399999999999999E-5</v>
      </c>
    </row>
    <row r="182" spans="1:16" ht="29" x14ac:dyDescent="0.35">
      <c r="A182" t="s">
        <v>241</v>
      </c>
      <c r="B182" t="s">
        <v>47</v>
      </c>
      <c r="C182" t="s">
        <v>62</v>
      </c>
      <c r="D182" t="s">
        <v>217</v>
      </c>
      <c r="E182" t="s">
        <v>20</v>
      </c>
      <c r="F182" t="s">
        <v>93</v>
      </c>
      <c r="G182" t="s">
        <v>25</v>
      </c>
      <c r="H182" t="b">
        <v>1</v>
      </c>
      <c r="I182">
        <v>10</v>
      </c>
      <c r="J182">
        <v>44.9</v>
      </c>
      <c r="K182">
        <v>5</v>
      </c>
      <c r="L182">
        <v>3526.4428819444402</v>
      </c>
      <c r="M182">
        <v>0.67118787372048505</v>
      </c>
      <c r="N182">
        <v>3526.4428819444402</v>
      </c>
      <c r="O182">
        <v>0.67118787372048505</v>
      </c>
      <c r="P182" s="1" t="s">
        <v>23</v>
      </c>
    </row>
    <row r="183" spans="1:16" ht="29" x14ac:dyDescent="0.35">
      <c r="A183" t="s">
        <v>242</v>
      </c>
      <c r="B183" t="s">
        <v>47</v>
      </c>
      <c r="C183" t="s">
        <v>62</v>
      </c>
      <c r="D183" t="s">
        <v>217</v>
      </c>
      <c r="E183" t="s">
        <v>20</v>
      </c>
      <c r="F183" t="s">
        <v>93</v>
      </c>
      <c r="G183" t="s">
        <v>22</v>
      </c>
      <c r="H183" t="b">
        <v>1</v>
      </c>
      <c r="I183">
        <v>10</v>
      </c>
      <c r="J183">
        <v>32</v>
      </c>
      <c r="L183">
        <v>301.59333333333302</v>
      </c>
      <c r="M183">
        <v>2.1653970483129201E-2</v>
      </c>
      <c r="N183">
        <v>301.59333333333302</v>
      </c>
      <c r="O183">
        <v>2.1653970483129201E-2</v>
      </c>
      <c r="P183" s="1" t="s">
        <v>23</v>
      </c>
    </row>
    <row r="184" spans="1:16" x14ac:dyDescent="0.35">
      <c r="A184" t="s">
        <v>243</v>
      </c>
      <c r="B184" t="s">
        <v>47</v>
      </c>
      <c r="C184" t="s">
        <v>62</v>
      </c>
      <c r="D184" t="s">
        <v>217</v>
      </c>
      <c r="E184" t="s">
        <v>20</v>
      </c>
      <c r="F184" t="s">
        <v>93</v>
      </c>
      <c r="G184" t="s">
        <v>33</v>
      </c>
      <c r="H184" t="b">
        <v>1</v>
      </c>
      <c r="I184">
        <v>10</v>
      </c>
      <c r="J184">
        <v>10</v>
      </c>
      <c r="L184">
        <v>31.415972222222202</v>
      </c>
      <c r="M184">
        <v>1.16239097222222E-2</v>
      </c>
      <c r="N184">
        <v>31.415972222222202</v>
      </c>
      <c r="O184">
        <v>1.16239097222222E-2</v>
      </c>
    </row>
    <row r="185" spans="1:16" x14ac:dyDescent="0.35">
      <c r="A185" t="s">
        <v>244</v>
      </c>
      <c r="B185" t="s">
        <v>47</v>
      </c>
      <c r="C185" t="s">
        <v>62</v>
      </c>
      <c r="D185" t="s">
        <v>217</v>
      </c>
      <c r="E185" t="s">
        <v>20</v>
      </c>
      <c r="F185" t="s">
        <v>93</v>
      </c>
      <c r="G185" t="s">
        <v>29</v>
      </c>
      <c r="H185" t="b">
        <v>1</v>
      </c>
      <c r="I185">
        <v>10</v>
      </c>
      <c r="J185">
        <v>2.5</v>
      </c>
      <c r="L185">
        <v>15.707986111111101</v>
      </c>
      <c r="M185">
        <v>6.1261145833333298E-4</v>
      </c>
      <c r="N185">
        <v>15.707986111111101</v>
      </c>
      <c r="O185">
        <v>6.1261145833333298E-4</v>
      </c>
    </row>
    <row r="186" spans="1:16" ht="29" x14ac:dyDescent="0.35">
      <c r="A186" t="s">
        <v>245</v>
      </c>
      <c r="B186" t="s">
        <v>47</v>
      </c>
      <c r="C186" t="s">
        <v>68</v>
      </c>
      <c r="D186" t="s">
        <v>217</v>
      </c>
      <c r="E186" t="s">
        <v>20</v>
      </c>
      <c r="F186" t="s">
        <v>21</v>
      </c>
      <c r="G186" t="s">
        <v>25</v>
      </c>
      <c r="H186" t="b">
        <v>1</v>
      </c>
      <c r="I186">
        <v>10</v>
      </c>
      <c r="J186">
        <v>49.4</v>
      </c>
      <c r="L186">
        <v>98.8</v>
      </c>
      <c r="M186">
        <v>1.8804603999999999E-2</v>
      </c>
      <c r="N186">
        <v>98.8</v>
      </c>
      <c r="O186">
        <v>1.8804603999999999E-2</v>
      </c>
      <c r="P186" s="1" t="s">
        <v>23</v>
      </c>
    </row>
    <row r="187" spans="1:16" x14ac:dyDescent="0.35">
      <c r="A187" t="s">
        <v>246</v>
      </c>
      <c r="B187" t="s">
        <v>47</v>
      </c>
      <c r="C187" t="s">
        <v>68</v>
      </c>
      <c r="D187" t="s">
        <v>217</v>
      </c>
      <c r="E187" t="s">
        <v>20</v>
      </c>
      <c r="F187" t="s">
        <v>21</v>
      </c>
      <c r="G187" t="s">
        <v>31</v>
      </c>
      <c r="H187" t="b">
        <v>1</v>
      </c>
      <c r="I187">
        <v>10</v>
      </c>
      <c r="J187">
        <v>258</v>
      </c>
      <c r="L187">
        <v>51.6</v>
      </c>
      <c r="M187">
        <v>0.13955219999999999</v>
      </c>
      <c r="N187">
        <v>51.6</v>
      </c>
      <c r="O187">
        <v>0.13955219999999999</v>
      </c>
    </row>
    <row r="188" spans="1:16" x14ac:dyDescent="0.35">
      <c r="A188" t="s">
        <v>247</v>
      </c>
      <c r="B188" t="s">
        <v>47</v>
      </c>
      <c r="C188" t="s">
        <v>68</v>
      </c>
      <c r="D188" t="s">
        <v>217</v>
      </c>
      <c r="E188" t="s">
        <v>20</v>
      </c>
      <c r="F188" t="s">
        <v>21</v>
      </c>
      <c r="G188" t="s">
        <v>27</v>
      </c>
      <c r="H188" t="b">
        <v>1</v>
      </c>
      <c r="I188">
        <v>10</v>
      </c>
      <c r="J188">
        <v>48</v>
      </c>
      <c r="L188">
        <v>4.8</v>
      </c>
      <c r="M188">
        <v>5.2800000000000004E-4</v>
      </c>
      <c r="N188">
        <v>4.8</v>
      </c>
      <c r="O188">
        <v>5.2800000000000004E-4</v>
      </c>
    </row>
    <row r="189" spans="1:16" x14ac:dyDescent="0.35">
      <c r="A189" t="s">
        <v>248</v>
      </c>
      <c r="B189" t="s">
        <v>47</v>
      </c>
      <c r="C189" t="s">
        <v>78</v>
      </c>
      <c r="D189" t="s">
        <v>217</v>
      </c>
      <c r="E189" t="s">
        <v>20</v>
      </c>
      <c r="F189" t="s">
        <v>21</v>
      </c>
      <c r="G189" t="s">
        <v>33</v>
      </c>
      <c r="H189" t="b">
        <v>1</v>
      </c>
      <c r="I189">
        <v>10</v>
      </c>
      <c r="J189">
        <v>13.8571428571429</v>
      </c>
      <c r="L189">
        <v>9.6999999999999993</v>
      </c>
      <c r="M189">
        <v>3.5890000000000002E-3</v>
      </c>
      <c r="N189">
        <v>9.6999999999999993</v>
      </c>
      <c r="O189">
        <v>3.5890000000000002E-3</v>
      </c>
    </row>
    <row r="190" spans="1:16" ht="29" x14ac:dyDescent="0.35">
      <c r="A190" t="s">
        <v>249</v>
      </c>
      <c r="B190" t="s">
        <v>47</v>
      </c>
      <c r="C190" t="s">
        <v>78</v>
      </c>
      <c r="D190" t="s">
        <v>217</v>
      </c>
      <c r="E190" t="s">
        <v>20</v>
      </c>
      <c r="F190" t="s">
        <v>21</v>
      </c>
      <c r="G190" t="s">
        <v>25</v>
      </c>
      <c r="H190" t="b">
        <v>1</v>
      </c>
      <c r="I190">
        <v>10</v>
      </c>
      <c r="J190">
        <v>43.75</v>
      </c>
      <c r="K190">
        <v>30</v>
      </c>
      <c r="L190">
        <v>218.75</v>
      </c>
      <c r="M190">
        <v>4.1634687500000003E-2</v>
      </c>
      <c r="N190">
        <v>218.75</v>
      </c>
      <c r="O190">
        <v>4.1634687500000003E-2</v>
      </c>
      <c r="P190" s="1" t="s">
        <v>23</v>
      </c>
    </row>
    <row r="191" spans="1:16" x14ac:dyDescent="0.35">
      <c r="A191" t="s">
        <v>250</v>
      </c>
      <c r="B191" t="s">
        <v>47</v>
      </c>
      <c r="C191" t="s">
        <v>78</v>
      </c>
      <c r="D191" t="s">
        <v>217</v>
      </c>
      <c r="E191" t="s">
        <v>20</v>
      </c>
      <c r="F191" t="s">
        <v>21</v>
      </c>
      <c r="G191" t="s">
        <v>27</v>
      </c>
      <c r="H191" t="b">
        <v>1</v>
      </c>
      <c r="I191">
        <v>10</v>
      </c>
      <c r="J191">
        <v>34.5</v>
      </c>
      <c r="L191">
        <v>6.9</v>
      </c>
      <c r="M191">
        <v>7.5900000000000002E-4</v>
      </c>
      <c r="N191">
        <v>6.9</v>
      </c>
      <c r="O191">
        <v>7.5900000000000002E-4</v>
      </c>
    </row>
    <row r="192" spans="1:16" x14ac:dyDescent="0.35">
      <c r="A192" t="s">
        <v>251</v>
      </c>
      <c r="B192" t="s">
        <v>47</v>
      </c>
      <c r="C192" t="s">
        <v>78</v>
      </c>
      <c r="D192" t="s">
        <v>217</v>
      </c>
      <c r="E192" t="s">
        <v>20</v>
      </c>
      <c r="F192" t="s">
        <v>21</v>
      </c>
      <c r="G192" t="s">
        <v>57</v>
      </c>
      <c r="H192" t="b">
        <v>1</v>
      </c>
      <c r="I192">
        <v>10</v>
      </c>
      <c r="J192">
        <v>13</v>
      </c>
      <c r="L192">
        <v>2.6</v>
      </c>
      <c r="M192">
        <v>1.496664E-3</v>
      </c>
      <c r="N192">
        <v>2.6</v>
      </c>
      <c r="O192">
        <v>1.496664E-3</v>
      </c>
    </row>
    <row r="193" spans="1:16" x14ac:dyDescent="0.35">
      <c r="A193" t="s">
        <v>252</v>
      </c>
      <c r="B193" t="s">
        <v>47</v>
      </c>
      <c r="C193" t="s">
        <v>78</v>
      </c>
      <c r="D193" t="s">
        <v>217</v>
      </c>
      <c r="E193" t="s">
        <v>20</v>
      </c>
      <c r="F193" t="s">
        <v>21</v>
      </c>
      <c r="G193" t="s">
        <v>29</v>
      </c>
      <c r="H193" t="b">
        <v>1</v>
      </c>
      <c r="I193">
        <v>10</v>
      </c>
      <c r="J193">
        <v>4</v>
      </c>
      <c r="L193">
        <v>0.4</v>
      </c>
      <c r="M193">
        <v>1.56E-5</v>
      </c>
      <c r="N193">
        <v>0.4</v>
      </c>
      <c r="O193">
        <v>1.56E-5</v>
      </c>
    </row>
    <row r="194" spans="1:16" x14ac:dyDescent="0.35">
      <c r="A194" t="s">
        <v>253</v>
      </c>
      <c r="B194" t="s">
        <v>47</v>
      </c>
      <c r="C194" t="s">
        <v>78</v>
      </c>
      <c r="D194" t="s">
        <v>217</v>
      </c>
      <c r="E194" t="s">
        <v>20</v>
      </c>
      <c r="F194" t="s">
        <v>21</v>
      </c>
      <c r="G194" t="s">
        <v>31</v>
      </c>
      <c r="H194" t="b">
        <v>1</v>
      </c>
      <c r="I194">
        <v>10</v>
      </c>
      <c r="J194">
        <v>35.5</v>
      </c>
      <c r="L194">
        <v>7.1</v>
      </c>
      <c r="M194">
        <v>1.9201949999999999E-2</v>
      </c>
      <c r="N194">
        <v>7.1</v>
      </c>
      <c r="O194">
        <v>1.9201949999999999E-2</v>
      </c>
    </row>
    <row r="195" spans="1:16" x14ac:dyDescent="0.35">
      <c r="A195" t="s">
        <v>254</v>
      </c>
      <c r="B195" t="s">
        <v>47</v>
      </c>
      <c r="C195" t="s">
        <v>78</v>
      </c>
      <c r="D195" t="s">
        <v>217</v>
      </c>
      <c r="E195" t="s">
        <v>20</v>
      </c>
      <c r="F195" t="s">
        <v>21</v>
      </c>
      <c r="G195" t="s">
        <v>175</v>
      </c>
      <c r="H195" t="b">
        <v>1</v>
      </c>
      <c r="I195">
        <v>10</v>
      </c>
      <c r="J195">
        <v>18.5</v>
      </c>
      <c r="L195">
        <v>3.7</v>
      </c>
      <c r="M195">
        <v>8.1769999999999998E-4</v>
      </c>
      <c r="N195">
        <v>3.7</v>
      </c>
      <c r="O195">
        <v>8.1769999999999998E-4</v>
      </c>
    </row>
    <row r="196" spans="1:16" ht="29" x14ac:dyDescent="0.35">
      <c r="A196" t="s">
        <v>255</v>
      </c>
      <c r="B196" t="s">
        <v>87</v>
      </c>
      <c r="C196" t="s">
        <v>88</v>
      </c>
      <c r="D196" t="s">
        <v>217</v>
      </c>
      <c r="E196" t="s">
        <v>20</v>
      </c>
      <c r="F196" t="s">
        <v>93</v>
      </c>
      <c r="G196" t="s">
        <v>25</v>
      </c>
      <c r="H196" t="b">
        <v>1</v>
      </c>
      <c r="I196">
        <v>10</v>
      </c>
      <c r="J196">
        <v>41.142857142857103</v>
      </c>
      <c r="L196">
        <v>1809.56</v>
      </c>
      <c r="M196">
        <v>0.34441355480000002</v>
      </c>
      <c r="N196">
        <v>1809.56</v>
      </c>
      <c r="O196">
        <v>0.34441355480000002</v>
      </c>
      <c r="P196" s="1" t="s">
        <v>23</v>
      </c>
    </row>
    <row r="197" spans="1:16" x14ac:dyDescent="0.35">
      <c r="A197" t="s">
        <v>256</v>
      </c>
      <c r="B197" t="s">
        <v>87</v>
      </c>
      <c r="C197" t="s">
        <v>88</v>
      </c>
      <c r="D197" t="s">
        <v>217</v>
      </c>
      <c r="E197" t="s">
        <v>20</v>
      </c>
      <c r="F197" t="s">
        <v>93</v>
      </c>
      <c r="G197" t="s">
        <v>29</v>
      </c>
      <c r="H197" t="b">
        <v>1</v>
      </c>
      <c r="I197">
        <v>10</v>
      </c>
      <c r="J197">
        <v>12</v>
      </c>
      <c r="L197">
        <v>37.699166666666699</v>
      </c>
      <c r="M197">
        <v>1.4702675000000001E-3</v>
      </c>
      <c r="N197">
        <v>37.699166666666699</v>
      </c>
      <c r="O197">
        <v>1.4702675000000001E-3</v>
      </c>
    </row>
    <row r="198" spans="1:16" ht="29" x14ac:dyDescent="0.35">
      <c r="A198" t="s">
        <v>257</v>
      </c>
      <c r="B198" t="s">
        <v>87</v>
      </c>
      <c r="C198" t="s">
        <v>92</v>
      </c>
      <c r="D198" t="s">
        <v>217</v>
      </c>
      <c r="E198" t="s">
        <v>20</v>
      </c>
      <c r="F198" t="s">
        <v>93</v>
      </c>
      <c r="G198" t="s">
        <v>25</v>
      </c>
      <c r="H198" t="b">
        <v>1</v>
      </c>
      <c r="I198">
        <v>10</v>
      </c>
      <c r="J198">
        <v>49.65</v>
      </c>
      <c r="K198">
        <v>92</v>
      </c>
      <c r="L198">
        <v>17469.7938333333</v>
      </c>
      <c r="M198">
        <v>3.32502586029833</v>
      </c>
      <c r="N198">
        <v>17469.7938333333</v>
      </c>
      <c r="O198">
        <v>3.32502586029833</v>
      </c>
      <c r="P198" s="1" t="s">
        <v>23</v>
      </c>
    </row>
    <row r="199" spans="1:16" ht="29" x14ac:dyDescent="0.35">
      <c r="A199" t="s">
        <v>258</v>
      </c>
      <c r="B199" t="s">
        <v>87</v>
      </c>
      <c r="C199" t="s">
        <v>92</v>
      </c>
      <c r="D199" t="s">
        <v>217</v>
      </c>
      <c r="E199" t="s">
        <v>20</v>
      </c>
      <c r="F199" t="s">
        <v>93</v>
      </c>
      <c r="G199" t="s">
        <v>22</v>
      </c>
      <c r="H199" t="b">
        <v>1</v>
      </c>
      <c r="I199">
        <v>10</v>
      </c>
      <c r="J199">
        <v>22.75</v>
      </c>
      <c r="L199">
        <v>285.88534722222198</v>
      </c>
      <c r="M199">
        <v>2.05261595204662E-2</v>
      </c>
      <c r="N199">
        <v>285.88534722222198</v>
      </c>
      <c r="O199">
        <v>2.05261595204662E-2</v>
      </c>
      <c r="P199" s="1" t="s">
        <v>23</v>
      </c>
    </row>
    <row r="200" spans="1:16" x14ac:dyDescent="0.35">
      <c r="A200" t="s">
        <v>259</v>
      </c>
      <c r="B200" t="s">
        <v>87</v>
      </c>
      <c r="C200" t="s">
        <v>92</v>
      </c>
      <c r="D200" t="s">
        <v>217</v>
      </c>
      <c r="E200" t="s">
        <v>20</v>
      </c>
      <c r="F200" t="s">
        <v>93</v>
      </c>
      <c r="G200" t="s">
        <v>29</v>
      </c>
      <c r="H200" t="b">
        <v>1</v>
      </c>
      <c r="I200">
        <v>10</v>
      </c>
      <c r="J200">
        <v>3.5</v>
      </c>
      <c r="L200">
        <v>65.973541666666705</v>
      </c>
      <c r="M200">
        <v>2.5729681250000001E-3</v>
      </c>
      <c r="N200">
        <v>65.973541666666705</v>
      </c>
      <c r="O200">
        <v>2.5729681250000001E-3</v>
      </c>
    </row>
    <row r="201" spans="1:16" ht="29" x14ac:dyDescent="0.35">
      <c r="A201" t="s">
        <v>260</v>
      </c>
      <c r="B201" t="s">
        <v>87</v>
      </c>
      <c r="C201" t="s">
        <v>98</v>
      </c>
      <c r="D201" t="s">
        <v>217</v>
      </c>
      <c r="E201" t="s">
        <v>20</v>
      </c>
      <c r="F201" t="s">
        <v>93</v>
      </c>
      <c r="G201" t="s">
        <v>25</v>
      </c>
      <c r="H201" t="b">
        <v>1</v>
      </c>
      <c r="I201">
        <v>10</v>
      </c>
      <c r="J201">
        <v>41.421052631578902</v>
      </c>
      <c r="L201">
        <v>2472.4370138888899</v>
      </c>
      <c r="M201">
        <v>0.47057893685347202</v>
      </c>
      <c r="N201">
        <v>2472.4370138888899</v>
      </c>
      <c r="O201">
        <v>0.47057893685347202</v>
      </c>
      <c r="P201" s="1" t="s">
        <v>23</v>
      </c>
    </row>
    <row r="202" spans="1:16" x14ac:dyDescent="0.35">
      <c r="A202" t="s">
        <v>261</v>
      </c>
      <c r="B202" t="s">
        <v>87</v>
      </c>
      <c r="C202" t="s">
        <v>98</v>
      </c>
      <c r="D202" t="s">
        <v>217</v>
      </c>
      <c r="E202" t="s">
        <v>20</v>
      </c>
      <c r="F202" t="s">
        <v>93</v>
      </c>
      <c r="G202" t="s">
        <v>29</v>
      </c>
      <c r="H202" t="b">
        <v>1</v>
      </c>
      <c r="I202">
        <v>10</v>
      </c>
      <c r="J202">
        <v>7.25</v>
      </c>
      <c r="L202">
        <v>91.106319444444395</v>
      </c>
      <c r="M202">
        <v>3.5531464583333301E-3</v>
      </c>
      <c r="N202">
        <v>91.106319444444395</v>
      </c>
      <c r="O202">
        <v>3.5531464583333301E-3</v>
      </c>
    </row>
    <row r="203" spans="1:16" ht="29" x14ac:dyDescent="0.35">
      <c r="A203" t="s">
        <v>262</v>
      </c>
      <c r="B203" t="s">
        <v>87</v>
      </c>
      <c r="C203" t="s">
        <v>103</v>
      </c>
      <c r="D203" t="s">
        <v>217</v>
      </c>
      <c r="E203" t="s">
        <v>20</v>
      </c>
      <c r="F203" t="s">
        <v>93</v>
      </c>
      <c r="G203" t="s">
        <v>25</v>
      </c>
      <c r="H203" t="b">
        <v>1</v>
      </c>
      <c r="I203">
        <v>10</v>
      </c>
      <c r="J203">
        <v>46.2</v>
      </c>
      <c r="K203">
        <v>67</v>
      </c>
      <c r="L203">
        <v>12627.335875000001</v>
      </c>
      <c r="M203">
        <v>2.40336083708875</v>
      </c>
      <c r="N203">
        <v>12627.335875000001</v>
      </c>
      <c r="O203">
        <v>2.40336083708875</v>
      </c>
      <c r="P203" s="1" t="s">
        <v>23</v>
      </c>
    </row>
    <row r="204" spans="1:16" ht="29" x14ac:dyDescent="0.35">
      <c r="A204" t="s">
        <v>263</v>
      </c>
      <c r="B204" t="s">
        <v>87</v>
      </c>
      <c r="C204" t="s">
        <v>103</v>
      </c>
      <c r="D204" t="s">
        <v>217</v>
      </c>
      <c r="E204" t="s">
        <v>20</v>
      </c>
      <c r="F204" t="s">
        <v>93</v>
      </c>
      <c r="G204" t="s">
        <v>22</v>
      </c>
      <c r="H204" t="b">
        <v>1</v>
      </c>
      <c r="I204">
        <v>10</v>
      </c>
      <c r="J204">
        <v>21.5</v>
      </c>
      <c r="L204">
        <v>270.177361111111</v>
      </c>
      <c r="M204">
        <v>1.9398348557803199E-2</v>
      </c>
      <c r="N204">
        <v>270.177361111111</v>
      </c>
      <c r="O204">
        <v>1.9398348557803199E-2</v>
      </c>
      <c r="P204" s="1" t="s">
        <v>23</v>
      </c>
    </row>
    <row r="205" spans="1:16" x14ac:dyDescent="0.35">
      <c r="A205" t="s">
        <v>264</v>
      </c>
      <c r="B205" t="s">
        <v>107</v>
      </c>
      <c r="C205" t="s">
        <v>108</v>
      </c>
      <c r="D205" t="s">
        <v>217</v>
      </c>
      <c r="E205" t="s">
        <v>20</v>
      </c>
      <c r="F205" t="s">
        <v>21</v>
      </c>
      <c r="G205" t="s">
        <v>57</v>
      </c>
      <c r="H205" t="b">
        <v>1</v>
      </c>
      <c r="I205">
        <v>10</v>
      </c>
      <c r="J205">
        <v>14.6</v>
      </c>
      <c r="K205">
        <v>37</v>
      </c>
      <c r="L205">
        <v>83.22</v>
      </c>
      <c r="M205">
        <v>4.7904760800000001E-2</v>
      </c>
      <c r="N205">
        <v>83.22</v>
      </c>
      <c r="O205">
        <v>4.7904760800000001E-2</v>
      </c>
    </row>
    <row r="206" spans="1:16" x14ac:dyDescent="0.35">
      <c r="A206" t="s">
        <v>265</v>
      </c>
      <c r="B206" t="s">
        <v>107</v>
      </c>
      <c r="C206" t="s">
        <v>108</v>
      </c>
      <c r="D206" t="s">
        <v>217</v>
      </c>
      <c r="E206" t="s">
        <v>20</v>
      </c>
      <c r="F206" t="s">
        <v>21</v>
      </c>
      <c r="G206" t="s">
        <v>31</v>
      </c>
      <c r="H206" t="b">
        <v>1</v>
      </c>
      <c r="I206">
        <v>10</v>
      </c>
      <c r="J206">
        <v>80</v>
      </c>
      <c r="L206">
        <v>8</v>
      </c>
      <c r="M206">
        <v>2.1635999999999999E-2</v>
      </c>
      <c r="N206">
        <v>8</v>
      </c>
      <c r="O206">
        <v>2.1635999999999999E-2</v>
      </c>
    </row>
    <row r="207" spans="1:16" x14ac:dyDescent="0.35">
      <c r="A207" t="s">
        <v>266</v>
      </c>
      <c r="B207" t="s">
        <v>107</v>
      </c>
      <c r="C207" t="s">
        <v>108</v>
      </c>
      <c r="D207" t="s">
        <v>217</v>
      </c>
      <c r="E207" t="s">
        <v>20</v>
      </c>
      <c r="F207" t="s">
        <v>21</v>
      </c>
      <c r="G207" t="s">
        <v>72</v>
      </c>
      <c r="H207" t="b">
        <v>1</v>
      </c>
      <c r="I207">
        <v>10</v>
      </c>
      <c r="J207">
        <v>405</v>
      </c>
      <c r="L207">
        <v>81</v>
      </c>
      <c r="M207">
        <v>0</v>
      </c>
      <c r="N207">
        <v>81</v>
      </c>
      <c r="O207">
        <v>0</v>
      </c>
    </row>
    <row r="208" spans="1:16" x14ac:dyDescent="0.35">
      <c r="A208" t="s">
        <v>267</v>
      </c>
      <c r="B208" t="s">
        <v>107</v>
      </c>
      <c r="C208" t="s">
        <v>108</v>
      </c>
      <c r="D208" t="s">
        <v>217</v>
      </c>
      <c r="E208" t="s">
        <v>20</v>
      </c>
      <c r="F208" t="s">
        <v>21</v>
      </c>
      <c r="G208" t="s">
        <v>39</v>
      </c>
      <c r="H208" t="b">
        <v>1</v>
      </c>
      <c r="I208">
        <v>10</v>
      </c>
      <c r="J208">
        <v>19.5</v>
      </c>
      <c r="L208">
        <v>7.8</v>
      </c>
      <c r="M208">
        <v>1.482E-3</v>
      </c>
      <c r="N208">
        <v>7.8</v>
      </c>
      <c r="O208">
        <v>1.482E-3</v>
      </c>
    </row>
    <row r="209" spans="1:16" x14ac:dyDescent="0.35">
      <c r="A209" t="s">
        <v>268</v>
      </c>
      <c r="B209" t="s">
        <v>107</v>
      </c>
      <c r="C209" t="s">
        <v>108</v>
      </c>
      <c r="D209" t="s">
        <v>217</v>
      </c>
      <c r="E209" t="s">
        <v>20</v>
      </c>
      <c r="F209" t="s">
        <v>21</v>
      </c>
      <c r="G209" t="s">
        <v>27</v>
      </c>
      <c r="H209" t="b">
        <v>1</v>
      </c>
      <c r="I209">
        <v>10</v>
      </c>
      <c r="J209">
        <v>18.6666666666667</v>
      </c>
      <c r="L209">
        <v>11.2</v>
      </c>
      <c r="M209">
        <v>1.232E-3</v>
      </c>
      <c r="N209">
        <v>11.2</v>
      </c>
      <c r="O209">
        <v>1.232E-3</v>
      </c>
    </row>
    <row r="210" spans="1:16" ht="29" x14ac:dyDescent="0.35">
      <c r="A210" t="s">
        <v>269</v>
      </c>
      <c r="B210" t="s">
        <v>107</v>
      </c>
      <c r="C210" t="s">
        <v>108</v>
      </c>
      <c r="D210" t="s">
        <v>217</v>
      </c>
      <c r="E210" t="s">
        <v>20</v>
      </c>
      <c r="F210" t="s">
        <v>21</v>
      </c>
      <c r="G210" t="s">
        <v>22</v>
      </c>
      <c r="H210" t="b">
        <v>1</v>
      </c>
      <c r="I210">
        <v>10</v>
      </c>
      <c r="J210">
        <v>28</v>
      </c>
      <c r="L210">
        <v>2.8</v>
      </c>
      <c r="M210">
        <v>2.01035999976E-4</v>
      </c>
      <c r="N210">
        <v>2.8</v>
      </c>
      <c r="O210">
        <v>2.01035999976E-4</v>
      </c>
      <c r="P210" s="1" t="s">
        <v>23</v>
      </c>
    </row>
    <row r="211" spans="1:16" x14ac:dyDescent="0.35">
      <c r="A211" t="s">
        <v>270</v>
      </c>
      <c r="B211" t="s">
        <v>107</v>
      </c>
      <c r="C211" t="s">
        <v>108</v>
      </c>
      <c r="D211" t="s">
        <v>217</v>
      </c>
      <c r="E211" t="s">
        <v>20</v>
      </c>
      <c r="F211" t="s">
        <v>21</v>
      </c>
      <c r="G211" t="s">
        <v>33</v>
      </c>
      <c r="H211" t="b">
        <v>1</v>
      </c>
      <c r="I211">
        <v>10</v>
      </c>
      <c r="J211">
        <v>15.6</v>
      </c>
      <c r="L211">
        <v>7.8</v>
      </c>
      <c r="M211">
        <v>2.8860000000000001E-3</v>
      </c>
      <c r="N211">
        <v>7.8</v>
      </c>
      <c r="O211">
        <v>2.8860000000000001E-3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42.15</v>
      </c>
      <c r="K2">
        <v>105</v>
      </c>
      <c r="L2">
        <v>526.875</v>
      </c>
      <c r="M2">
        <v>3.7828872316912503E-2</v>
      </c>
      <c r="N2">
        <v>526.875</v>
      </c>
      <c r="O2">
        <v>3.7828872316912503E-2</v>
      </c>
      <c r="P2" s="1" t="s">
        <v>23</v>
      </c>
    </row>
    <row r="3" spans="1:16" ht="29" x14ac:dyDescent="0.35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b">
        <v>1</v>
      </c>
      <c r="I3">
        <v>10</v>
      </c>
      <c r="J3">
        <v>44.6666666666667</v>
      </c>
      <c r="L3">
        <v>13.4</v>
      </c>
      <c r="M3">
        <v>2.5504220000000001E-3</v>
      </c>
      <c r="N3">
        <v>13.4</v>
      </c>
      <c r="O3">
        <v>2.5504220000000001E-3</v>
      </c>
      <c r="P3" s="1" t="s">
        <v>23</v>
      </c>
    </row>
    <row r="4" spans="1:16" ht="29" x14ac:dyDescent="0.35">
      <c r="A4" t="s">
        <v>34</v>
      </c>
      <c r="B4" t="s">
        <v>17</v>
      </c>
      <c r="C4" t="s">
        <v>35</v>
      </c>
      <c r="D4" t="s">
        <v>19</v>
      </c>
      <c r="E4" t="s">
        <v>20</v>
      </c>
      <c r="F4" t="s">
        <v>21</v>
      </c>
      <c r="G4" t="s">
        <v>22</v>
      </c>
      <c r="H4" t="b">
        <v>1</v>
      </c>
      <c r="I4">
        <v>10</v>
      </c>
      <c r="J4">
        <v>18.5</v>
      </c>
      <c r="K4">
        <v>53</v>
      </c>
      <c r="L4">
        <v>135.05000000000001</v>
      </c>
      <c r="M4">
        <v>9.6963970702709998E-3</v>
      </c>
      <c r="N4">
        <v>135.05000000000001</v>
      </c>
      <c r="O4">
        <v>9.6963970702709998E-3</v>
      </c>
      <c r="P4" s="1" t="s">
        <v>23</v>
      </c>
    </row>
    <row r="5" spans="1:16" ht="29" x14ac:dyDescent="0.35">
      <c r="A5" t="s">
        <v>41</v>
      </c>
      <c r="B5" t="s">
        <v>17</v>
      </c>
      <c r="C5" t="s">
        <v>35</v>
      </c>
      <c r="D5" t="s">
        <v>19</v>
      </c>
      <c r="E5" t="s">
        <v>20</v>
      </c>
      <c r="F5" t="s">
        <v>21</v>
      </c>
      <c r="G5" t="s">
        <v>25</v>
      </c>
      <c r="H5" t="b">
        <v>1</v>
      </c>
      <c r="I5">
        <v>10</v>
      </c>
      <c r="J5">
        <v>52</v>
      </c>
      <c r="L5">
        <v>10.4</v>
      </c>
      <c r="M5">
        <v>1.9794320000000002E-3</v>
      </c>
      <c r="N5">
        <v>10.4</v>
      </c>
      <c r="O5">
        <v>1.9794320000000002E-3</v>
      </c>
      <c r="P5" s="1" t="s">
        <v>23</v>
      </c>
    </row>
    <row r="6" spans="1:16" ht="29" x14ac:dyDescent="0.35">
      <c r="A6" t="s">
        <v>46</v>
      </c>
      <c r="B6" t="s">
        <v>47</v>
      </c>
      <c r="C6" t="s">
        <v>48</v>
      </c>
      <c r="D6" t="s">
        <v>19</v>
      </c>
      <c r="E6" t="s">
        <v>20</v>
      </c>
      <c r="F6" t="s">
        <v>21</v>
      </c>
      <c r="G6" t="s">
        <v>25</v>
      </c>
      <c r="H6" t="b">
        <v>1</v>
      </c>
      <c r="I6">
        <v>10</v>
      </c>
      <c r="J6">
        <v>10</v>
      </c>
      <c r="L6">
        <v>1</v>
      </c>
      <c r="M6">
        <v>1.9033E-4</v>
      </c>
      <c r="N6">
        <v>1</v>
      </c>
      <c r="O6">
        <v>1.9033E-4</v>
      </c>
      <c r="P6" s="1" t="s">
        <v>23</v>
      </c>
    </row>
    <row r="7" spans="1:16" ht="29" x14ac:dyDescent="0.35">
      <c r="A7" t="s">
        <v>60</v>
      </c>
      <c r="B7" t="s">
        <v>47</v>
      </c>
      <c r="C7" t="s">
        <v>55</v>
      </c>
      <c r="D7" t="s">
        <v>19</v>
      </c>
      <c r="E7" t="s">
        <v>20</v>
      </c>
      <c r="F7" t="s">
        <v>21</v>
      </c>
      <c r="G7" t="s">
        <v>25</v>
      </c>
      <c r="H7" t="b">
        <v>1</v>
      </c>
      <c r="I7">
        <v>10</v>
      </c>
      <c r="J7">
        <v>46</v>
      </c>
      <c r="L7">
        <v>4.5999999999999996</v>
      </c>
      <c r="M7">
        <v>8.7551800000000004E-4</v>
      </c>
      <c r="N7">
        <v>4.5999999999999996</v>
      </c>
      <c r="O7">
        <v>8.7551800000000004E-4</v>
      </c>
      <c r="P7" s="1" t="s">
        <v>23</v>
      </c>
    </row>
    <row r="8" spans="1:16" ht="29" x14ac:dyDescent="0.35">
      <c r="A8" t="s">
        <v>61</v>
      </c>
      <c r="B8" t="s">
        <v>47</v>
      </c>
      <c r="C8" t="s">
        <v>62</v>
      </c>
      <c r="D8" t="s">
        <v>19</v>
      </c>
      <c r="E8" t="s">
        <v>20</v>
      </c>
      <c r="F8" t="s">
        <v>21</v>
      </c>
      <c r="G8" t="s">
        <v>22</v>
      </c>
      <c r="H8" t="b">
        <v>1</v>
      </c>
      <c r="I8">
        <v>10</v>
      </c>
      <c r="J8">
        <v>11.25</v>
      </c>
      <c r="L8">
        <v>4.5</v>
      </c>
      <c r="M8">
        <v>3.2309357138999998E-4</v>
      </c>
      <c r="N8">
        <v>4.5</v>
      </c>
      <c r="O8">
        <v>3.2309357138999998E-4</v>
      </c>
      <c r="P8" s="1" t="s">
        <v>23</v>
      </c>
    </row>
    <row r="9" spans="1:16" ht="29" x14ac:dyDescent="0.35">
      <c r="A9" t="s">
        <v>65</v>
      </c>
      <c r="B9" t="s">
        <v>47</v>
      </c>
      <c r="C9" t="s">
        <v>62</v>
      </c>
      <c r="D9" t="s">
        <v>19</v>
      </c>
      <c r="E9" t="s">
        <v>20</v>
      </c>
      <c r="F9" t="s">
        <v>21</v>
      </c>
      <c r="G9" t="s">
        <v>25</v>
      </c>
      <c r="H9" t="b">
        <v>1</v>
      </c>
      <c r="I9">
        <v>10</v>
      </c>
      <c r="J9">
        <v>30</v>
      </c>
      <c r="L9">
        <v>27</v>
      </c>
      <c r="M9">
        <v>5.13891E-3</v>
      </c>
      <c r="N9">
        <v>27</v>
      </c>
      <c r="O9">
        <v>5.13891E-3</v>
      </c>
      <c r="P9" s="1" t="s">
        <v>23</v>
      </c>
    </row>
    <row r="10" spans="1:16" ht="29" x14ac:dyDescent="0.35">
      <c r="A10" t="s">
        <v>70</v>
      </c>
      <c r="B10" t="s">
        <v>47</v>
      </c>
      <c r="C10" t="s">
        <v>68</v>
      </c>
      <c r="D10" t="s">
        <v>19</v>
      </c>
      <c r="E10" t="s">
        <v>20</v>
      </c>
      <c r="F10" t="s">
        <v>21</v>
      </c>
      <c r="G10" t="s">
        <v>25</v>
      </c>
      <c r="H10" t="b">
        <v>1</v>
      </c>
      <c r="I10">
        <v>10</v>
      </c>
      <c r="J10">
        <v>52</v>
      </c>
      <c r="L10">
        <v>10.4</v>
      </c>
      <c r="M10">
        <v>1.9794320000000002E-3</v>
      </c>
      <c r="N10">
        <v>10.4</v>
      </c>
      <c r="O10">
        <v>1.9794320000000002E-3</v>
      </c>
      <c r="P10" s="1" t="s">
        <v>23</v>
      </c>
    </row>
    <row r="11" spans="1:16" ht="29" x14ac:dyDescent="0.35">
      <c r="A11" t="s">
        <v>83</v>
      </c>
      <c r="B11" t="s">
        <v>47</v>
      </c>
      <c r="C11" t="s">
        <v>78</v>
      </c>
      <c r="D11" t="s">
        <v>19</v>
      </c>
      <c r="E11" t="s">
        <v>20</v>
      </c>
      <c r="F11" t="s">
        <v>21</v>
      </c>
      <c r="G11" t="s">
        <v>25</v>
      </c>
      <c r="H11" t="b">
        <v>1</v>
      </c>
      <c r="I11">
        <v>10</v>
      </c>
      <c r="J11">
        <v>55.3333333333333</v>
      </c>
      <c r="L11">
        <v>16.600000000000001</v>
      </c>
      <c r="M11">
        <v>3.1594779999999999E-3</v>
      </c>
      <c r="N11">
        <v>16.600000000000001</v>
      </c>
      <c r="O11">
        <v>3.1594779999999999E-3</v>
      </c>
      <c r="P11" s="1" t="s">
        <v>23</v>
      </c>
    </row>
    <row r="12" spans="1:16" ht="29" x14ac:dyDescent="0.35">
      <c r="A12" t="s">
        <v>90</v>
      </c>
      <c r="B12" t="s">
        <v>87</v>
      </c>
      <c r="C12" t="s">
        <v>88</v>
      </c>
      <c r="D12" t="s">
        <v>19</v>
      </c>
      <c r="E12" t="s">
        <v>20</v>
      </c>
      <c r="F12" t="s">
        <v>21</v>
      </c>
      <c r="G12" t="s">
        <v>25</v>
      </c>
      <c r="H12" t="b">
        <v>1</v>
      </c>
      <c r="I12">
        <v>10</v>
      </c>
      <c r="J12">
        <v>22.3333333333333</v>
      </c>
      <c r="L12">
        <v>20.100000000000001</v>
      </c>
      <c r="M12">
        <v>3.8256330000000002E-3</v>
      </c>
      <c r="N12">
        <v>20.100000000000001</v>
      </c>
      <c r="O12">
        <v>3.8256330000000002E-3</v>
      </c>
      <c r="P12" s="1" t="s">
        <v>23</v>
      </c>
    </row>
    <row r="13" spans="1:16" ht="29" x14ac:dyDescent="0.35">
      <c r="A13" t="s">
        <v>91</v>
      </c>
      <c r="B13" t="s">
        <v>87</v>
      </c>
      <c r="C13" t="s">
        <v>92</v>
      </c>
      <c r="D13" t="s">
        <v>19</v>
      </c>
      <c r="E13" t="s">
        <v>20</v>
      </c>
      <c r="F13" t="s">
        <v>93</v>
      </c>
      <c r="G13" t="s">
        <v>25</v>
      </c>
      <c r="H13" t="b">
        <v>1</v>
      </c>
      <c r="I13">
        <v>10</v>
      </c>
      <c r="J13">
        <v>29.1666666666667</v>
      </c>
      <c r="L13">
        <v>549.77951388888903</v>
      </c>
      <c r="M13">
        <v>0.104639534878472</v>
      </c>
      <c r="N13">
        <v>549.77951388888903</v>
      </c>
      <c r="O13">
        <v>0.104639534878472</v>
      </c>
      <c r="P13" s="1" t="s">
        <v>23</v>
      </c>
    </row>
    <row r="14" spans="1:16" ht="29" x14ac:dyDescent="0.35">
      <c r="A14" t="s">
        <v>96</v>
      </c>
      <c r="B14" t="s">
        <v>87</v>
      </c>
      <c r="C14" t="s">
        <v>92</v>
      </c>
      <c r="D14" t="s">
        <v>19</v>
      </c>
      <c r="E14" t="s">
        <v>20</v>
      </c>
      <c r="F14" t="s">
        <v>93</v>
      </c>
      <c r="G14" t="s">
        <v>22</v>
      </c>
      <c r="H14" t="b">
        <v>1</v>
      </c>
      <c r="I14">
        <v>10</v>
      </c>
      <c r="J14">
        <v>22</v>
      </c>
      <c r="L14">
        <v>69.115138888888893</v>
      </c>
      <c r="M14">
        <v>4.9623682357171099E-3</v>
      </c>
      <c r="N14">
        <v>69.115138888888893</v>
      </c>
      <c r="O14">
        <v>4.9623682357171099E-3</v>
      </c>
      <c r="P14" s="1" t="s">
        <v>23</v>
      </c>
    </row>
    <row r="15" spans="1:16" ht="29" x14ac:dyDescent="0.35">
      <c r="A15" t="s">
        <v>97</v>
      </c>
      <c r="B15" t="s">
        <v>87</v>
      </c>
      <c r="C15" t="s">
        <v>98</v>
      </c>
      <c r="D15" t="s">
        <v>19</v>
      </c>
      <c r="E15" t="s">
        <v>20</v>
      </c>
      <c r="F15" t="s">
        <v>21</v>
      </c>
      <c r="G15" t="s">
        <v>25</v>
      </c>
      <c r="H15" t="b">
        <v>1</v>
      </c>
      <c r="I15">
        <v>10</v>
      </c>
      <c r="J15">
        <v>18.8</v>
      </c>
      <c r="L15">
        <v>9.4</v>
      </c>
      <c r="M15">
        <v>1.7891020000000001E-3</v>
      </c>
      <c r="N15">
        <v>9.4</v>
      </c>
      <c r="O15">
        <v>1.7891020000000001E-3</v>
      </c>
      <c r="P15" s="1" t="s">
        <v>23</v>
      </c>
    </row>
    <row r="16" spans="1:16" ht="29" x14ac:dyDescent="0.35">
      <c r="A16" t="s">
        <v>102</v>
      </c>
      <c r="B16" t="s">
        <v>87</v>
      </c>
      <c r="C16" t="s">
        <v>103</v>
      </c>
      <c r="D16" t="s">
        <v>19</v>
      </c>
      <c r="E16" t="s">
        <v>20</v>
      </c>
      <c r="F16" t="s">
        <v>93</v>
      </c>
      <c r="G16" t="s">
        <v>25</v>
      </c>
      <c r="H16" t="b">
        <v>1</v>
      </c>
      <c r="I16">
        <v>10</v>
      </c>
      <c r="J16">
        <v>22.714285714285701</v>
      </c>
      <c r="L16">
        <v>499.51395833333299</v>
      </c>
      <c r="M16">
        <v>9.5072491689583302E-2</v>
      </c>
      <c r="N16">
        <v>499.51395833333299</v>
      </c>
      <c r="O16">
        <v>9.5072491689583302E-2</v>
      </c>
      <c r="P16" s="1" t="s">
        <v>23</v>
      </c>
    </row>
    <row r="17" spans="1:16" ht="29" x14ac:dyDescent="0.35">
      <c r="A17" t="s">
        <v>116</v>
      </c>
      <c r="B17" t="s">
        <v>17</v>
      </c>
      <c r="C17" t="s">
        <v>18</v>
      </c>
      <c r="D17" t="s">
        <v>117</v>
      </c>
      <c r="E17" t="s">
        <v>20</v>
      </c>
      <c r="F17" t="s">
        <v>93</v>
      </c>
      <c r="G17" t="s">
        <v>22</v>
      </c>
      <c r="H17" t="b">
        <v>1</v>
      </c>
      <c r="I17">
        <v>10</v>
      </c>
      <c r="J17">
        <v>16.2</v>
      </c>
      <c r="K17">
        <v>50</v>
      </c>
      <c r="L17">
        <v>3562.57125</v>
      </c>
      <c r="M17">
        <v>0.255787526331964</v>
      </c>
      <c r="N17">
        <v>3562.57125</v>
      </c>
      <c r="O17">
        <v>0.255787526331964</v>
      </c>
      <c r="P17" s="1" t="s">
        <v>23</v>
      </c>
    </row>
    <row r="18" spans="1:16" ht="29" x14ac:dyDescent="0.35">
      <c r="A18" t="s">
        <v>118</v>
      </c>
      <c r="B18" t="s">
        <v>17</v>
      </c>
      <c r="C18" t="s">
        <v>18</v>
      </c>
      <c r="D18" t="s">
        <v>117</v>
      </c>
      <c r="E18" t="s">
        <v>20</v>
      </c>
      <c r="F18" t="s">
        <v>93</v>
      </c>
      <c r="G18" t="s">
        <v>25</v>
      </c>
      <c r="H18" t="b">
        <v>1</v>
      </c>
      <c r="I18">
        <v>10</v>
      </c>
      <c r="J18">
        <v>180</v>
      </c>
      <c r="L18">
        <v>565.48749999999995</v>
      </c>
      <c r="M18">
        <v>0.10762923587500001</v>
      </c>
      <c r="N18">
        <v>565.48749999999995</v>
      </c>
      <c r="O18">
        <v>0.10762923587500001</v>
      </c>
      <c r="P18" s="1" t="s">
        <v>23</v>
      </c>
    </row>
    <row r="19" spans="1:16" ht="29" x14ac:dyDescent="0.35">
      <c r="A19" t="s">
        <v>122</v>
      </c>
      <c r="B19" t="s">
        <v>17</v>
      </c>
      <c r="C19" t="s">
        <v>35</v>
      </c>
      <c r="D19" t="s">
        <v>117</v>
      </c>
      <c r="E19" t="s">
        <v>20</v>
      </c>
      <c r="F19" t="s">
        <v>21</v>
      </c>
      <c r="G19" t="s">
        <v>22</v>
      </c>
      <c r="H19" t="b">
        <v>1</v>
      </c>
      <c r="I19">
        <v>10</v>
      </c>
      <c r="J19">
        <v>24.55</v>
      </c>
      <c r="K19">
        <v>13</v>
      </c>
      <c r="L19">
        <v>81.015000000000001</v>
      </c>
      <c r="M19">
        <v>5.8167612635913E-3</v>
      </c>
      <c r="N19">
        <v>81.015000000000001</v>
      </c>
      <c r="O19">
        <v>5.8167612635913E-3</v>
      </c>
      <c r="P19" s="1" t="s">
        <v>23</v>
      </c>
    </row>
    <row r="20" spans="1:16" ht="29" x14ac:dyDescent="0.35">
      <c r="A20" t="s">
        <v>123</v>
      </c>
      <c r="B20" t="s">
        <v>17</v>
      </c>
      <c r="C20" t="s">
        <v>35</v>
      </c>
      <c r="D20" t="s">
        <v>117</v>
      </c>
      <c r="E20" t="s">
        <v>20</v>
      </c>
      <c r="F20" t="s">
        <v>21</v>
      </c>
      <c r="G20" t="s">
        <v>25</v>
      </c>
      <c r="H20" t="b">
        <v>1</v>
      </c>
      <c r="I20">
        <v>10</v>
      </c>
      <c r="J20">
        <v>101.5</v>
      </c>
      <c r="L20">
        <v>40.6</v>
      </c>
      <c r="M20">
        <v>7.7273979999999999E-3</v>
      </c>
      <c r="N20">
        <v>40.6</v>
      </c>
      <c r="O20">
        <v>7.7273979999999999E-3</v>
      </c>
      <c r="P20" s="1" t="s">
        <v>23</v>
      </c>
    </row>
    <row r="21" spans="1:16" ht="29" x14ac:dyDescent="0.35">
      <c r="A21" t="s">
        <v>129</v>
      </c>
      <c r="B21" t="s">
        <v>47</v>
      </c>
      <c r="C21" t="s">
        <v>48</v>
      </c>
      <c r="D21" t="s">
        <v>117</v>
      </c>
      <c r="E21" t="s">
        <v>20</v>
      </c>
      <c r="F21" t="s">
        <v>21</v>
      </c>
      <c r="G21" t="s">
        <v>25</v>
      </c>
      <c r="H21" t="b">
        <v>1</v>
      </c>
      <c r="I21">
        <v>10</v>
      </c>
      <c r="J21">
        <v>32.5555555555556</v>
      </c>
      <c r="L21">
        <v>29.3</v>
      </c>
      <c r="M21">
        <v>5.5766690000000002E-3</v>
      </c>
      <c r="N21">
        <v>29.3</v>
      </c>
      <c r="O21">
        <v>5.5766690000000002E-3</v>
      </c>
      <c r="P21" s="1" t="s">
        <v>23</v>
      </c>
    </row>
    <row r="22" spans="1:16" ht="29" x14ac:dyDescent="0.35">
      <c r="A22" t="s">
        <v>133</v>
      </c>
      <c r="B22" t="s">
        <v>47</v>
      </c>
      <c r="C22" t="s">
        <v>55</v>
      </c>
      <c r="D22" t="s">
        <v>117</v>
      </c>
      <c r="E22" t="s">
        <v>20</v>
      </c>
      <c r="F22" t="s">
        <v>21</v>
      </c>
      <c r="G22" t="s">
        <v>25</v>
      </c>
      <c r="H22" t="b">
        <v>1</v>
      </c>
      <c r="I22">
        <v>10</v>
      </c>
      <c r="J22">
        <v>45.857142857142897</v>
      </c>
      <c r="L22">
        <v>32.1</v>
      </c>
      <c r="M22">
        <v>6.109593E-3</v>
      </c>
      <c r="N22">
        <v>32.1</v>
      </c>
      <c r="O22">
        <v>6.109593E-3</v>
      </c>
      <c r="P22" s="1" t="s">
        <v>23</v>
      </c>
    </row>
    <row r="23" spans="1:16" ht="29" x14ac:dyDescent="0.35">
      <c r="A23" t="s">
        <v>135</v>
      </c>
      <c r="B23" t="s">
        <v>47</v>
      </c>
      <c r="C23" t="s">
        <v>55</v>
      </c>
      <c r="D23" t="s">
        <v>117</v>
      </c>
      <c r="E23" t="s">
        <v>20</v>
      </c>
      <c r="F23" t="s">
        <v>21</v>
      </c>
      <c r="G23" t="s">
        <v>22</v>
      </c>
      <c r="H23" t="b">
        <v>1</v>
      </c>
      <c r="I23">
        <v>10</v>
      </c>
      <c r="J23">
        <v>18</v>
      </c>
      <c r="L23">
        <v>1.8</v>
      </c>
      <c r="M23">
        <v>1.29237428556E-4</v>
      </c>
      <c r="N23">
        <v>1.8</v>
      </c>
      <c r="O23">
        <v>1.29237428556E-4</v>
      </c>
      <c r="P23" s="1" t="s">
        <v>23</v>
      </c>
    </row>
    <row r="24" spans="1:16" ht="29" x14ac:dyDescent="0.35">
      <c r="A24" t="s">
        <v>137</v>
      </c>
      <c r="B24" t="s">
        <v>47</v>
      </c>
      <c r="C24" t="s">
        <v>62</v>
      </c>
      <c r="D24" t="s">
        <v>117</v>
      </c>
      <c r="E24" t="s">
        <v>20</v>
      </c>
      <c r="F24" t="s">
        <v>21</v>
      </c>
      <c r="G24" t="s">
        <v>25</v>
      </c>
      <c r="H24" t="b">
        <v>1</v>
      </c>
      <c r="I24">
        <v>10</v>
      </c>
      <c r="J24">
        <v>32.818181818181799</v>
      </c>
      <c r="L24">
        <v>36.1</v>
      </c>
      <c r="M24">
        <v>6.8709130000000002E-3</v>
      </c>
      <c r="N24">
        <v>36.1</v>
      </c>
      <c r="O24">
        <v>6.8709130000000002E-3</v>
      </c>
      <c r="P24" s="1" t="s">
        <v>23</v>
      </c>
    </row>
    <row r="25" spans="1:16" ht="29" x14ac:dyDescent="0.35">
      <c r="A25" t="s">
        <v>140</v>
      </c>
      <c r="B25" t="s">
        <v>47</v>
      </c>
      <c r="C25" t="s">
        <v>68</v>
      </c>
      <c r="D25" t="s">
        <v>117</v>
      </c>
      <c r="E25" t="s">
        <v>20</v>
      </c>
      <c r="F25" t="s">
        <v>21</v>
      </c>
      <c r="G25" t="s">
        <v>25</v>
      </c>
      <c r="H25" t="b">
        <v>1</v>
      </c>
      <c r="I25">
        <v>10</v>
      </c>
      <c r="J25">
        <v>39</v>
      </c>
      <c r="L25">
        <v>7.8</v>
      </c>
      <c r="M25">
        <v>1.484574E-3</v>
      </c>
      <c r="N25">
        <v>7.8</v>
      </c>
      <c r="O25">
        <v>1.484574E-3</v>
      </c>
      <c r="P25" s="1" t="s">
        <v>23</v>
      </c>
    </row>
    <row r="26" spans="1:16" ht="29" x14ac:dyDescent="0.35">
      <c r="A26" t="s">
        <v>141</v>
      </c>
      <c r="B26" t="s">
        <v>47</v>
      </c>
      <c r="C26" t="s">
        <v>78</v>
      </c>
      <c r="D26" t="s">
        <v>117</v>
      </c>
      <c r="E26" t="s">
        <v>20</v>
      </c>
      <c r="F26" t="s">
        <v>21</v>
      </c>
      <c r="G26" t="s">
        <v>25</v>
      </c>
      <c r="H26" t="b">
        <v>1</v>
      </c>
      <c r="I26">
        <v>10</v>
      </c>
      <c r="J26">
        <v>23.428571428571399</v>
      </c>
      <c r="L26">
        <v>16.399999999999999</v>
      </c>
      <c r="M26">
        <v>3.1214120000000001E-3</v>
      </c>
      <c r="N26">
        <v>16.399999999999999</v>
      </c>
      <c r="O26">
        <v>3.1214120000000001E-3</v>
      </c>
      <c r="P26" s="1" t="s">
        <v>23</v>
      </c>
    </row>
    <row r="27" spans="1:16" ht="29" x14ac:dyDescent="0.35">
      <c r="A27" t="s">
        <v>146</v>
      </c>
      <c r="B27" t="s">
        <v>87</v>
      </c>
      <c r="C27" t="s">
        <v>88</v>
      </c>
      <c r="D27" t="s">
        <v>117</v>
      </c>
      <c r="E27" t="s">
        <v>20</v>
      </c>
      <c r="F27" t="s">
        <v>21</v>
      </c>
      <c r="G27" t="s">
        <v>25</v>
      </c>
      <c r="H27" t="b">
        <v>1</v>
      </c>
      <c r="I27">
        <v>10</v>
      </c>
      <c r="J27">
        <v>42.4</v>
      </c>
      <c r="L27">
        <v>21.2</v>
      </c>
      <c r="M27">
        <v>4.0349959999999999E-3</v>
      </c>
      <c r="N27">
        <v>21.2</v>
      </c>
      <c r="O27">
        <v>4.0349959999999999E-3</v>
      </c>
      <c r="P27" s="1" t="s">
        <v>23</v>
      </c>
    </row>
    <row r="28" spans="1:16" ht="29" x14ac:dyDescent="0.35">
      <c r="A28" t="s">
        <v>148</v>
      </c>
      <c r="B28" t="s">
        <v>87</v>
      </c>
      <c r="C28" t="s">
        <v>92</v>
      </c>
      <c r="D28" t="s">
        <v>117</v>
      </c>
      <c r="E28" t="s">
        <v>20</v>
      </c>
      <c r="F28" t="s">
        <v>21</v>
      </c>
      <c r="G28" t="s">
        <v>25</v>
      </c>
      <c r="H28" t="b">
        <v>1</v>
      </c>
      <c r="I28">
        <v>10</v>
      </c>
      <c r="J28">
        <v>35.9</v>
      </c>
      <c r="K28">
        <v>7</v>
      </c>
      <c r="L28">
        <v>96.93</v>
      </c>
      <c r="M28">
        <v>1.84486869E-2</v>
      </c>
      <c r="N28">
        <v>96.93</v>
      </c>
      <c r="O28">
        <v>1.84486869E-2</v>
      </c>
      <c r="P28" s="1" t="s">
        <v>23</v>
      </c>
    </row>
    <row r="29" spans="1:16" ht="29" x14ac:dyDescent="0.35">
      <c r="A29" t="s">
        <v>150</v>
      </c>
      <c r="B29" t="s">
        <v>87</v>
      </c>
      <c r="C29" t="s">
        <v>98</v>
      </c>
      <c r="D29" t="s">
        <v>117</v>
      </c>
      <c r="E29" t="s">
        <v>20</v>
      </c>
      <c r="F29" t="s">
        <v>21</v>
      </c>
      <c r="G29" t="s">
        <v>25</v>
      </c>
      <c r="H29" t="b">
        <v>1</v>
      </c>
      <c r="I29">
        <v>10</v>
      </c>
      <c r="J29">
        <v>18.95</v>
      </c>
      <c r="K29">
        <v>9</v>
      </c>
      <c r="L29">
        <v>54.954999999999998</v>
      </c>
      <c r="M29">
        <v>1.0459585150000001E-2</v>
      </c>
      <c r="N29">
        <v>54.954999999999998</v>
      </c>
      <c r="O29">
        <v>1.0459585150000001E-2</v>
      </c>
      <c r="P29" s="1" t="s">
        <v>23</v>
      </c>
    </row>
    <row r="30" spans="1:16" ht="29" x14ac:dyDescent="0.35">
      <c r="A30" t="s">
        <v>154</v>
      </c>
      <c r="B30" t="s">
        <v>87</v>
      </c>
      <c r="C30" t="s">
        <v>103</v>
      </c>
      <c r="D30" t="s">
        <v>117</v>
      </c>
      <c r="E30" t="s">
        <v>20</v>
      </c>
      <c r="F30" t="s">
        <v>21</v>
      </c>
      <c r="G30" t="s">
        <v>25</v>
      </c>
      <c r="H30" t="b">
        <v>1</v>
      </c>
      <c r="I30">
        <v>10</v>
      </c>
      <c r="J30">
        <v>36.470588235294102</v>
      </c>
      <c r="L30">
        <v>62</v>
      </c>
      <c r="M30">
        <v>1.180046E-2</v>
      </c>
      <c r="N30">
        <v>62</v>
      </c>
      <c r="O30">
        <v>1.180046E-2</v>
      </c>
      <c r="P30" s="1" t="s">
        <v>23</v>
      </c>
    </row>
    <row r="31" spans="1:16" ht="29" x14ac:dyDescent="0.35">
      <c r="A31" t="s">
        <v>158</v>
      </c>
      <c r="B31" t="s">
        <v>107</v>
      </c>
      <c r="C31" t="s">
        <v>108</v>
      </c>
      <c r="D31" t="s">
        <v>117</v>
      </c>
      <c r="E31" t="s">
        <v>20</v>
      </c>
      <c r="F31" t="s">
        <v>93</v>
      </c>
      <c r="G31" t="s">
        <v>22</v>
      </c>
      <c r="H31" t="b">
        <v>1</v>
      </c>
      <c r="I31">
        <v>10</v>
      </c>
      <c r="J31">
        <v>14</v>
      </c>
      <c r="L31">
        <v>43.982361111111103</v>
      </c>
      <c r="M31">
        <v>3.1578706954563402E-3</v>
      </c>
      <c r="N31">
        <v>43.982361111111103</v>
      </c>
      <c r="O31">
        <v>3.1578706954563402E-3</v>
      </c>
      <c r="P31" s="1" t="s">
        <v>23</v>
      </c>
    </row>
    <row r="32" spans="1:16" ht="29" x14ac:dyDescent="0.35">
      <c r="A32" t="s">
        <v>159</v>
      </c>
      <c r="B32" t="s">
        <v>17</v>
      </c>
      <c r="C32" t="s">
        <v>18</v>
      </c>
      <c r="D32" t="s">
        <v>160</v>
      </c>
      <c r="E32" t="s">
        <v>20</v>
      </c>
      <c r="F32" t="s">
        <v>93</v>
      </c>
      <c r="G32" t="s">
        <v>22</v>
      </c>
      <c r="H32" t="b">
        <v>1</v>
      </c>
      <c r="I32">
        <v>10</v>
      </c>
      <c r="J32">
        <v>22.1</v>
      </c>
      <c r="K32">
        <v>92</v>
      </c>
      <c r="L32">
        <v>7776.0814444444404</v>
      </c>
      <c r="M32">
        <v>0.55831153895668095</v>
      </c>
      <c r="N32">
        <v>7776.0814444444404</v>
      </c>
      <c r="O32">
        <v>0.55831153895668095</v>
      </c>
      <c r="P32" s="1" t="s">
        <v>23</v>
      </c>
    </row>
    <row r="33" spans="1:16" ht="29" x14ac:dyDescent="0.35">
      <c r="A33" t="s">
        <v>163</v>
      </c>
      <c r="B33" t="s">
        <v>17</v>
      </c>
      <c r="C33" t="s">
        <v>35</v>
      </c>
      <c r="D33" t="s">
        <v>160</v>
      </c>
      <c r="E33" t="s">
        <v>20</v>
      </c>
      <c r="F33" t="s">
        <v>21</v>
      </c>
      <c r="G33" t="s">
        <v>22</v>
      </c>
      <c r="H33" t="b">
        <v>1</v>
      </c>
      <c r="I33">
        <v>10</v>
      </c>
      <c r="J33">
        <v>22.55</v>
      </c>
      <c r="K33">
        <v>18</v>
      </c>
      <c r="L33">
        <v>85.69</v>
      </c>
      <c r="M33">
        <v>6.1524195849798E-3</v>
      </c>
      <c r="N33">
        <v>85.69</v>
      </c>
      <c r="O33">
        <v>6.1524195849798E-3</v>
      </c>
      <c r="P33" s="1" t="s">
        <v>23</v>
      </c>
    </row>
    <row r="34" spans="1:16" ht="29" x14ac:dyDescent="0.35">
      <c r="A34" t="s">
        <v>165</v>
      </c>
      <c r="B34" t="s">
        <v>17</v>
      </c>
      <c r="C34" t="s">
        <v>35</v>
      </c>
      <c r="D34" t="s">
        <v>160</v>
      </c>
      <c r="E34" t="s">
        <v>20</v>
      </c>
      <c r="F34" t="s">
        <v>21</v>
      </c>
      <c r="G34" t="s">
        <v>25</v>
      </c>
      <c r="H34" t="b">
        <v>1</v>
      </c>
      <c r="I34">
        <v>10</v>
      </c>
      <c r="J34">
        <v>59</v>
      </c>
      <c r="L34">
        <v>11.8</v>
      </c>
      <c r="M34">
        <v>2.245894E-3</v>
      </c>
      <c r="N34">
        <v>11.8</v>
      </c>
      <c r="O34">
        <v>2.245894E-3</v>
      </c>
      <c r="P34" s="1" t="s">
        <v>23</v>
      </c>
    </row>
    <row r="35" spans="1:16" ht="29" x14ac:dyDescent="0.35">
      <c r="A35" t="s">
        <v>169</v>
      </c>
      <c r="B35" t="s">
        <v>47</v>
      </c>
      <c r="C35" t="s">
        <v>48</v>
      </c>
      <c r="D35" t="s">
        <v>160</v>
      </c>
      <c r="E35" t="s">
        <v>20</v>
      </c>
      <c r="F35" t="s">
        <v>21</v>
      </c>
      <c r="G35" t="s">
        <v>25</v>
      </c>
      <c r="H35" t="b">
        <v>1</v>
      </c>
      <c r="I35">
        <v>10</v>
      </c>
      <c r="J35">
        <v>37.85</v>
      </c>
      <c r="K35">
        <v>27</v>
      </c>
      <c r="L35">
        <v>177.89500000000001</v>
      </c>
      <c r="M35">
        <v>3.3858755349999999E-2</v>
      </c>
      <c r="N35">
        <v>177.89500000000001</v>
      </c>
      <c r="O35">
        <v>3.3858755349999999E-2</v>
      </c>
      <c r="P35" s="1" t="s">
        <v>23</v>
      </c>
    </row>
    <row r="36" spans="1:16" ht="29" x14ac:dyDescent="0.35">
      <c r="A36" t="s">
        <v>173</v>
      </c>
      <c r="B36" t="s">
        <v>47</v>
      </c>
      <c r="C36" t="s">
        <v>55</v>
      </c>
      <c r="D36" t="s">
        <v>160</v>
      </c>
      <c r="E36" t="s">
        <v>20</v>
      </c>
      <c r="F36" t="s">
        <v>21</v>
      </c>
      <c r="G36" t="s">
        <v>25</v>
      </c>
      <c r="H36" t="b">
        <v>1</v>
      </c>
      <c r="I36">
        <v>10</v>
      </c>
      <c r="J36">
        <v>33.714285714285701</v>
      </c>
      <c r="L36">
        <v>23.6</v>
      </c>
      <c r="M36">
        <v>4.491788E-3</v>
      </c>
      <c r="N36">
        <v>23.6</v>
      </c>
      <c r="O36">
        <v>4.491788E-3</v>
      </c>
      <c r="P36" s="1" t="s">
        <v>23</v>
      </c>
    </row>
    <row r="37" spans="1:16" ht="29" x14ac:dyDescent="0.35">
      <c r="A37" t="s">
        <v>178</v>
      </c>
      <c r="B37" t="s">
        <v>47</v>
      </c>
      <c r="C37" t="s">
        <v>55</v>
      </c>
      <c r="D37" t="s">
        <v>160</v>
      </c>
      <c r="E37" t="s">
        <v>20</v>
      </c>
      <c r="F37" t="s">
        <v>21</v>
      </c>
      <c r="G37" t="s">
        <v>22</v>
      </c>
      <c r="H37" t="b">
        <v>1</v>
      </c>
      <c r="I37">
        <v>10</v>
      </c>
      <c r="J37">
        <v>12</v>
      </c>
      <c r="L37">
        <v>1.2</v>
      </c>
      <c r="M37">
        <v>8.6158285704000006E-5</v>
      </c>
      <c r="N37">
        <v>1.2</v>
      </c>
      <c r="O37">
        <v>8.6158285704000006E-5</v>
      </c>
      <c r="P37" s="1" t="s">
        <v>23</v>
      </c>
    </row>
    <row r="38" spans="1:16" ht="29" x14ac:dyDescent="0.35">
      <c r="A38" t="s">
        <v>181</v>
      </c>
      <c r="B38" t="s">
        <v>47</v>
      </c>
      <c r="C38" t="s">
        <v>62</v>
      </c>
      <c r="D38" t="s">
        <v>160</v>
      </c>
      <c r="E38" t="s">
        <v>20</v>
      </c>
      <c r="F38" t="s">
        <v>93</v>
      </c>
      <c r="G38" t="s">
        <v>25</v>
      </c>
      <c r="H38" t="b">
        <v>1</v>
      </c>
      <c r="I38">
        <v>10</v>
      </c>
      <c r="J38">
        <v>36.700000000000003</v>
      </c>
      <c r="K38">
        <v>5</v>
      </c>
      <c r="L38">
        <v>2882.4154513888898</v>
      </c>
      <c r="M38">
        <v>0.54861013286284699</v>
      </c>
      <c r="N38">
        <v>2882.4154513888898</v>
      </c>
      <c r="O38">
        <v>0.54861013286284699</v>
      </c>
      <c r="P38" s="1" t="s">
        <v>23</v>
      </c>
    </row>
    <row r="39" spans="1:16" ht="29" x14ac:dyDescent="0.35">
      <c r="A39" t="s">
        <v>183</v>
      </c>
      <c r="B39" t="s">
        <v>47</v>
      </c>
      <c r="C39" t="s">
        <v>62</v>
      </c>
      <c r="D39" t="s">
        <v>160</v>
      </c>
      <c r="E39" t="s">
        <v>20</v>
      </c>
      <c r="F39" t="s">
        <v>93</v>
      </c>
      <c r="G39" t="s">
        <v>22</v>
      </c>
      <c r="H39" t="b">
        <v>1</v>
      </c>
      <c r="I39">
        <v>10</v>
      </c>
      <c r="J39">
        <v>11</v>
      </c>
      <c r="L39">
        <v>69.115138888888893</v>
      </c>
      <c r="M39">
        <v>4.9623682357171099E-3</v>
      </c>
      <c r="N39">
        <v>69.115138888888893</v>
      </c>
      <c r="O39">
        <v>4.9623682357171099E-3</v>
      </c>
      <c r="P39" s="1" t="s">
        <v>23</v>
      </c>
    </row>
    <row r="40" spans="1:16" ht="29" x14ac:dyDescent="0.35">
      <c r="A40" t="s">
        <v>185</v>
      </c>
      <c r="B40" t="s">
        <v>47</v>
      </c>
      <c r="C40" t="s">
        <v>68</v>
      </c>
      <c r="D40" t="s">
        <v>160</v>
      </c>
      <c r="E40" t="s">
        <v>20</v>
      </c>
      <c r="F40" t="s">
        <v>21</v>
      </c>
      <c r="G40" t="s">
        <v>25</v>
      </c>
      <c r="H40" t="b">
        <v>1</v>
      </c>
      <c r="I40">
        <v>10</v>
      </c>
      <c r="J40">
        <v>62.55</v>
      </c>
      <c r="K40">
        <v>3</v>
      </c>
      <c r="L40">
        <v>143.86500000000001</v>
      </c>
      <c r="M40">
        <v>2.7381825450000001E-2</v>
      </c>
      <c r="N40">
        <v>143.86500000000001</v>
      </c>
      <c r="O40">
        <v>2.7381825450000001E-2</v>
      </c>
      <c r="P40" s="1" t="s">
        <v>23</v>
      </c>
    </row>
    <row r="41" spans="1:16" ht="29" x14ac:dyDescent="0.35">
      <c r="A41" t="s">
        <v>188</v>
      </c>
      <c r="B41" t="s">
        <v>47</v>
      </c>
      <c r="C41" t="s">
        <v>78</v>
      </c>
      <c r="D41" t="s">
        <v>160</v>
      </c>
      <c r="E41" t="s">
        <v>20</v>
      </c>
      <c r="F41" t="s">
        <v>21</v>
      </c>
      <c r="G41" t="s">
        <v>25</v>
      </c>
      <c r="H41" t="b">
        <v>1</v>
      </c>
      <c r="I41">
        <v>10</v>
      </c>
      <c r="J41">
        <v>51.15</v>
      </c>
      <c r="K41">
        <v>9</v>
      </c>
      <c r="L41">
        <v>148.33500000000001</v>
      </c>
      <c r="M41">
        <v>2.823260055E-2</v>
      </c>
      <c r="N41">
        <v>148.33500000000001</v>
      </c>
      <c r="O41">
        <v>2.823260055E-2</v>
      </c>
      <c r="P41" s="1" t="s">
        <v>23</v>
      </c>
    </row>
    <row r="42" spans="1:16" ht="29" x14ac:dyDescent="0.35">
      <c r="A42" t="s">
        <v>196</v>
      </c>
      <c r="B42" t="s">
        <v>87</v>
      </c>
      <c r="C42" t="s">
        <v>88</v>
      </c>
      <c r="D42" t="s">
        <v>160</v>
      </c>
      <c r="E42" t="s">
        <v>20</v>
      </c>
      <c r="F42" t="s">
        <v>93</v>
      </c>
      <c r="G42" t="s">
        <v>25</v>
      </c>
      <c r="H42" t="b">
        <v>1</v>
      </c>
      <c r="I42">
        <v>10</v>
      </c>
      <c r="J42">
        <v>36.4</v>
      </c>
      <c r="K42">
        <v>2</v>
      </c>
      <c r="L42">
        <v>2515.79105555555</v>
      </c>
      <c r="M42">
        <v>0.47883051160389001</v>
      </c>
      <c r="N42">
        <v>2515.79105555556</v>
      </c>
      <c r="O42">
        <v>0.47883051160389001</v>
      </c>
      <c r="P42" s="1" t="s">
        <v>23</v>
      </c>
    </row>
    <row r="43" spans="1:16" ht="29" x14ac:dyDescent="0.35">
      <c r="A43" t="s">
        <v>198</v>
      </c>
      <c r="B43" t="s">
        <v>87</v>
      </c>
      <c r="C43" t="s">
        <v>92</v>
      </c>
      <c r="D43" t="s">
        <v>160</v>
      </c>
      <c r="E43" t="s">
        <v>20</v>
      </c>
      <c r="F43" t="s">
        <v>93</v>
      </c>
      <c r="G43" t="s">
        <v>25</v>
      </c>
      <c r="H43" t="b">
        <v>1</v>
      </c>
      <c r="I43">
        <v>10</v>
      </c>
      <c r="J43">
        <v>43.5</v>
      </c>
      <c r="K43">
        <v>5</v>
      </c>
      <c r="L43">
        <v>3416.4869791666702</v>
      </c>
      <c r="M43">
        <v>0.65025996674479203</v>
      </c>
      <c r="N43">
        <v>3416.4869791666702</v>
      </c>
      <c r="O43">
        <v>0.65025996674479203</v>
      </c>
      <c r="P43" s="1" t="s">
        <v>23</v>
      </c>
    </row>
    <row r="44" spans="1:16" ht="29" x14ac:dyDescent="0.35">
      <c r="A44" t="s">
        <v>201</v>
      </c>
      <c r="B44" t="s">
        <v>87</v>
      </c>
      <c r="C44" t="s">
        <v>92</v>
      </c>
      <c r="D44" t="s">
        <v>160</v>
      </c>
      <c r="E44" t="s">
        <v>20</v>
      </c>
      <c r="F44" t="s">
        <v>93</v>
      </c>
      <c r="G44" t="s">
        <v>22</v>
      </c>
      <c r="H44" t="b">
        <v>1</v>
      </c>
      <c r="I44">
        <v>10</v>
      </c>
      <c r="J44">
        <v>39</v>
      </c>
      <c r="L44">
        <v>245.04458333333301</v>
      </c>
      <c r="M44">
        <v>1.7593851017542499E-2</v>
      </c>
      <c r="N44">
        <v>245.04458333333301</v>
      </c>
      <c r="O44">
        <v>1.7593851017542499E-2</v>
      </c>
      <c r="P44" s="1" t="s">
        <v>23</v>
      </c>
    </row>
    <row r="45" spans="1:16" ht="29" x14ac:dyDescent="0.35">
      <c r="A45" t="s">
        <v>202</v>
      </c>
      <c r="B45" t="s">
        <v>87</v>
      </c>
      <c r="C45" t="s">
        <v>98</v>
      </c>
      <c r="D45" t="s">
        <v>160</v>
      </c>
      <c r="E45" t="s">
        <v>20</v>
      </c>
      <c r="F45" t="s">
        <v>93</v>
      </c>
      <c r="G45" t="s">
        <v>25</v>
      </c>
      <c r="H45" t="b">
        <v>1</v>
      </c>
      <c r="I45">
        <v>10</v>
      </c>
      <c r="J45">
        <v>35.200000000000003</v>
      </c>
      <c r="K45">
        <v>25</v>
      </c>
      <c r="L45">
        <v>4976.29</v>
      </c>
      <c r="M45">
        <v>0.94713727569999995</v>
      </c>
      <c r="N45">
        <v>4976.29</v>
      </c>
      <c r="O45">
        <v>0.94713727569999995</v>
      </c>
      <c r="P45" s="1" t="s">
        <v>23</v>
      </c>
    </row>
    <row r="46" spans="1:16" ht="29" x14ac:dyDescent="0.35">
      <c r="A46" t="s">
        <v>205</v>
      </c>
      <c r="B46" t="s">
        <v>87</v>
      </c>
      <c r="C46" t="s">
        <v>103</v>
      </c>
      <c r="D46" t="s">
        <v>160</v>
      </c>
      <c r="E46" t="s">
        <v>20</v>
      </c>
      <c r="F46" t="s">
        <v>93</v>
      </c>
      <c r="G46" t="s">
        <v>25</v>
      </c>
      <c r="H46" t="b">
        <v>1</v>
      </c>
      <c r="I46">
        <v>10</v>
      </c>
      <c r="J46">
        <v>42.85</v>
      </c>
      <c r="K46">
        <v>14</v>
      </c>
      <c r="L46">
        <v>4576.99299305556</v>
      </c>
      <c r="M46">
        <v>0.87113907636826504</v>
      </c>
      <c r="N46">
        <v>4576.99299305556</v>
      </c>
      <c r="O46">
        <v>0.87113907636826504</v>
      </c>
      <c r="P46" s="1" t="s">
        <v>23</v>
      </c>
    </row>
    <row r="47" spans="1:16" ht="29" x14ac:dyDescent="0.35">
      <c r="A47" t="s">
        <v>207</v>
      </c>
      <c r="B47" t="s">
        <v>87</v>
      </c>
      <c r="C47" t="s">
        <v>103</v>
      </c>
      <c r="D47" t="s">
        <v>160</v>
      </c>
      <c r="E47" t="s">
        <v>20</v>
      </c>
      <c r="F47" t="s">
        <v>93</v>
      </c>
      <c r="G47" t="s">
        <v>22</v>
      </c>
      <c r="H47" t="b">
        <v>1</v>
      </c>
      <c r="I47">
        <v>10</v>
      </c>
      <c r="J47">
        <v>16.3333333333333</v>
      </c>
      <c r="L47">
        <v>153.938263888889</v>
      </c>
      <c r="M47">
        <v>1.10525474340972E-2</v>
      </c>
      <c r="N47">
        <v>153.938263888889</v>
      </c>
      <c r="O47">
        <v>1.10525474340972E-2</v>
      </c>
      <c r="P47" s="1" t="s">
        <v>23</v>
      </c>
    </row>
    <row r="48" spans="1:16" ht="29" x14ac:dyDescent="0.35">
      <c r="A48" t="s">
        <v>214</v>
      </c>
      <c r="B48" t="s">
        <v>107</v>
      </c>
      <c r="C48" t="s">
        <v>108</v>
      </c>
      <c r="D48" t="s">
        <v>160</v>
      </c>
      <c r="E48" t="s">
        <v>20</v>
      </c>
      <c r="F48" t="s">
        <v>93</v>
      </c>
      <c r="G48" t="s">
        <v>22</v>
      </c>
      <c r="H48" t="b">
        <v>1</v>
      </c>
      <c r="I48">
        <v>10</v>
      </c>
      <c r="J48">
        <v>24</v>
      </c>
      <c r="L48">
        <v>150.79666666666699</v>
      </c>
      <c r="M48">
        <v>1.0826985241564601E-2</v>
      </c>
      <c r="N48">
        <v>150.79666666666699</v>
      </c>
      <c r="O48">
        <v>1.0826985241564601E-2</v>
      </c>
      <c r="P48" s="1" t="s">
        <v>23</v>
      </c>
    </row>
    <row r="49" spans="1:16" ht="29" x14ac:dyDescent="0.35">
      <c r="A49" t="s">
        <v>216</v>
      </c>
      <c r="B49" t="s">
        <v>17</v>
      </c>
      <c r="C49" t="s">
        <v>18</v>
      </c>
      <c r="D49" t="s">
        <v>217</v>
      </c>
      <c r="E49" t="s">
        <v>20</v>
      </c>
      <c r="F49" t="s">
        <v>21</v>
      </c>
      <c r="G49" t="s">
        <v>22</v>
      </c>
      <c r="H49" t="b">
        <v>1</v>
      </c>
      <c r="I49">
        <v>10</v>
      </c>
      <c r="J49">
        <v>25</v>
      </c>
      <c r="K49">
        <v>83</v>
      </c>
      <c r="L49">
        <v>257.5</v>
      </c>
      <c r="M49">
        <v>1.8488132140649999E-2</v>
      </c>
      <c r="N49">
        <v>257.5</v>
      </c>
      <c r="O49">
        <v>1.8488132140649999E-2</v>
      </c>
      <c r="P49" s="1" t="s">
        <v>23</v>
      </c>
    </row>
    <row r="50" spans="1:16" ht="29" x14ac:dyDescent="0.35">
      <c r="A50" t="s">
        <v>218</v>
      </c>
      <c r="B50" t="s">
        <v>17</v>
      </c>
      <c r="C50" t="s">
        <v>18</v>
      </c>
      <c r="D50" t="s">
        <v>217</v>
      </c>
      <c r="E50" t="s">
        <v>20</v>
      </c>
      <c r="F50" t="s">
        <v>21</v>
      </c>
      <c r="G50" t="s">
        <v>25</v>
      </c>
      <c r="H50" t="b">
        <v>1</v>
      </c>
      <c r="I50">
        <v>10</v>
      </c>
      <c r="J50">
        <v>74.5</v>
      </c>
      <c r="L50">
        <v>14.9</v>
      </c>
      <c r="M50">
        <v>2.8359169999999999E-3</v>
      </c>
      <c r="N50">
        <v>14.9</v>
      </c>
      <c r="O50">
        <v>2.8359169999999999E-3</v>
      </c>
      <c r="P50" s="1" t="s">
        <v>23</v>
      </c>
    </row>
    <row r="51" spans="1:16" ht="29" x14ac:dyDescent="0.35">
      <c r="A51" t="s">
        <v>222</v>
      </c>
      <c r="B51" t="s">
        <v>17</v>
      </c>
      <c r="C51" t="s">
        <v>35</v>
      </c>
      <c r="D51" t="s">
        <v>217</v>
      </c>
      <c r="E51" t="s">
        <v>20</v>
      </c>
      <c r="F51" t="s">
        <v>21</v>
      </c>
      <c r="G51" t="s">
        <v>22</v>
      </c>
      <c r="H51" t="b">
        <v>1</v>
      </c>
      <c r="I51">
        <v>10</v>
      </c>
      <c r="J51">
        <v>17.25</v>
      </c>
      <c r="K51">
        <v>94</v>
      </c>
      <c r="L51">
        <v>196.65</v>
      </c>
      <c r="M51">
        <v>1.4119189069743E-2</v>
      </c>
      <c r="N51">
        <v>196.65</v>
      </c>
      <c r="O51">
        <v>1.4119189069743E-2</v>
      </c>
      <c r="P51" s="1" t="s">
        <v>23</v>
      </c>
    </row>
    <row r="52" spans="1:16" ht="29" x14ac:dyDescent="0.35">
      <c r="A52" t="s">
        <v>226</v>
      </c>
      <c r="B52" t="s">
        <v>17</v>
      </c>
      <c r="C52" t="s">
        <v>35</v>
      </c>
      <c r="D52" t="s">
        <v>217</v>
      </c>
      <c r="E52" t="s">
        <v>20</v>
      </c>
      <c r="F52" t="s">
        <v>21</v>
      </c>
      <c r="G52" t="s">
        <v>25</v>
      </c>
      <c r="H52" t="b">
        <v>1</v>
      </c>
      <c r="I52">
        <v>10</v>
      </c>
      <c r="J52">
        <v>38.5</v>
      </c>
      <c r="L52">
        <v>7.7</v>
      </c>
      <c r="M52">
        <v>1.4655409999999999E-3</v>
      </c>
      <c r="N52">
        <v>7.7</v>
      </c>
      <c r="O52">
        <v>1.4655409999999999E-3</v>
      </c>
      <c r="P52" s="1" t="s">
        <v>23</v>
      </c>
    </row>
    <row r="53" spans="1:16" ht="29" x14ac:dyDescent="0.35">
      <c r="A53" t="s">
        <v>230</v>
      </c>
      <c r="B53" t="s">
        <v>47</v>
      </c>
      <c r="C53" t="s">
        <v>48</v>
      </c>
      <c r="D53" t="s">
        <v>217</v>
      </c>
      <c r="E53" t="s">
        <v>20</v>
      </c>
      <c r="F53" t="s">
        <v>21</v>
      </c>
      <c r="G53" t="s">
        <v>25</v>
      </c>
      <c r="H53" t="b">
        <v>1</v>
      </c>
      <c r="I53">
        <v>10</v>
      </c>
      <c r="J53">
        <v>40.4444444444444</v>
      </c>
      <c r="L53">
        <v>72.8</v>
      </c>
      <c r="M53">
        <v>1.3856024E-2</v>
      </c>
      <c r="N53">
        <v>72.8</v>
      </c>
      <c r="O53">
        <v>1.3856024E-2</v>
      </c>
      <c r="P53" s="1" t="s">
        <v>23</v>
      </c>
    </row>
    <row r="54" spans="1:16" ht="29" x14ac:dyDescent="0.35">
      <c r="A54" t="s">
        <v>233</v>
      </c>
      <c r="B54" t="s">
        <v>47</v>
      </c>
      <c r="C54" t="s">
        <v>55</v>
      </c>
      <c r="D54" t="s">
        <v>217</v>
      </c>
      <c r="E54" t="s">
        <v>20</v>
      </c>
      <c r="F54" t="s">
        <v>21</v>
      </c>
      <c r="G54" t="s">
        <v>25</v>
      </c>
      <c r="H54" t="b">
        <v>1</v>
      </c>
      <c r="I54">
        <v>10</v>
      </c>
      <c r="J54">
        <v>34.549999999999997</v>
      </c>
      <c r="K54">
        <v>3</v>
      </c>
      <c r="L54">
        <v>79.465000000000003</v>
      </c>
      <c r="M54">
        <v>1.512457345E-2</v>
      </c>
      <c r="N54">
        <v>79.465000000000003</v>
      </c>
      <c r="O54">
        <v>1.512457345E-2</v>
      </c>
      <c r="P54" s="1" t="s">
        <v>23</v>
      </c>
    </row>
    <row r="55" spans="1:16" ht="29" x14ac:dyDescent="0.35">
      <c r="A55" t="s">
        <v>236</v>
      </c>
      <c r="B55" t="s">
        <v>47</v>
      </c>
      <c r="C55" t="s">
        <v>55</v>
      </c>
      <c r="D55" t="s">
        <v>217</v>
      </c>
      <c r="E55" t="s">
        <v>20</v>
      </c>
      <c r="F55" t="s">
        <v>21</v>
      </c>
      <c r="G55" t="s">
        <v>22</v>
      </c>
      <c r="H55" t="b">
        <v>1</v>
      </c>
      <c r="I55">
        <v>10</v>
      </c>
      <c r="J55">
        <v>22.3333333333333</v>
      </c>
      <c r="L55">
        <v>6.7</v>
      </c>
      <c r="M55">
        <v>4.8105042851400001E-4</v>
      </c>
      <c r="N55">
        <v>6.7</v>
      </c>
      <c r="O55">
        <v>4.8105042851400001E-4</v>
      </c>
      <c r="P55" s="1" t="s">
        <v>23</v>
      </c>
    </row>
    <row r="56" spans="1:16" ht="29" x14ac:dyDescent="0.35">
      <c r="A56" t="s">
        <v>241</v>
      </c>
      <c r="B56" t="s">
        <v>47</v>
      </c>
      <c r="C56" t="s">
        <v>62</v>
      </c>
      <c r="D56" t="s">
        <v>217</v>
      </c>
      <c r="E56" t="s">
        <v>20</v>
      </c>
      <c r="F56" t="s">
        <v>93</v>
      </c>
      <c r="G56" t="s">
        <v>25</v>
      </c>
      <c r="H56" t="b">
        <v>1</v>
      </c>
      <c r="I56">
        <v>10</v>
      </c>
      <c r="J56">
        <v>44.9</v>
      </c>
      <c r="K56">
        <v>5</v>
      </c>
      <c r="L56">
        <v>3526.4428819444402</v>
      </c>
      <c r="M56">
        <v>0.67118787372048505</v>
      </c>
      <c r="N56">
        <v>3526.4428819444402</v>
      </c>
      <c r="O56">
        <v>0.67118787372048505</v>
      </c>
      <c r="P56" s="1" t="s">
        <v>23</v>
      </c>
    </row>
    <row r="57" spans="1:16" ht="29" x14ac:dyDescent="0.35">
      <c r="A57" t="s">
        <v>242</v>
      </c>
      <c r="B57" t="s">
        <v>47</v>
      </c>
      <c r="C57" t="s">
        <v>62</v>
      </c>
      <c r="D57" t="s">
        <v>217</v>
      </c>
      <c r="E57" t="s">
        <v>20</v>
      </c>
      <c r="F57" t="s">
        <v>93</v>
      </c>
      <c r="G57" t="s">
        <v>22</v>
      </c>
      <c r="H57" t="b">
        <v>1</v>
      </c>
      <c r="I57">
        <v>10</v>
      </c>
      <c r="J57">
        <v>32</v>
      </c>
      <c r="L57">
        <v>301.59333333333302</v>
      </c>
      <c r="M57">
        <v>2.1653970483129201E-2</v>
      </c>
      <c r="N57">
        <v>301.59333333333302</v>
      </c>
      <c r="O57">
        <v>2.1653970483129201E-2</v>
      </c>
      <c r="P57" s="1" t="s">
        <v>23</v>
      </c>
    </row>
    <row r="58" spans="1:16" ht="29" x14ac:dyDescent="0.35">
      <c r="A58" t="s">
        <v>245</v>
      </c>
      <c r="B58" t="s">
        <v>47</v>
      </c>
      <c r="C58" t="s">
        <v>68</v>
      </c>
      <c r="D58" t="s">
        <v>217</v>
      </c>
      <c r="E58" t="s">
        <v>20</v>
      </c>
      <c r="F58" t="s">
        <v>21</v>
      </c>
      <c r="G58" t="s">
        <v>25</v>
      </c>
      <c r="H58" t="b">
        <v>1</v>
      </c>
      <c r="I58">
        <v>10</v>
      </c>
      <c r="J58">
        <v>49.4</v>
      </c>
      <c r="L58">
        <v>98.8</v>
      </c>
      <c r="M58">
        <v>1.8804603999999999E-2</v>
      </c>
      <c r="N58">
        <v>98.8</v>
      </c>
      <c r="O58">
        <v>1.8804603999999999E-2</v>
      </c>
      <c r="P58" s="1" t="s">
        <v>23</v>
      </c>
    </row>
    <row r="59" spans="1:16" ht="29" x14ac:dyDescent="0.35">
      <c r="A59" t="s">
        <v>249</v>
      </c>
      <c r="B59" t="s">
        <v>47</v>
      </c>
      <c r="C59" t="s">
        <v>78</v>
      </c>
      <c r="D59" t="s">
        <v>217</v>
      </c>
      <c r="E59" t="s">
        <v>20</v>
      </c>
      <c r="F59" t="s">
        <v>21</v>
      </c>
      <c r="G59" t="s">
        <v>25</v>
      </c>
      <c r="H59" t="b">
        <v>1</v>
      </c>
      <c r="I59">
        <v>10</v>
      </c>
      <c r="J59">
        <v>43.75</v>
      </c>
      <c r="K59">
        <v>30</v>
      </c>
      <c r="L59">
        <v>218.75</v>
      </c>
      <c r="M59">
        <v>4.1634687500000003E-2</v>
      </c>
      <c r="N59">
        <v>218.75</v>
      </c>
      <c r="O59">
        <v>4.1634687500000003E-2</v>
      </c>
      <c r="P59" s="1" t="s">
        <v>23</v>
      </c>
    </row>
    <row r="60" spans="1:16" ht="29" x14ac:dyDescent="0.35">
      <c r="A60" t="s">
        <v>255</v>
      </c>
      <c r="B60" t="s">
        <v>87</v>
      </c>
      <c r="C60" t="s">
        <v>88</v>
      </c>
      <c r="D60" t="s">
        <v>217</v>
      </c>
      <c r="E60" t="s">
        <v>20</v>
      </c>
      <c r="F60" t="s">
        <v>93</v>
      </c>
      <c r="G60" t="s">
        <v>25</v>
      </c>
      <c r="H60" t="b">
        <v>1</v>
      </c>
      <c r="I60">
        <v>10</v>
      </c>
      <c r="J60">
        <v>41.142857142857103</v>
      </c>
      <c r="L60">
        <v>1809.56</v>
      </c>
      <c r="M60">
        <v>0.34441355480000002</v>
      </c>
      <c r="N60">
        <v>1809.56</v>
      </c>
      <c r="O60">
        <v>0.34441355480000002</v>
      </c>
      <c r="P60" s="1" t="s">
        <v>23</v>
      </c>
    </row>
    <row r="61" spans="1:16" ht="29" x14ac:dyDescent="0.35">
      <c r="A61" t="s">
        <v>257</v>
      </c>
      <c r="B61" t="s">
        <v>87</v>
      </c>
      <c r="C61" t="s">
        <v>92</v>
      </c>
      <c r="D61" t="s">
        <v>217</v>
      </c>
      <c r="E61" t="s">
        <v>20</v>
      </c>
      <c r="F61" t="s">
        <v>93</v>
      </c>
      <c r="G61" t="s">
        <v>25</v>
      </c>
      <c r="H61" t="b">
        <v>1</v>
      </c>
      <c r="I61">
        <v>10</v>
      </c>
      <c r="J61">
        <v>49.65</v>
      </c>
      <c r="K61">
        <v>92</v>
      </c>
      <c r="L61">
        <v>17469.7938333333</v>
      </c>
      <c r="M61">
        <v>3.32502586029833</v>
      </c>
      <c r="N61">
        <v>17469.7938333333</v>
      </c>
      <c r="O61">
        <v>3.32502586029833</v>
      </c>
      <c r="P61" s="1" t="s">
        <v>23</v>
      </c>
    </row>
    <row r="62" spans="1:16" ht="29" x14ac:dyDescent="0.35">
      <c r="A62" t="s">
        <v>258</v>
      </c>
      <c r="B62" t="s">
        <v>87</v>
      </c>
      <c r="C62" t="s">
        <v>92</v>
      </c>
      <c r="D62" t="s">
        <v>217</v>
      </c>
      <c r="E62" t="s">
        <v>20</v>
      </c>
      <c r="F62" t="s">
        <v>93</v>
      </c>
      <c r="G62" t="s">
        <v>22</v>
      </c>
      <c r="H62" t="b">
        <v>1</v>
      </c>
      <c r="I62">
        <v>10</v>
      </c>
      <c r="J62">
        <v>22.75</v>
      </c>
      <c r="L62">
        <v>285.88534722222198</v>
      </c>
      <c r="M62">
        <v>2.05261595204662E-2</v>
      </c>
      <c r="N62">
        <v>285.88534722222198</v>
      </c>
      <c r="O62">
        <v>2.05261595204662E-2</v>
      </c>
      <c r="P62" s="1" t="s">
        <v>23</v>
      </c>
    </row>
    <row r="63" spans="1:16" ht="29" x14ac:dyDescent="0.35">
      <c r="A63" t="s">
        <v>260</v>
      </c>
      <c r="B63" t="s">
        <v>87</v>
      </c>
      <c r="C63" t="s">
        <v>98</v>
      </c>
      <c r="D63" t="s">
        <v>217</v>
      </c>
      <c r="E63" t="s">
        <v>20</v>
      </c>
      <c r="F63" t="s">
        <v>93</v>
      </c>
      <c r="G63" t="s">
        <v>25</v>
      </c>
      <c r="H63" t="b">
        <v>1</v>
      </c>
      <c r="I63">
        <v>10</v>
      </c>
      <c r="J63">
        <v>41.421052631578902</v>
      </c>
      <c r="L63">
        <v>2472.4370138888899</v>
      </c>
      <c r="M63">
        <v>0.47057893685347202</v>
      </c>
      <c r="N63">
        <v>2472.4370138888899</v>
      </c>
      <c r="O63">
        <v>0.47057893685347202</v>
      </c>
      <c r="P63" s="1" t="s">
        <v>23</v>
      </c>
    </row>
    <row r="64" spans="1:16" ht="29" x14ac:dyDescent="0.35">
      <c r="A64" t="s">
        <v>262</v>
      </c>
      <c r="B64" t="s">
        <v>87</v>
      </c>
      <c r="C64" t="s">
        <v>103</v>
      </c>
      <c r="D64" t="s">
        <v>217</v>
      </c>
      <c r="E64" t="s">
        <v>20</v>
      </c>
      <c r="F64" t="s">
        <v>93</v>
      </c>
      <c r="G64" t="s">
        <v>25</v>
      </c>
      <c r="H64" t="b">
        <v>1</v>
      </c>
      <c r="I64">
        <v>10</v>
      </c>
      <c r="J64">
        <v>46.2</v>
      </c>
      <c r="K64">
        <v>67</v>
      </c>
      <c r="L64">
        <v>12627.335875000001</v>
      </c>
      <c r="M64">
        <v>2.40336083708875</v>
      </c>
      <c r="N64">
        <v>12627.335875000001</v>
      </c>
      <c r="O64">
        <v>2.40336083708875</v>
      </c>
      <c r="P64" s="1" t="s">
        <v>23</v>
      </c>
    </row>
    <row r="65" spans="1:16" ht="29" x14ac:dyDescent="0.35">
      <c r="A65" t="s">
        <v>263</v>
      </c>
      <c r="B65" t="s">
        <v>87</v>
      </c>
      <c r="C65" t="s">
        <v>103</v>
      </c>
      <c r="D65" t="s">
        <v>217</v>
      </c>
      <c r="E65" t="s">
        <v>20</v>
      </c>
      <c r="F65" t="s">
        <v>93</v>
      </c>
      <c r="G65" t="s">
        <v>22</v>
      </c>
      <c r="H65" t="b">
        <v>1</v>
      </c>
      <c r="I65">
        <v>10</v>
      </c>
      <c r="J65">
        <v>21.5</v>
      </c>
      <c r="L65">
        <v>270.177361111111</v>
      </c>
      <c r="M65">
        <v>1.9398348557803199E-2</v>
      </c>
      <c r="N65">
        <v>270.177361111111</v>
      </c>
      <c r="O65">
        <v>1.9398348557803199E-2</v>
      </c>
      <c r="P65" s="1" t="s">
        <v>23</v>
      </c>
    </row>
    <row r="66" spans="1:16" ht="29" x14ac:dyDescent="0.35">
      <c r="A66" t="s">
        <v>269</v>
      </c>
      <c r="B66" t="s">
        <v>107</v>
      </c>
      <c r="C66" t="s">
        <v>108</v>
      </c>
      <c r="D66" t="s">
        <v>217</v>
      </c>
      <c r="E66" t="s">
        <v>20</v>
      </c>
      <c r="F66" t="s">
        <v>21</v>
      </c>
      <c r="G66" t="s">
        <v>22</v>
      </c>
      <c r="H66" t="b">
        <v>1</v>
      </c>
      <c r="I66">
        <v>10</v>
      </c>
      <c r="J66">
        <v>28</v>
      </c>
      <c r="L66">
        <v>2.8</v>
      </c>
      <c r="M66">
        <v>2.01035999976E-4</v>
      </c>
      <c r="N66">
        <v>2.8</v>
      </c>
      <c r="O66">
        <v>2.01035999976E-4</v>
      </c>
      <c r="P66" s="1" t="s">
        <v>23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/>
  </sheetViews>
  <sheetFormatPr defaultRowHeight="14.5" x14ac:dyDescent="0.35"/>
  <cols>
    <col min="1" max="1" width="24" customWidth="1"/>
    <col min="2" max="2" width="32.08984375" customWidth="1"/>
  </cols>
  <sheetData>
    <row r="1" spans="1:10" x14ac:dyDescent="0.35">
      <c r="A1" s="2" t="s">
        <v>271</v>
      </c>
      <c r="B1" s="2" t="s">
        <v>272</v>
      </c>
    </row>
    <row r="2" spans="1:10" x14ac:dyDescent="0.35">
      <c r="A2" s="3" t="s">
        <v>273</v>
      </c>
      <c r="B2" s="3" t="s">
        <v>273</v>
      </c>
    </row>
    <row r="3" spans="1:10" x14ac:dyDescent="0.35">
      <c r="A3" s="4" t="s">
        <v>274</v>
      </c>
      <c r="B3" s="4" t="s">
        <v>275</v>
      </c>
    </row>
    <row r="4" spans="1:10" x14ac:dyDescent="0.35">
      <c r="A4" s="5" t="s">
        <v>276</v>
      </c>
      <c r="B4" s="5" t="s">
        <v>277</v>
      </c>
    </row>
    <row r="8" spans="1:10" x14ac:dyDescent="0.35">
      <c r="C8" s="6" t="s">
        <v>291</v>
      </c>
      <c r="D8" s="6" t="s">
        <v>292</v>
      </c>
    </row>
    <row r="9" spans="1:10" x14ac:dyDescent="0.35">
      <c r="C9" t="s">
        <v>19</v>
      </c>
      <c r="E9" t="s">
        <v>117</v>
      </c>
      <c r="G9" t="s">
        <v>160</v>
      </c>
      <c r="I9" t="s">
        <v>217</v>
      </c>
    </row>
    <row r="10" spans="1:10" x14ac:dyDescent="0.35">
      <c r="A10" s="6" t="s">
        <v>1</v>
      </c>
      <c r="B10" s="6" t="s">
        <v>2</v>
      </c>
      <c r="C10" t="s">
        <v>12</v>
      </c>
      <c r="D10" t="s">
        <v>14</v>
      </c>
      <c r="E10" t="s">
        <v>12</v>
      </c>
      <c r="F10" t="s">
        <v>14</v>
      </c>
      <c r="G10" t="s">
        <v>12</v>
      </c>
      <c r="H10" t="s">
        <v>14</v>
      </c>
      <c r="I10" t="s">
        <v>12</v>
      </c>
      <c r="J10" t="s">
        <v>14</v>
      </c>
    </row>
    <row r="11" spans="1:10" x14ac:dyDescent="0.35">
      <c r="A11" t="s">
        <v>17</v>
      </c>
      <c r="B11" t="s">
        <v>18</v>
      </c>
      <c r="C11">
        <v>5.2872294316912503E-2</v>
      </c>
      <c r="D11">
        <v>5.2872294316912503E-2</v>
      </c>
      <c r="E11">
        <v>0.37535797324863074</v>
      </c>
      <c r="F11">
        <v>0.37535797324863074</v>
      </c>
      <c r="G11">
        <v>0.5887536160400143</v>
      </c>
      <c r="H11">
        <v>0.5887536160400143</v>
      </c>
      <c r="I11">
        <v>2.1692224140649998E-2</v>
      </c>
      <c r="J11">
        <v>2.1610549140649998E-2</v>
      </c>
    </row>
    <row r="12" spans="1:10" x14ac:dyDescent="0.35">
      <c r="B12" t="s">
        <v>35</v>
      </c>
      <c r="C12">
        <v>8.4334529070271003E-2</v>
      </c>
      <c r="D12">
        <v>8.4293929070271001E-2</v>
      </c>
      <c r="E12">
        <v>2.3490207263591301E-2</v>
      </c>
      <c r="F12">
        <v>2.34617592635913E-2</v>
      </c>
      <c r="G12">
        <v>9.997481358497981E-2</v>
      </c>
      <c r="H12">
        <v>9.997481358497981E-2</v>
      </c>
      <c r="I12">
        <v>6.8979130069743003E-2</v>
      </c>
      <c r="J12">
        <v>6.8963830069743007E-2</v>
      </c>
    </row>
    <row r="13" spans="1:10" x14ac:dyDescent="0.35">
      <c r="A13" t="s">
        <v>47</v>
      </c>
      <c r="B13" t="s">
        <v>48</v>
      </c>
      <c r="C13">
        <v>1.6447800000000002E-3</v>
      </c>
      <c r="D13">
        <v>1.09983E-3</v>
      </c>
      <c r="E13">
        <v>5.5766690000000002E-3</v>
      </c>
      <c r="F13">
        <v>5.5766690000000002E-3</v>
      </c>
      <c r="G13">
        <v>4.1565755349999997E-2</v>
      </c>
      <c r="H13">
        <v>3.4635755349999998E-2</v>
      </c>
      <c r="I13">
        <v>1.6025324000000001E-2</v>
      </c>
      <c r="J13">
        <v>1.5215323999999999E-2</v>
      </c>
    </row>
    <row r="14" spans="1:10" x14ac:dyDescent="0.35">
      <c r="B14" t="s">
        <v>55</v>
      </c>
      <c r="C14">
        <v>0.37648617800000006</v>
      </c>
      <c r="D14">
        <v>0.37648617800000006</v>
      </c>
      <c r="E14">
        <v>1.0655441304285558</v>
      </c>
      <c r="F14">
        <v>1.0654181304285557</v>
      </c>
      <c r="G14">
        <v>0.73854954028570408</v>
      </c>
      <c r="H14">
        <v>0.73852314028570409</v>
      </c>
      <c r="I14">
        <v>1.5513124638785141</v>
      </c>
      <c r="J14">
        <v>1.5512313638785142</v>
      </c>
    </row>
    <row r="15" spans="1:10" x14ac:dyDescent="0.35">
      <c r="B15" t="s">
        <v>62</v>
      </c>
      <c r="C15">
        <v>4.4031553571390006E-2</v>
      </c>
      <c r="D15">
        <v>4.3952353571390004E-2</v>
      </c>
      <c r="E15">
        <v>9.3302312999999998E-2</v>
      </c>
      <c r="F15">
        <v>9.3302312999999998E-2</v>
      </c>
      <c r="G15">
        <v>0.62197135582078633</v>
      </c>
      <c r="H15">
        <v>0.62197135582078633</v>
      </c>
      <c r="I15">
        <v>0.70507836538416979</v>
      </c>
      <c r="J15">
        <v>0.70507836538416979</v>
      </c>
    </row>
    <row r="16" spans="1:10" x14ac:dyDescent="0.35">
      <c r="B16" t="s">
        <v>68</v>
      </c>
      <c r="C16">
        <v>4.1616557000000005E-2</v>
      </c>
      <c r="D16">
        <v>4.1561432000000002E-2</v>
      </c>
      <c r="E16">
        <v>2.0395740000000002E-3</v>
      </c>
      <c r="F16">
        <v>2.0395740000000002E-3</v>
      </c>
      <c r="G16">
        <v>3.135682545E-2</v>
      </c>
      <c r="H16">
        <v>2.7936825450000001E-2</v>
      </c>
      <c r="I16">
        <v>0.15888480399999999</v>
      </c>
      <c r="J16">
        <v>0.15888480399999999</v>
      </c>
    </row>
    <row r="17" spans="1:10" x14ac:dyDescent="0.35">
      <c r="B17" t="s">
        <v>78</v>
      </c>
      <c r="C17">
        <v>5.0098002000000003E-2</v>
      </c>
      <c r="D17">
        <v>5.0098002000000003E-2</v>
      </c>
      <c r="E17">
        <v>3.651212E-3</v>
      </c>
      <c r="F17">
        <v>3.651212E-3</v>
      </c>
      <c r="G17">
        <v>2.9920830550000003E-2</v>
      </c>
      <c r="H17">
        <v>2.9891600550000001E-2</v>
      </c>
      <c r="I17">
        <v>6.7514601500000007E-2</v>
      </c>
      <c r="J17">
        <v>6.7514601500000007E-2</v>
      </c>
    </row>
    <row r="18" spans="1:10" x14ac:dyDescent="0.35">
      <c r="A18" t="s">
        <v>87</v>
      </c>
      <c r="B18" t="s">
        <v>88</v>
      </c>
      <c r="C18">
        <v>5.1444333000000002E-2</v>
      </c>
      <c r="D18">
        <v>5.1444333000000002E-2</v>
      </c>
      <c r="E18">
        <v>2.7723345999999996E-2</v>
      </c>
      <c r="F18">
        <v>2.7723345999999996E-2</v>
      </c>
      <c r="G18">
        <v>0.55714110556222352</v>
      </c>
      <c r="H18">
        <v>0.55714110556222352</v>
      </c>
      <c r="I18">
        <v>0.34588382230000003</v>
      </c>
      <c r="J18">
        <v>0.34588382230000003</v>
      </c>
    </row>
    <row r="19" spans="1:10" x14ac:dyDescent="0.35">
      <c r="B19" t="s">
        <v>92</v>
      </c>
      <c r="C19">
        <v>0.27418075679474441</v>
      </c>
      <c r="D19">
        <v>0.27418075679474441</v>
      </c>
      <c r="E19">
        <v>6.6868086900000012E-2</v>
      </c>
      <c r="F19">
        <v>6.6868086900000012E-2</v>
      </c>
      <c r="G19">
        <v>0.74984008047066808</v>
      </c>
      <c r="H19">
        <v>0.74984008047066808</v>
      </c>
      <c r="I19">
        <v>3.348124987943796</v>
      </c>
      <c r="J19">
        <v>3.348124987943796</v>
      </c>
    </row>
    <row r="20" spans="1:10" x14ac:dyDescent="0.35">
      <c r="B20" t="s">
        <v>98</v>
      </c>
      <c r="C20">
        <v>3.2549019999999996E-3</v>
      </c>
      <c r="D20">
        <v>2.9733019999999997E-3</v>
      </c>
      <c r="E20">
        <v>5.1048835149999999E-2</v>
      </c>
      <c r="F20">
        <v>5.1048835149999999E-2</v>
      </c>
      <c r="G20">
        <v>1.1027782852833328</v>
      </c>
      <c r="H20">
        <v>1.1027782852833328</v>
      </c>
      <c r="I20">
        <v>0.47413208331180534</v>
      </c>
      <c r="J20">
        <v>0.47413208331180534</v>
      </c>
    </row>
    <row r="21" spans="1:10" x14ac:dyDescent="0.35">
      <c r="B21" t="s">
        <v>103</v>
      </c>
      <c r="C21">
        <v>0.34688721703680597</v>
      </c>
      <c r="D21">
        <v>0.34688721703680597</v>
      </c>
      <c r="E21">
        <v>4.0329160000000003E-2</v>
      </c>
      <c r="F21">
        <v>4.0329160000000003E-2</v>
      </c>
      <c r="G21">
        <v>0.98179282213569574</v>
      </c>
      <c r="H21">
        <v>0.98179282213569574</v>
      </c>
      <c r="I21">
        <v>2.4227591856465533</v>
      </c>
      <c r="J21">
        <v>2.4227591856465533</v>
      </c>
    </row>
    <row r="22" spans="1:10" x14ac:dyDescent="0.35">
      <c r="A22" t="s">
        <v>107</v>
      </c>
      <c r="B22" t="s">
        <v>108</v>
      </c>
      <c r="C22">
        <v>1.4835519574827791</v>
      </c>
      <c r="D22">
        <v>1.4835519574827791</v>
      </c>
      <c r="E22">
        <v>0.5251609087617064</v>
      </c>
      <c r="F22">
        <v>0.5251609087617064</v>
      </c>
      <c r="G22">
        <v>0.40248526137212021</v>
      </c>
      <c r="H22">
        <v>0.40248526137212021</v>
      </c>
      <c r="I22">
        <v>7.5341796799975991E-2</v>
      </c>
      <c r="J22">
        <v>7.5341796799975991E-2</v>
      </c>
    </row>
  </sheetData>
  <pageMargins left="0.75" right="0.75" top="0.75" bottom="0.5" header="0.5" footer="0.75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tabSelected="1" workbookViewId="0">
      <selection activeCell="F4" sqref="F4"/>
    </sheetView>
  </sheetViews>
  <sheetFormatPr defaultRowHeight="14.5" x14ac:dyDescent="0.35"/>
  <cols>
    <col min="1" max="1" width="24.6328125" customWidth="1"/>
    <col min="2" max="2" width="33.7265625" customWidth="1"/>
    <col min="3" max="3" width="30.453125" bestFit="1" customWidth="1"/>
    <col min="4" max="4" width="28.7265625" bestFit="1" customWidth="1"/>
    <col min="5" max="6" width="15.26953125" bestFit="1" customWidth="1"/>
    <col min="14" max="14" width="14.7265625" customWidth="1"/>
    <col min="15" max="15" width="24.1796875" customWidth="1"/>
    <col min="16" max="16" width="22.81640625" customWidth="1"/>
  </cols>
  <sheetData>
    <row r="1" spans="1:16" x14ac:dyDescent="0.35">
      <c r="A1" s="2" t="s">
        <v>278</v>
      </c>
      <c r="B1" s="2" t="s">
        <v>279</v>
      </c>
      <c r="C1" s="2" t="s">
        <v>280</v>
      </c>
      <c r="D1" s="2" t="s">
        <v>281</v>
      </c>
    </row>
    <row r="2" spans="1:16" x14ac:dyDescent="0.35">
      <c r="A2" s="3" t="s">
        <v>282</v>
      </c>
      <c r="B2" s="3" t="s">
        <v>282</v>
      </c>
      <c r="C2" s="3" t="s">
        <v>282</v>
      </c>
      <c r="D2" s="3" t="s">
        <v>282</v>
      </c>
    </row>
    <row r="3" spans="1:16" x14ac:dyDescent="0.35">
      <c r="A3" s="4" t="s">
        <v>283</v>
      </c>
      <c r="B3" s="4" t="s">
        <v>284</v>
      </c>
      <c r="C3" s="4" t="s">
        <v>285</v>
      </c>
      <c r="D3" s="4" t="s">
        <v>286</v>
      </c>
    </row>
    <row r="4" spans="1:16" x14ac:dyDescent="0.35">
      <c r="A4" s="5" t="s">
        <v>287</v>
      </c>
      <c r="B4" s="5" t="s">
        <v>288</v>
      </c>
      <c r="C4" s="5" t="s">
        <v>289</v>
      </c>
      <c r="D4" s="5" t="s">
        <v>290</v>
      </c>
    </row>
    <row r="6" spans="1:16" x14ac:dyDescent="0.35">
      <c r="N6" s="14" t="s">
        <v>11</v>
      </c>
      <c r="O6" s="7"/>
      <c r="P6" s="14" t="s">
        <v>291</v>
      </c>
    </row>
    <row r="7" spans="1:16" x14ac:dyDescent="0.35">
      <c r="N7" s="7"/>
      <c r="O7" s="7"/>
      <c r="P7" s="7" t="s">
        <v>19</v>
      </c>
    </row>
    <row r="8" spans="1:16" x14ac:dyDescent="0.35">
      <c r="A8" s="6" t="s">
        <v>11</v>
      </c>
      <c r="C8" s="6" t="s">
        <v>291</v>
      </c>
      <c r="D8" s="6" t="s">
        <v>15</v>
      </c>
      <c r="N8" s="15" t="s">
        <v>1</v>
      </c>
      <c r="O8" s="15" t="s">
        <v>2</v>
      </c>
      <c r="P8" s="8" t="s">
        <v>23</v>
      </c>
    </row>
    <row r="9" spans="1:16" x14ac:dyDescent="0.35">
      <c r="C9" t="s">
        <v>19</v>
      </c>
      <c r="D9" t="s">
        <v>117</v>
      </c>
      <c r="E9" t="s">
        <v>160</v>
      </c>
      <c r="F9" t="s">
        <v>217</v>
      </c>
      <c r="N9" s="9" t="s">
        <v>17</v>
      </c>
      <c r="O9" t="s">
        <v>18</v>
      </c>
      <c r="P9" s="16">
        <v>540.27499999999998</v>
      </c>
    </row>
    <row r="10" spans="1:16" x14ac:dyDescent="0.35">
      <c r="A10" s="6" t="s">
        <v>1</v>
      </c>
      <c r="B10" s="6" t="s">
        <v>2</v>
      </c>
      <c r="C10" t="s">
        <v>23</v>
      </c>
      <c r="D10" t="s">
        <v>23</v>
      </c>
      <c r="E10" t="s">
        <v>23</v>
      </c>
      <c r="F10" t="s">
        <v>23</v>
      </c>
      <c r="N10" s="10"/>
      <c r="O10" t="s">
        <v>35</v>
      </c>
      <c r="P10" s="17">
        <v>145.45000000000002</v>
      </c>
    </row>
    <row r="11" spans="1:16" x14ac:dyDescent="0.35">
      <c r="A11" t="s">
        <v>17</v>
      </c>
      <c r="B11" t="s">
        <v>18</v>
      </c>
      <c r="C11">
        <v>540.27499999999998</v>
      </c>
      <c r="D11">
        <v>4128.0587500000001</v>
      </c>
      <c r="E11">
        <v>7776.0814444444404</v>
      </c>
      <c r="F11">
        <v>272.39999999999998</v>
      </c>
      <c r="N11" s="9" t="s">
        <v>47</v>
      </c>
      <c r="O11" t="s">
        <v>48</v>
      </c>
      <c r="P11" s="17">
        <v>1</v>
      </c>
    </row>
    <row r="12" spans="1:16" x14ac:dyDescent="0.35">
      <c r="B12" t="s">
        <v>35</v>
      </c>
      <c r="C12">
        <v>145.45000000000002</v>
      </c>
      <c r="D12">
        <v>121.61500000000001</v>
      </c>
      <c r="E12">
        <v>97.49</v>
      </c>
      <c r="F12">
        <v>204.35</v>
      </c>
      <c r="N12" s="11"/>
      <c r="O12" t="s">
        <v>55</v>
      </c>
      <c r="P12" s="17">
        <v>4.5999999999999996</v>
      </c>
    </row>
    <row r="13" spans="1:16" x14ac:dyDescent="0.35">
      <c r="A13" t="s">
        <v>47</v>
      </c>
      <c r="B13" t="s">
        <v>48</v>
      </c>
      <c r="C13">
        <v>1</v>
      </c>
      <c r="D13">
        <v>29.3</v>
      </c>
      <c r="E13">
        <v>177.89500000000001</v>
      </c>
      <c r="F13">
        <v>72.8</v>
      </c>
      <c r="N13" s="11"/>
      <c r="O13" t="s">
        <v>62</v>
      </c>
      <c r="P13" s="17">
        <v>31.5</v>
      </c>
    </row>
    <row r="14" spans="1:16" x14ac:dyDescent="0.35">
      <c r="B14" t="s">
        <v>55</v>
      </c>
      <c r="C14">
        <v>4.5999999999999996</v>
      </c>
      <c r="D14">
        <v>33.9</v>
      </c>
      <c r="E14">
        <v>24.8</v>
      </c>
      <c r="F14">
        <v>86.165000000000006</v>
      </c>
      <c r="N14" s="11"/>
      <c r="O14" t="s">
        <v>68</v>
      </c>
      <c r="P14" s="17">
        <v>10.4</v>
      </c>
    </row>
    <row r="15" spans="1:16" x14ac:dyDescent="0.35">
      <c r="B15" t="s">
        <v>62</v>
      </c>
      <c r="C15">
        <v>31.5</v>
      </c>
      <c r="D15">
        <v>36.1</v>
      </c>
      <c r="E15">
        <v>2951.5305902777786</v>
      </c>
      <c r="F15">
        <v>3828.0362152777734</v>
      </c>
      <c r="N15" s="10"/>
      <c r="O15" t="s">
        <v>78</v>
      </c>
      <c r="P15" s="17">
        <v>16.600000000000001</v>
      </c>
    </row>
    <row r="16" spans="1:16" x14ac:dyDescent="0.35">
      <c r="B16" t="s">
        <v>68</v>
      </c>
      <c r="C16">
        <v>10.4</v>
      </c>
      <c r="D16">
        <v>7.8</v>
      </c>
      <c r="E16">
        <v>143.86500000000001</v>
      </c>
      <c r="F16">
        <v>98.8</v>
      </c>
      <c r="N16" s="9" t="s">
        <v>87</v>
      </c>
      <c r="O16" t="s">
        <v>88</v>
      </c>
      <c r="P16" s="17">
        <v>20.100000000000001</v>
      </c>
    </row>
    <row r="17" spans="1:16" x14ac:dyDescent="0.35">
      <c r="B17" t="s">
        <v>78</v>
      </c>
      <c r="C17">
        <v>16.600000000000001</v>
      </c>
      <c r="D17">
        <v>16.399999999999999</v>
      </c>
      <c r="E17">
        <v>148.33500000000001</v>
      </c>
      <c r="F17">
        <v>218.75</v>
      </c>
      <c r="N17" s="11"/>
      <c r="O17" t="s">
        <v>92</v>
      </c>
      <c r="P17" s="16">
        <v>618.89465277777788</v>
      </c>
    </row>
    <row r="18" spans="1:16" x14ac:dyDescent="0.35">
      <c r="A18" t="s">
        <v>87</v>
      </c>
      <c r="B18" t="s">
        <v>88</v>
      </c>
      <c r="C18">
        <v>20.100000000000001</v>
      </c>
      <c r="D18">
        <v>21.2</v>
      </c>
      <c r="E18">
        <v>2515.79105555555</v>
      </c>
      <c r="F18">
        <v>1809.56</v>
      </c>
      <c r="N18" s="11"/>
      <c r="O18" t="s">
        <v>98</v>
      </c>
      <c r="P18" s="17">
        <v>9.4</v>
      </c>
    </row>
    <row r="19" spans="1:16" x14ac:dyDescent="0.35">
      <c r="B19" t="s">
        <v>92</v>
      </c>
      <c r="C19">
        <v>618.89465277777788</v>
      </c>
      <c r="D19">
        <v>96.93</v>
      </c>
      <c r="E19">
        <v>3661.531562500003</v>
      </c>
      <c r="F19">
        <v>17755.679180555522</v>
      </c>
      <c r="N19" s="10"/>
      <c r="O19" t="s">
        <v>103</v>
      </c>
      <c r="P19" s="16">
        <v>499.51395833333299</v>
      </c>
    </row>
    <row r="20" spans="1:16" x14ac:dyDescent="0.35">
      <c r="B20" t="s">
        <v>98</v>
      </c>
      <c r="C20">
        <v>9.4</v>
      </c>
      <c r="D20">
        <v>54.954999999999998</v>
      </c>
      <c r="E20">
        <v>4976.29</v>
      </c>
      <c r="F20">
        <v>2472.4370138888899</v>
      </c>
    </row>
    <row r="21" spans="1:16" x14ac:dyDescent="0.35">
      <c r="B21" t="s">
        <v>103</v>
      </c>
      <c r="C21">
        <v>499.51395833333299</v>
      </c>
      <c r="D21">
        <v>62</v>
      </c>
      <c r="E21">
        <v>4730.9312569444492</v>
      </c>
      <c r="F21">
        <v>12897.513236111112</v>
      </c>
    </row>
    <row r="22" spans="1:16" x14ac:dyDescent="0.35">
      <c r="A22" t="s">
        <v>107</v>
      </c>
      <c r="B22" t="s">
        <v>108</v>
      </c>
      <c r="D22">
        <v>43.982361111111103</v>
      </c>
      <c r="E22">
        <v>150.79666666666699</v>
      </c>
      <c r="F22">
        <v>2.8</v>
      </c>
    </row>
    <row r="30" spans="1:16" x14ac:dyDescent="0.35">
      <c r="A30" s="2" t="s">
        <v>271</v>
      </c>
    </row>
    <row r="31" spans="1:16" x14ac:dyDescent="0.35">
      <c r="A31" s="3" t="s">
        <v>273</v>
      </c>
    </row>
    <row r="32" spans="1:16" x14ac:dyDescent="0.35">
      <c r="A32" s="4" t="s">
        <v>274</v>
      </c>
    </row>
    <row r="33" spans="1:6" x14ac:dyDescent="0.35">
      <c r="A33" s="5" t="s">
        <v>276</v>
      </c>
    </row>
    <row r="37" spans="1:6" x14ac:dyDescent="0.35">
      <c r="A37" s="6" t="s">
        <v>12</v>
      </c>
      <c r="C37" s="6" t="s">
        <v>291</v>
      </c>
    </row>
    <row r="38" spans="1:6" x14ac:dyDescent="0.35">
      <c r="A38" s="6" t="s">
        <v>1</v>
      </c>
      <c r="B38" s="6" t="s">
        <v>2</v>
      </c>
      <c r="C38" t="s">
        <v>19</v>
      </c>
      <c r="D38" t="s">
        <v>117</v>
      </c>
      <c r="E38" t="s">
        <v>160</v>
      </c>
      <c r="F38" t="s">
        <v>217</v>
      </c>
    </row>
    <row r="39" spans="1:6" x14ac:dyDescent="0.35">
      <c r="A39" t="s">
        <v>17</v>
      </c>
      <c r="B39" t="s">
        <v>18</v>
      </c>
      <c r="C39" s="12">
        <v>5.2872294316912503E-2</v>
      </c>
      <c r="D39" s="12">
        <v>0.37535797324863074</v>
      </c>
      <c r="E39" s="13">
        <v>0.5887536160400143</v>
      </c>
      <c r="F39" s="12">
        <v>2.1692224140649998E-2</v>
      </c>
    </row>
    <row r="40" spans="1:6" x14ac:dyDescent="0.35">
      <c r="B40" t="s">
        <v>35</v>
      </c>
      <c r="C40" s="12">
        <v>8.4334529070271003E-2</v>
      </c>
      <c r="D40" s="12">
        <v>2.3490207263591301E-2</v>
      </c>
      <c r="E40" s="12">
        <v>9.997481358497981E-2</v>
      </c>
      <c r="F40" s="12">
        <v>6.8979130069743003E-2</v>
      </c>
    </row>
    <row r="41" spans="1:6" x14ac:dyDescent="0.35">
      <c r="A41" t="s">
        <v>47</v>
      </c>
      <c r="B41" t="s">
        <v>48</v>
      </c>
      <c r="C41" s="12">
        <v>1.6447800000000002E-3</v>
      </c>
      <c r="D41" s="12">
        <v>5.5766690000000002E-3</v>
      </c>
      <c r="E41" s="12">
        <v>4.1565755349999997E-2</v>
      </c>
      <c r="F41" s="12">
        <v>1.6025324000000001E-2</v>
      </c>
    </row>
    <row r="42" spans="1:6" x14ac:dyDescent="0.35">
      <c r="B42" t="s">
        <v>55</v>
      </c>
      <c r="C42" s="12">
        <v>0.37648617800000006</v>
      </c>
      <c r="D42" s="13">
        <v>1.0655441304285558</v>
      </c>
      <c r="E42" s="13">
        <v>0.73854954028570408</v>
      </c>
      <c r="F42" s="13">
        <v>1.5513124638785141</v>
      </c>
    </row>
    <row r="43" spans="1:6" x14ac:dyDescent="0.35">
      <c r="B43" t="s">
        <v>62</v>
      </c>
      <c r="C43" s="12">
        <v>4.4031553571390006E-2</v>
      </c>
      <c r="D43" s="12">
        <v>9.3302312999999998E-2</v>
      </c>
      <c r="E43" s="13">
        <v>0.62197135582078633</v>
      </c>
      <c r="F43" s="13">
        <v>0.70507836538416979</v>
      </c>
    </row>
    <row r="44" spans="1:6" x14ac:dyDescent="0.35">
      <c r="B44" t="s">
        <v>68</v>
      </c>
      <c r="C44" s="12">
        <v>4.1616557000000005E-2</v>
      </c>
      <c r="D44" s="12">
        <v>2.0395740000000002E-3</v>
      </c>
      <c r="E44" s="12">
        <v>3.135682545E-2</v>
      </c>
      <c r="F44" s="12">
        <v>0.15888480399999999</v>
      </c>
    </row>
    <row r="45" spans="1:6" x14ac:dyDescent="0.35">
      <c r="B45" t="s">
        <v>78</v>
      </c>
      <c r="C45" s="12">
        <v>5.0098002000000003E-2</v>
      </c>
      <c r="D45" s="12">
        <v>3.651212E-3</v>
      </c>
      <c r="E45" s="12">
        <v>2.9920830550000003E-2</v>
      </c>
      <c r="F45" s="12">
        <v>6.7514601500000007E-2</v>
      </c>
    </row>
    <row r="46" spans="1:6" x14ac:dyDescent="0.35">
      <c r="A46" t="s">
        <v>87</v>
      </c>
      <c r="B46" t="s">
        <v>88</v>
      </c>
      <c r="C46" s="12">
        <v>5.1444333000000002E-2</v>
      </c>
      <c r="D46" s="12">
        <v>2.7723345999999996E-2</v>
      </c>
      <c r="E46" s="13">
        <v>0.55714110556222352</v>
      </c>
      <c r="F46" s="12">
        <v>0.34588382230000003</v>
      </c>
    </row>
    <row r="47" spans="1:6" x14ac:dyDescent="0.35">
      <c r="B47" t="s">
        <v>92</v>
      </c>
      <c r="C47" s="12">
        <v>0.27418075679474441</v>
      </c>
      <c r="D47" s="12">
        <v>6.6868086900000012E-2</v>
      </c>
      <c r="E47" s="13">
        <v>0.74984008047066808</v>
      </c>
      <c r="F47" s="13">
        <v>3.348124987943796</v>
      </c>
    </row>
    <row r="48" spans="1:6" x14ac:dyDescent="0.35">
      <c r="B48" t="s">
        <v>98</v>
      </c>
      <c r="C48" s="12">
        <v>3.2549019999999996E-3</v>
      </c>
      <c r="D48" s="12">
        <v>5.1048835149999999E-2</v>
      </c>
      <c r="E48" s="13">
        <v>1.1027782852833328</v>
      </c>
      <c r="F48" s="12">
        <v>0.47413208331180534</v>
      </c>
    </row>
    <row r="49" spans="1:6" x14ac:dyDescent="0.35">
      <c r="B49" t="s">
        <v>103</v>
      </c>
      <c r="C49" s="12">
        <v>0.34688721703680597</v>
      </c>
      <c r="D49" s="12">
        <v>4.0329160000000003E-2</v>
      </c>
      <c r="E49" s="13">
        <v>0.98179282213569574</v>
      </c>
      <c r="F49" s="13">
        <v>2.4227591856465533</v>
      </c>
    </row>
    <row r="50" spans="1:6" x14ac:dyDescent="0.35">
      <c r="A50" t="s">
        <v>107</v>
      </c>
      <c r="B50" t="s">
        <v>108</v>
      </c>
      <c r="C50" s="13">
        <v>1.4835519574827791</v>
      </c>
      <c r="D50" s="13">
        <v>0.5251609087617064</v>
      </c>
      <c r="E50" s="12">
        <v>0.40248526137212021</v>
      </c>
      <c r="F50" s="12">
        <v>7.5341796799975991E-2</v>
      </c>
    </row>
  </sheetData>
  <pageMargins left="0.75" right="0.75" top="0.75" bottom="0.5" header="0.5" footer="0.7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2026-05-13T20:51:20Z</dcterms:created>
  <dcterms:modified xsi:type="dcterms:W3CDTF">2026-05-13T22:12:28Z</dcterms:modified>
</cp:coreProperties>
</file>