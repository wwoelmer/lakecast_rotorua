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R\Downloads\"/>
    </mc:Choice>
  </mc:AlternateContent>
  <xr:revisionPtr revIDLastSave="0" documentId="8_{7F033BC4-B5CE-49D1-8C1F-69C185CE10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162" r:id="rId5"/>
    <pivotCache cacheId="169" r:id="rId6"/>
    <pivotCache cacheId="175" r:id="rId7"/>
  </pivotCaches>
</workbook>
</file>

<file path=xl/sharedStrings.xml><?xml version="1.0" encoding="utf-8"?>
<sst xmlns="http://schemas.openxmlformats.org/spreadsheetml/2006/main" count="804" uniqueCount="155">
  <si>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</si>
  <si>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</si>
  <si>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</si>
  <si>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</si>
  <si>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</si>
  <si>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</si>
  <si>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</si>
  <si>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</si>
  <si>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</si>
  <si>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</si>
  <si>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</si>
  <si>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</si>
  <si>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</si>
  <si>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</si>
  <si>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</si>
  <si>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</si>
  <si>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5576.1</t>
  </si>
  <si>
    <t>Kaituna</t>
  </si>
  <si>
    <t>Trout Pool</t>
  </si>
  <si>
    <t>14/04/2025</t>
  </si>
  <si>
    <t>20A</t>
  </si>
  <si>
    <t>Whole Plate</t>
  </si>
  <si>
    <t>Aphanocapsa holsatica</t>
  </si>
  <si>
    <t>5576.2</t>
  </si>
  <si>
    <t>Aphanocapsa delicatissima</t>
  </si>
  <si>
    <t>5576.3</t>
  </si>
  <si>
    <t>Microcystis sp. (large)</t>
  </si>
  <si>
    <t xml:space="preserve">Microcystis spp.
</t>
  </si>
  <si>
    <t>5576.4</t>
  </si>
  <si>
    <t>Pseudanabaena mucicola (rod)</t>
  </si>
  <si>
    <t>5576.5</t>
  </si>
  <si>
    <t>Dolichospermum planctonicum </t>
  </si>
  <si>
    <t>5576.6</t>
  </si>
  <si>
    <t>Pseudanabaena galeata (cylinder)</t>
  </si>
  <si>
    <t>5576.7</t>
  </si>
  <si>
    <t>Phormidium sp</t>
  </si>
  <si>
    <t>5576.8</t>
  </si>
  <si>
    <t>Dolichospermum circinale</t>
  </si>
  <si>
    <t>5576.9</t>
  </si>
  <si>
    <t>Microcystis aeruginosa</t>
  </si>
  <si>
    <t>5576.10</t>
  </si>
  <si>
    <t>Pseudanabaena limnetica (cylinder)</t>
  </si>
  <si>
    <t>5576.11</t>
  </si>
  <si>
    <t>Microcystis wesenbergii</t>
  </si>
  <si>
    <t>5576.12</t>
  </si>
  <si>
    <t>Dolichospermum lemmermannii</t>
  </si>
  <si>
    <t>5576.13</t>
  </si>
  <si>
    <t>Oscillatoria sp</t>
  </si>
  <si>
    <t>5563.4</t>
  </si>
  <si>
    <t>Rotoehu</t>
  </si>
  <si>
    <t>Kennedy Bay</t>
  </si>
  <si>
    <t>160</t>
  </si>
  <si>
    <t>5563.5</t>
  </si>
  <si>
    <t>5565.4</t>
  </si>
  <si>
    <t>Otautu</t>
  </si>
  <si>
    <t>5565.5</t>
  </si>
  <si>
    <t>5565.6</t>
  </si>
  <si>
    <t>Dolichospermum sp</t>
  </si>
  <si>
    <t>5565.7</t>
  </si>
  <si>
    <t>5565.8</t>
  </si>
  <si>
    <t>Coelosphaerium kuetzingianum</t>
  </si>
  <si>
    <t>5577.1</t>
  </si>
  <si>
    <t>Rotoiti</t>
  </si>
  <si>
    <t>Hinehopu</t>
  </si>
  <si>
    <t>5577.2</t>
  </si>
  <si>
    <t>5577.3</t>
  </si>
  <si>
    <t>5564.4</t>
  </si>
  <si>
    <t>Okawa Bay</t>
  </si>
  <si>
    <t>5564.5</t>
  </si>
  <si>
    <t>5564.6</t>
  </si>
  <si>
    <t>5580.1</t>
  </si>
  <si>
    <t>Okere Arm</t>
  </si>
  <si>
    <t>5580.2</t>
  </si>
  <si>
    <t>5580.3</t>
  </si>
  <si>
    <t>5580.4</t>
  </si>
  <si>
    <t>5580.5</t>
  </si>
  <si>
    <t>5580.6</t>
  </si>
  <si>
    <t>5580.7</t>
  </si>
  <si>
    <t>5580.8</t>
  </si>
  <si>
    <t>5580.9</t>
  </si>
  <si>
    <t>Limnothrix cf planktonica</t>
  </si>
  <si>
    <t>5568.4</t>
  </si>
  <si>
    <t>Otaramarae</t>
  </si>
  <si>
    <t>5568.5</t>
  </si>
  <si>
    <t>5568.6</t>
  </si>
  <si>
    <t>5568.7</t>
  </si>
  <si>
    <t>5568.8</t>
  </si>
  <si>
    <t>5568.9</t>
  </si>
  <si>
    <t>5568.10</t>
  </si>
  <si>
    <t>5568.11</t>
  </si>
  <si>
    <t>Dolichospermum spiroides</t>
  </si>
  <si>
    <t>5575.1</t>
  </si>
  <si>
    <t>Te Weta</t>
  </si>
  <si>
    <t>5575.2</t>
  </si>
  <si>
    <t>5575.3</t>
  </si>
  <si>
    <t>5575.4</t>
  </si>
  <si>
    <t>5575.5</t>
  </si>
  <si>
    <t>5575.6</t>
  </si>
  <si>
    <t>5575.7</t>
  </si>
  <si>
    <t>5575.8</t>
  </si>
  <si>
    <t>5575.9</t>
  </si>
  <si>
    <t>5579.1</t>
  </si>
  <si>
    <t>Rotorua</t>
  </si>
  <si>
    <t>Hamurana</t>
  </si>
  <si>
    <t>5579.2</t>
  </si>
  <si>
    <t>5579.3</t>
  </si>
  <si>
    <t>5566.9</t>
  </si>
  <si>
    <t>Holdens Bay</t>
  </si>
  <si>
    <t>5566.10</t>
  </si>
  <si>
    <t>5578.1</t>
  </si>
  <si>
    <t>Ngongotaha</t>
  </si>
  <si>
    <t>5578.2</t>
  </si>
  <si>
    <t>5578.3</t>
  </si>
  <si>
    <t>5578.4</t>
  </si>
  <si>
    <t>5581.1</t>
  </si>
  <si>
    <t>Ohau Channel</t>
  </si>
  <si>
    <t>5581.2</t>
  </si>
  <si>
    <t>5581.3</t>
  </si>
  <si>
    <t>5581.4</t>
  </si>
  <si>
    <t>5581.5</t>
  </si>
  <si>
    <t>5567.1</t>
  </si>
  <si>
    <t>Lake Okaro</t>
  </si>
  <si>
    <t>Boat ramp</t>
  </si>
  <si>
    <t>5567.10</t>
  </si>
  <si>
    <t>Woronichinia naegeliana</t>
  </si>
  <si>
    <t>5567.11</t>
  </si>
  <si>
    <t>5567.12</t>
  </si>
  <si>
    <t>5567.13</t>
  </si>
  <si>
    <t>5567.14</t>
  </si>
  <si>
    <t>5567.15</t>
  </si>
  <si>
    <t>5567.16</t>
  </si>
  <si>
    <t>5567.17</t>
  </si>
  <si>
    <t>5567.18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</si>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</sst>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64.656584375" refreshedVersion="8" recordCount="76" xr:uid="{00000000-000A-0000-FFFF-FFFF02000000}">
  <cacheSource type="worksheet">
    <worksheetSource ref="A1:P77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14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305.066666666667"/>
    </cacheField>
    <cacheField name="NumberOfColonies" numFmtId="0">
      <sharedItems containsString="0" containsBlank="1" containsNumber="1" containsInteger="1" minValue="6" maxValue="951"/>
    </cacheField>
    <cacheField name="CellsPerMl" numFmtId="0">
      <sharedItems containsSemiMixedTypes="0" containsString="0" containsNumber="1" minValue="0.4" maxValue="14588.949180555601"/>
    </cacheField>
    <cacheField name="TotalBioVolume" numFmtId="0">
      <sharedItems containsSemiMixedTypes="0" containsString="0" containsNumber="1" minValue="0" maxValue="0.92220549731250001"/>
    </cacheField>
    <cacheField name="PotentiallyToxicCellMl" numFmtId="0">
      <sharedItems containsSemiMixedTypes="0" containsString="0" containsNumber="1" minValue="0" maxValue="10600.0631875"/>
    </cacheField>
    <cacheField name="PotentiallyToxicBioVolume" numFmtId="0">
      <sharedItems containsSemiMixedTypes="0" containsString="0" containsNumber="1" minValue="0" maxValue="0.922205497312500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64.656584722223" refreshedVersion="8" recordCount="16" xr:uid="{00000000-000A-0000-FFFF-FFFF01000000}">
  <cacheSource type="worksheet">
    <worksheetSource ref="A1:P17" sheet="Toxin Data"/>
  </cacheSource>
  <cacheFields count="16">
    <cacheField name="SampleId" numFmtId="0">
      <sharedItems/>
    </cacheField>
    <cacheField name="Location" numFmtId="0">
      <sharedItems count="4">
        <s v="Kaituna"/>
        <s v="Rotoehu"/>
        <s v="Rotoiti"/>
        <s v="Rotorua"/>
      </sharedItems>
    </cacheField>
    <cacheField name="Site" numFmtId="0">
      <sharedItems count="9">
        <s v="Trout Pool"/>
        <s v="Kennedy Bay"/>
        <s v="Otautu"/>
        <s v="Okere Arm"/>
        <s v="Otaramarae"/>
        <s v="Te Weta"/>
        <s v="Hamurana"/>
        <s v="Ngongotaha"/>
        <s v="Ohau Channel"/>
      </sharedItems>
    </cacheField>
    <cacheField name="SampleDate" numFmtId="0">
      <sharedItems count="1">
        <s v="14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7" maxValue="186.2"/>
    </cacheField>
    <cacheField name="NumberOfColonies" numFmtId="0">
      <sharedItems containsString="0" containsBlank="1" containsNumber="1" containsInteger="1" minValue="52" maxValue="306"/>
    </cacheField>
    <cacheField name="CellsPerMl" numFmtId="0">
      <sharedItems containsSemiMixedTypes="0" containsString="0" containsNumber="1" minValue="0.7" maxValue="10600.0631875"/>
    </cacheField>
    <cacheField name="TotalBioVolume" numFmtId="0">
      <sharedItems containsSemiMixedTypes="0" containsString="0" containsNumber="1" minValue="6.5141999999999994E-5" maxValue="0.92220549731250001"/>
    </cacheField>
    <cacheField name="PotentiallyToxicCellMl" numFmtId="0">
      <sharedItems containsSemiMixedTypes="0" containsString="0" containsNumber="1" minValue="0.7" maxValue="10600.0631875"/>
    </cacheField>
    <cacheField name="PotentiallyToxicBioVolume" numFmtId="0">
      <sharedItems containsSemiMixedTypes="0" containsString="0" containsNumber="1" minValue="6.5141999999999994E-5" maxValue="0.92220549731250001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64.656584837961" refreshedVersion="8" recordCount="76" xr:uid="{00000000-000A-0000-FFFF-FFFF00000000}">
  <cacheSource type="worksheet">
    <worksheetSource ref="A1:P77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14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305.066666666667"/>
    </cacheField>
    <cacheField name="NumberOfColonies" numFmtId="0">
      <sharedItems containsString="0" containsBlank="1" containsNumber="1" containsInteger="1" minValue="6" maxValue="951"/>
    </cacheField>
    <cacheField name="CellsPerMl" numFmtId="0">
      <sharedItems containsSemiMixedTypes="0" containsString="0" containsNumber="1" minValue="0.4" maxValue="14588.949180555601"/>
    </cacheField>
    <cacheField name="TotalBioVolume" numFmtId="0">
      <sharedItems containsSemiMixedTypes="0" containsString="0" containsNumber="1" minValue="0" maxValue="0.92220549731250001"/>
    </cacheField>
    <cacheField name="PotentiallyToxicCellMl" numFmtId="0">
      <sharedItems containsSemiMixedTypes="0" containsString="0" containsNumber="1" minValue="0" maxValue="10600.0631875"/>
    </cacheField>
    <cacheField name="PotentiallyToxicBioVolume" numFmtId="0">
      <sharedItems containsSemiMixedTypes="0" containsString="0" containsNumber="1" minValue="0" maxValue="0.922205497312500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5576.1"/>
    <x v="0"/>
    <x v="0"/>
    <x v="0"/>
    <s v="20A"/>
    <s v="Whole Plate"/>
    <s v="Aphanocapsa holsatica"/>
    <b v="0"/>
    <n v="10"/>
    <n v="18.399999999999999"/>
    <n v="99"/>
    <n v="218.96"/>
    <n v="1.0948E-4"/>
    <n v="0"/>
    <n v="0"/>
    <m/>
  </r>
  <r>
    <s v="5576.2"/>
    <x v="0"/>
    <x v="0"/>
    <x v="0"/>
    <s v="20A"/>
    <s v="Whole Plate"/>
    <s v="Aphanocapsa delicatissima"/>
    <b v="0"/>
    <n v="10"/>
    <n v="92.181818181818201"/>
    <m/>
    <n v="101.4"/>
    <n v="1.0139999999999999E-5"/>
    <n v="0"/>
    <n v="0"/>
    <m/>
  </r>
  <r>
    <s v="5576.3"/>
    <x v="0"/>
    <x v="0"/>
    <x v="0"/>
    <s v="20A"/>
    <s v="Whole Plate"/>
    <s v="Microcystis sp. (large)"/>
    <b v="1"/>
    <n v="10"/>
    <n v="16.6666666666667"/>
    <m/>
    <n v="5"/>
    <n v="4.6529999999999998E-4"/>
    <n v="5"/>
    <n v="4.6529999999999998E-4"/>
    <s v="Microcystis spp._x000a_"/>
  </r>
  <r>
    <s v="5576.4"/>
    <x v="0"/>
    <x v="0"/>
    <x v="0"/>
    <s v="20A"/>
    <s v="Whole Plate"/>
    <s v="Pseudanabaena mucicola (rod)"/>
    <b v="0"/>
    <n v="10"/>
    <n v="7"/>
    <m/>
    <n v="1.4"/>
    <n v="6.4399999999999993E-5"/>
    <n v="0"/>
    <n v="0"/>
    <m/>
  </r>
  <r>
    <s v="5576.5"/>
    <x v="0"/>
    <x v="0"/>
    <x v="0"/>
    <s v="20A"/>
    <s v="Whole Plate"/>
    <s v="Dolichospermum planctonicum "/>
    <b v="1"/>
    <n v="10"/>
    <n v="23.5"/>
    <m/>
    <n v="18.8"/>
    <n v="6.9560000000000004E-3"/>
    <n v="18.8"/>
    <n v="6.9560000000000004E-3"/>
    <m/>
  </r>
  <r>
    <s v="5576.6"/>
    <x v="0"/>
    <x v="0"/>
    <x v="0"/>
    <s v="20A"/>
    <s v="Whole Plate"/>
    <s v="Pseudanabaena galeata (cylinder)"/>
    <b v="1"/>
    <n v="10"/>
    <n v="4"/>
    <m/>
    <n v="0.4"/>
    <n v="2.4000000000000001E-5"/>
    <n v="0.4"/>
    <n v="2.4000000000000001E-5"/>
    <m/>
  </r>
  <r>
    <s v="5576.7"/>
    <x v="0"/>
    <x v="0"/>
    <x v="0"/>
    <s v="20A"/>
    <s v="Whole Plate"/>
    <s v="Phormidium sp"/>
    <b v="1"/>
    <n v="10"/>
    <n v="30.5"/>
    <m/>
    <n v="6.1"/>
    <n v="5.6937399999999999E-4"/>
    <n v="6.1"/>
    <n v="5.6937399999999999E-4"/>
    <m/>
  </r>
  <r>
    <s v="5576.8"/>
    <x v="0"/>
    <x v="0"/>
    <x v="0"/>
    <s v="20A"/>
    <s v="Whole Plate"/>
    <s v="Dolichospermum circinale"/>
    <b v="1"/>
    <n v="10"/>
    <n v="18.5"/>
    <m/>
    <n v="3.7"/>
    <n v="2.129868E-3"/>
    <n v="3.7"/>
    <n v="2.129868E-3"/>
    <m/>
  </r>
  <r>
    <s v="5576.9"/>
    <x v="0"/>
    <x v="0"/>
    <x v="0"/>
    <s v="20A"/>
    <s v="Whole Plate"/>
    <s v="Microcystis aeruginosa"/>
    <b v="1"/>
    <n v="10"/>
    <n v="14.75"/>
    <m/>
    <n v="5.9"/>
    <n v="5.1329999999999995E-4"/>
    <n v="5.9"/>
    <n v="5.1329999999999995E-4"/>
    <s v="Microcystis spp._x000a_"/>
  </r>
  <r>
    <s v="5576.10"/>
    <x v="0"/>
    <x v="0"/>
    <x v="0"/>
    <s v="20A"/>
    <s v="Whole Plate"/>
    <s v="Pseudanabaena limnetica (cylinder)"/>
    <b v="1"/>
    <n v="10"/>
    <n v="25"/>
    <m/>
    <n v="2.5"/>
    <n v="1.975E-4"/>
    <n v="2.5"/>
    <n v="1.975E-4"/>
    <m/>
  </r>
  <r>
    <s v="5576.11"/>
    <x v="0"/>
    <x v="0"/>
    <x v="0"/>
    <s v="20A"/>
    <s v="Whole Plate"/>
    <s v="Microcystis wesenbergii"/>
    <b v="1"/>
    <n v="10"/>
    <n v="60.4"/>
    <m/>
    <n v="30.2"/>
    <n v="5.7479660000000002E-3"/>
    <n v="30.2"/>
    <n v="5.7479660000000002E-3"/>
    <s v="Microcystis spp._x000a_"/>
  </r>
  <r>
    <s v="5576.12"/>
    <x v="0"/>
    <x v="0"/>
    <x v="0"/>
    <s v="20A"/>
    <s v="Whole Plate"/>
    <s v="Dolichospermum lemmermannii"/>
    <b v="1"/>
    <n v="10"/>
    <n v="30"/>
    <m/>
    <n v="12"/>
    <n v="1.32E-3"/>
    <n v="12"/>
    <n v="1.32E-3"/>
    <m/>
  </r>
  <r>
    <s v="5576.13"/>
    <x v="0"/>
    <x v="0"/>
    <x v="0"/>
    <s v="20A"/>
    <s v="Whole Plate"/>
    <s v="Oscillatoria sp"/>
    <b v="1"/>
    <n v="10"/>
    <n v="52"/>
    <m/>
    <n v="5.2"/>
    <n v="1.40634E-2"/>
    <n v="5.2"/>
    <n v="1.40634E-2"/>
    <m/>
  </r>
  <r>
    <s v="5563.4"/>
    <x v="1"/>
    <x v="1"/>
    <x v="0"/>
    <s v="20A"/>
    <s v="160"/>
    <s v="Microcystis aeruginosa"/>
    <b v="1"/>
    <n v="10"/>
    <n v="10.35"/>
    <n v="306"/>
    <n v="10600.0631875"/>
    <n v="0.92220549731250001"/>
    <n v="10600.0631875"/>
    <n v="0.92220549731250001"/>
    <s v="Microcystis spp._x000a_"/>
  </r>
  <r>
    <s v="5563.5"/>
    <x v="1"/>
    <x v="1"/>
    <x v="0"/>
    <s v="20A"/>
    <s v="160"/>
    <s v="Pseudanabaena limnetica (cylinder)"/>
    <b v="1"/>
    <n v="10"/>
    <n v="13"/>
    <m/>
    <n v="40.840763888888901"/>
    <n v="3.22642034722222E-3"/>
    <n v="40.840763888888901"/>
    <n v="3.22642034722222E-3"/>
    <m/>
  </r>
  <r>
    <s v="5565.4"/>
    <x v="1"/>
    <x v="2"/>
    <x v="0"/>
    <s v="20A"/>
    <s v="160"/>
    <s v="Microcystis aeruginosa"/>
    <b v="1"/>
    <n v="10"/>
    <n v="15.55"/>
    <n v="52"/>
    <n v="3517.3322499999999"/>
    <n v="0.30600790574999998"/>
    <n v="3517.3322499999999"/>
    <n v="0.30600790574999998"/>
    <s v="Microcystis spp._x000a_"/>
  </r>
  <r>
    <s v="5565.5"/>
    <x v="1"/>
    <x v="2"/>
    <x v="0"/>
    <s v="20A"/>
    <s v="160"/>
    <s v="Oscillatoria sp"/>
    <b v="1"/>
    <n v="10"/>
    <n v="41"/>
    <m/>
    <n v="128.80548611111101"/>
    <n v="0.34835443718749998"/>
    <n v="128.80548611111101"/>
    <n v="0.34835443718749998"/>
    <m/>
  </r>
  <r>
    <s v="5565.6"/>
    <x v="1"/>
    <x v="2"/>
    <x v="0"/>
    <s v="20A"/>
    <s v="160"/>
    <s v="Dolichospermum sp"/>
    <b v="1"/>
    <n v="10"/>
    <n v="37"/>
    <m/>
    <n v="116.239097222222"/>
    <n v="2.20854284722222E-2"/>
    <n v="116.239097222222"/>
    <n v="2.20854284722222E-2"/>
    <m/>
  </r>
  <r>
    <s v="5565.7"/>
    <x v="1"/>
    <x v="2"/>
    <x v="0"/>
    <s v="20A"/>
    <s v="160"/>
    <s v="Pseudanabaena limnetica (cylinder)"/>
    <b v="1"/>
    <n v="10"/>
    <n v="23"/>
    <m/>
    <n v="144.51347222222199"/>
    <n v="1.14165643055555E-2"/>
    <n v="144.51347222222199"/>
    <n v="1.14165643055555E-2"/>
    <m/>
  </r>
  <r>
    <s v="5565.8"/>
    <x v="1"/>
    <x v="2"/>
    <x v="0"/>
    <s v="20A"/>
    <s v="160"/>
    <s v="Coelosphaerium kuetzingianum"/>
    <b v="0"/>
    <n v="10"/>
    <n v="34"/>
    <m/>
    <n v="106.814305555556"/>
    <n v="9.4957917638889295E-4"/>
    <n v="0"/>
    <n v="0"/>
    <m/>
  </r>
  <r>
    <s v="5577.1"/>
    <x v="2"/>
    <x v="3"/>
    <x v="0"/>
    <s v="20A"/>
    <s v="160"/>
    <s v="Aphanocapsa holsatica"/>
    <b v="0"/>
    <n v="10"/>
    <n v="21.4"/>
    <n v="197"/>
    <n v="14588.949180555601"/>
    <n v="7.2944745902778002E-3"/>
    <n v="0"/>
    <n v="0"/>
    <m/>
  </r>
  <r>
    <s v="5577.2"/>
    <x v="2"/>
    <x v="3"/>
    <x v="0"/>
    <s v="20A"/>
    <s v="160"/>
    <s v="Aphanocapsa delicatissima"/>
    <b v="0"/>
    <n v="10"/>
    <n v="280"/>
    <m/>
    <n v="879.64722222222201"/>
    <n v="8.7964722222222199E-5"/>
    <n v="0"/>
    <n v="0"/>
    <m/>
  </r>
  <r>
    <s v="5577.3"/>
    <x v="2"/>
    <x v="3"/>
    <x v="0"/>
    <s v="20A"/>
    <s v="160"/>
    <s v="Dolichospermum planctonicum "/>
    <b v="1"/>
    <n v="10"/>
    <n v="13"/>
    <m/>
    <n v="40.840763888888901"/>
    <n v="1.51110826388889E-2"/>
    <n v="40.840763888888901"/>
    <n v="1.51110826388889E-2"/>
    <m/>
  </r>
  <r>
    <s v="5564.4"/>
    <x v="2"/>
    <x v="4"/>
    <x v="0"/>
    <s v="20A"/>
    <s v="160"/>
    <s v="Dolichospermum lemmermannii"/>
    <b v="1"/>
    <n v="10"/>
    <n v="13.363636363636401"/>
    <m/>
    <n v="461.81479166666702"/>
    <n v="5.0799627083333403E-2"/>
    <n v="461.81479166666702"/>
    <n v="5.0799627083333403E-2"/>
    <m/>
  </r>
  <r>
    <s v="5564.5"/>
    <x v="2"/>
    <x v="4"/>
    <x v="0"/>
    <s v="20A"/>
    <s v="160"/>
    <s v="Aphanocapsa holsatica"/>
    <b v="0"/>
    <n v="10"/>
    <n v="5.3333333333333304"/>
    <m/>
    <n v="50.265555555555601"/>
    <n v="2.51327777777778E-5"/>
    <n v="0"/>
    <n v="0"/>
    <m/>
  </r>
  <r>
    <s v="5564.6"/>
    <x v="2"/>
    <x v="4"/>
    <x v="0"/>
    <s v="20A"/>
    <s v="160"/>
    <s v="Aphanocapsa delicatissima"/>
    <b v="0"/>
    <n v="10"/>
    <n v="107"/>
    <m/>
    <n v="672.30180555555501"/>
    <n v="6.7230180555555606E-5"/>
    <n v="0"/>
    <n v="0"/>
    <m/>
  </r>
  <r>
    <s v="5580.1"/>
    <x v="2"/>
    <x v="5"/>
    <x v="0"/>
    <s v="20A"/>
    <s v="Whole Plate"/>
    <s v="Aphanocapsa holsatica"/>
    <b v="0"/>
    <n v="10"/>
    <n v="42.9"/>
    <n v="191"/>
    <n v="905.19"/>
    <n v="4.5259500000000003E-4"/>
    <n v="0"/>
    <n v="0"/>
    <m/>
  </r>
  <r>
    <s v="5580.2"/>
    <x v="2"/>
    <x v="5"/>
    <x v="0"/>
    <s v="20A"/>
    <s v="Whole Plate"/>
    <s v="Microcystis wesenbergii"/>
    <b v="1"/>
    <n v="10"/>
    <n v="37"/>
    <m/>
    <n v="33.299999999999997"/>
    <n v="6.3379889999999996E-3"/>
    <n v="33.299999999999997"/>
    <n v="6.3379889999999996E-3"/>
    <s v="Microcystis spp._x000a_"/>
  </r>
  <r>
    <s v="5580.3"/>
    <x v="2"/>
    <x v="5"/>
    <x v="0"/>
    <s v="20A"/>
    <s v="Whole Plate"/>
    <s v="Microcystis sp. (large)"/>
    <b v="1"/>
    <n v="10"/>
    <n v="7"/>
    <m/>
    <n v="0.7"/>
    <n v="6.5141999999999994E-5"/>
    <n v="0.7"/>
    <n v="6.5141999999999994E-5"/>
    <s v="Microcystis spp._x000a_"/>
  </r>
  <r>
    <s v="5580.4"/>
    <x v="2"/>
    <x v="5"/>
    <x v="0"/>
    <s v="20A"/>
    <s v="Whole Plate"/>
    <s v="Pseudanabaena mucicola (rod)"/>
    <b v="0"/>
    <n v="10"/>
    <n v="22.6666666666667"/>
    <m/>
    <n v="6.8"/>
    <n v="3.1280000000000001E-4"/>
    <n v="0"/>
    <n v="0"/>
    <m/>
  </r>
  <r>
    <s v="5580.5"/>
    <x v="2"/>
    <x v="5"/>
    <x v="0"/>
    <s v="20A"/>
    <s v="Whole Plate"/>
    <s v="Dolichospermum planctonicum "/>
    <b v="1"/>
    <n v="10"/>
    <n v="42.25"/>
    <m/>
    <n v="16.899999999999999"/>
    <n v="6.2529999999999999E-3"/>
    <n v="16.899999999999999"/>
    <n v="6.2529999999999999E-3"/>
    <m/>
  </r>
  <r>
    <s v="5580.6"/>
    <x v="2"/>
    <x v="5"/>
    <x v="0"/>
    <s v="20A"/>
    <s v="Whole Plate"/>
    <s v="Phormidium sp"/>
    <b v="1"/>
    <n v="10"/>
    <n v="27"/>
    <m/>
    <n v="5.4"/>
    <n v="5.0403600000000002E-4"/>
    <n v="5.4"/>
    <n v="5.0403600000000002E-4"/>
    <m/>
  </r>
  <r>
    <s v="5580.7"/>
    <x v="2"/>
    <x v="5"/>
    <x v="0"/>
    <s v="20A"/>
    <s v="Whole Plate"/>
    <s v="Dolichospermum lemmermannii"/>
    <b v="1"/>
    <n v="10"/>
    <n v="180.25"/>
    <m/>
    <n v="72.099999999999994"/>
    <n v="7.9310000000000005E-3"/>
    <n v="72.099999999999994"/>
    <n v="7.9310000000000005E-3"/>
    <m/>
  </r>
  <r>
    <s v="5580.8"/>
    <x v="2"/>
    <x v="5"/>
    <x v="0"/>
    <s v="20A"/>
    <s v="Whole Plate"/>
    <s v="Aphanocapsa delicatissima"/>
    <b v="0"/>
    <n v="10"/>
    <n v="95"/>
    <m/>
    <n v="47.5"/>
    <n v="4.7500000000000003E-6"/>
    <n v="0"/>
    <n v="0"/>
    <m/>
  </r>
  <r>
    <s v="5580.9"/>
    <x v="2"/>
    <x v="5"/>
    <x v="0"/>
    <s v="20A"/>
    <s v="Whole Plate"/>
    <s v="Limnothrix cf planktonica"/>
    <b v="0"/>
    <n v="10"/>
    <n v="63"/>
    <m/>
    <n v="6.3"/>
    <n v="9.8909999999999992E-4"/>
    <n v="0"/>
    <n v="0"/>
    <m/>
  </r>
  <r>
    <s v="5568.4"/>
    <x v="2"/>
    <x v="6"/>
    <x v="0"/>
    <s v="20A"/>
    <s v="Whole Plate"/>
    <s v="Aphanocapsa holsatica"/>
    <b v="0"/>
    <n v="10"/>
    <n v="38.950000000000003"/>
    <n v="951"/>
    <n v="3782.0450000000001"/>
    <n v="1.8910225E-3"/>
    <n v="0"/>
    <n v="0"/>
    <m/>
  </r>
  <r>
    <s v="5568.5"/>
    <x v="2"/>
    <x v="6"/>
    <x v="0"/>
    <s v="20A"/>
    <s v="Whole Plate"/>
    <s v="Aphanocapsa delicatissima"/>
    <b v="0"/>
    <n v="10"/>
    <n v="94.625"/>
    <m/>
    <n v="75.7"/>
    <n v="7.5700000000000004E-6"/>
    <n v="0"/>
    <n v="0"/>
    <m/>
  </r>
  <r>
    <s v="5568.6"/>
    <x v="2"/>
    <x v="6"/>
    <x v="0"/>
    <s v="20A"/>
    <s v="Whole Plate"/>
    <s v="Dolichospermum planctonicum "/>
    <b v="1"/>
    <n v="10"/>
    <n v="35.285714285714299"/>
    <m/>
    <n v="24.7"/>
    <n v="9.1389999999999996E-3"/>
    <n v="24.7"/>
    <n v="9.1389999999999996E-3"/>
    <m/>
  </r>
  <r>
    <s v="5568.7"/>
    <x v="2"/>
    <x v="6"/>
    <x v="0"/>
    <s v="20A"/>
    <s v="Whole Plate"/>
    <s v="Microcystis aeruginosa"/>
    <b v="1"/>
    <n v="10"/>
    <n v="28.928571428571399"/>
    <m/>
    <n v="40.5"/>
    <n v="3.5235000000000002E-3"/>
    <n v="40.5"/>
    <n v="3.5235000000000002E-3"/>
    <s v="Microcystis spp._x000a_"/>
  </r>
  <r>
    <s v="5568.8"/>
    <x v="2"/>
    <x v="6"/>
    <x v="0"/>
    <s v="20A"/>
    <s v="Whole Plate"/>
    <s v="Microcystis wesenbergii"/>
    <b v="1"/>
    <n v="10"/>
    <n v="29.5"/>
    <m/>
    <n v="17.7"/>
    <n v="3.368841E-3"/>
    <n v="17.7"/>
    <n v="3.368841E-3"/>
    <s v="Microcystis spp._x000a_"/>
  </r>
  <r>
    <s v="5568.9"/>
    <x v="2"/>
    <x v="6"/>
    <x v="0"/>
    <s v="20A"/>
    <s v="Whole Plate"/>
    <s v="Pseudanabaena mucicola (rod)"/>
    <b v="0"/>
    <n v="10"/>
    <n v="31.5"/>
    <m/>
    <n v="6.3"/>
    <n v="2.898E-4"/>
    <n v="0"/>
    <n v="0"/>
    <m/>
  </r>
  <r>
    <s v="5568.10"/>
    <x v="2"/>
    <x v="6"/>
    <x v="0"/>
    <s v="20A"/>
    <s v="Whole Plate"/>
    <s v="Phormidium sp"/>
    <b v="1"/>
    <n v="10"/>
    <n v="59.5"/>
    <m/>
    <n v="23.8"/>
    <n v="2.2214919999999998E-3"/>
    <n v="23.8"/>
    <n v="2.2214919999999998E-3"/>
    <m/>
  </r>
  <r>
    <s v="5568.11"/>
    <x v="2"/>
    <x v="6"/>
    <x v="0"/>
    <s v="20A"/>
    <s v="Whole Plate"/>
    <s v="Dolichospermum spiroides"/>
    <b v="1"/>
    <n v="10"/>
    <n v="10"/>
    <m/>
    <n v="1"/>
    <n v="2.5999999999999998E-4"/>
    <n v="1"/>
    <n v="2.5999999999999998E-4"/>
    <m/>
  </r>
  <r>
    <s v="5575.1"/>
    <x v="2"/>
    <x v="7"/>
    <x v="0"/>
    <s v="20A"/>
    <s v="Whole Plate"/>
    <s v="Aphanocapsa holsatica"/>
    <b v="0"/>
    <n v="10"/>
    <n v="27.9"/>
    <n v="230"/>
    <n v="697.5"/>
    <n v="3.4874999999999999E-4"/>
    <n v="0"/>
    <n v="0"/>
    <m/>
  </r>
  <r>
    <s v="5575.2"/>
    <x v="2"/>
    <x v="7"/>
    <x v="0"/>
    <s v="20A"/>
    <s v="Whole Plate"/>
    <s v="Dolichospermum planctonicum "/>
    <b v="1"/>
    <n v="10"/>
    <n v="25.842105263157901"/>
    <m/>
    <n v="49.1"/>
    <n v="1.8166999999999999E-2"/>
    <n v="49.1"/>
    <n v="1.8166999999999999E-2"/>
    <m/>
  </r>
  <r>
    <s v="5575.3"/>
    <x v="2"/>
    <x v="7"/>
    <x v="0"/>
    <s v="20A"/>
    <s v="Whole Plate"/>
    <s v="Aphanocapsa delicatissima"/>
    <b v="0"/>
    <n v="10"/>
    <n v="143.058823529412"/>
    <m/>
    <n v="243.2"/>
    <n v="2.4320000000000001E-5"/>
    <n v="0"/>
    <n v="0"/>
    <m/>
  </r>
  <r>
    <s v="5575.4"/>
    <x v="2"/>
    <x v="7"/>
    <x v="0"/>
    <s v="20A"/>
    <s v="Whole Plate"/>
    <s v="Microcystis sp. (large)"/>
    <b v="1"/>
    <n v="10"/>
    <n v="19.6666666666667"/>
    <m/>
    <n v="5.9"/>
    <n v="5.4905399999999999E-4"/>
    <n v="5.9"/>
    <n v="5.4905399999999999E-4"/>
    <s v="Microcystis spp._x000a_"/>
  </r>
  <r>
    <s v="5575.5"/>
    <x v="2"/>
    <x v="7"/>
    <x v="0"/>
    <s v="20A"/>
    <s v="Whole Plate"/>
    <s v="Microcystis wesenbergii"/>
    <b v="1"/>
    <n v="10"/>
    <n v="103.666666666667"/>
    <m/>
    <n v="31.1"/>
    <n v="5.9192630000000001E-3"/>
    <n v="31.1"/>
    <n v="5.9192630000000001E-3"/>
    <s v="Microcystis spp._x000a_"/>
  </r>
  <r>
    <s v="5575.6"/>
    <x v="2"/>
    <x v="7"/>
    <x v="0"/>
    <s v="20A"/>
    <s v="Whole Plate"/>
    <s v="Microcystis aeruginosa"/>
    <b v="1"/>
    <n v="10"/>
    <n v="32.6666666666667"/>
    <m/>
    <n v="19.600000000000001"/>
    <n v="1.7052E-3"/>
    <n v="19.600000000000001"/>
    <n v="1.7052E-3"/>
    <s v="Microcystis spp._x000a_"/>
  </r>
  <r>
    <s v="5575.7"/>
    <x v="2"/>
    <x v="7"/>
    <x v="0"/>
    <s v="20A"/>
    <s v="Whole Plate"/>
    <s v="Pseudanabaena mucicola (rod)"/>
    <b v="0"/>
    <n v="10"/>
    <n v="33"/>
    <m/>
    <n v="3.3"/>
    <n v="1.518E-4"/>
    <n v="0"/>
    <n v="0"/>
    <m/>
  </r>
  <r>
    <s v="5575.8"/>
    <x v="2"/>
    <x v="7"/>
    <x v="0"/>
    <s v="20A"/>
    <s v="Whole Plate"/>
    <s v="Phormidium sp"/>
    <b v="1"/>
    <n v="10"/>
    <n v="23"/>
    <m/>
    <n v="6.9"/>
    <n v="6.4404600000000001E-4"/>
    <n v="6.9"/>
    <n v="6.4404600000000001E-4"/>
    <m/>
  </r>
  <r>
    <s v="5575.9"/>
    <x v="2"/>
    <x v="7"/>
    <x v="0"/>
    <s v="20A"/>
    <s v="Whole Plate"/>
    <s v="Dolichospermum lemmermannii"/>
    <b v="1"/>
    <n v="10"/>
    <n v="53"/>
    <m/>
    <n v="15.9"/>
    <n v="1.7489999999999999E-3"/>
    <n v="15.9"/>
    <n v="1.7489999999999999E-3"/>
    <m/>
  </r>
  <r>
    <s v="5579.1"/>
    <x v="3"/>
    <x v="8"/>
    <x v="0"/>
    <s v="20A"/>
    <s v="Whole Plate"/>
    <s v="Dolichospermum circinale"/>
    <b v="1"/>
    <n v="10"/>
    <n v="9"/>
    <m/>
    <n v="0.9"/>
    <n v="5.1807600000000002E-4"/>
    <n v="0.9"/>
    <n v="5.1807600000000002E-4"/>
    <m/>
  </r>
  <r>
    <s v="5579.2"/>
    <x v="3"/>
    <x v="8"/>
    <x v="0"/>
    <s v="20A"/>
    <s v="Whole Plate"/>
    <s v="Dolichospermum planctonicum "/>
    <b v="1"/>
    <n v="10"/>
    <n v="61.3333333333333"/>
    <m/>
    <n v="18.399999999999999"/>
    <n v="6.8079999999999998E-3"/>
    <n v="18.399999999999999"/>
    <n v="6.8079999999999998E-3"/>
    <m/>
  </r>
  <r>
    <s v="5579.3"/>
    <x v="3"/>
    <x v="8"/>
    <x v="0"/>
    <s v="20A"/>
    <s v="Whole Plate"/>
    <s v="Microcystis wesenbergii"/>
    <b v="1"/>
    <n v="10"/>
    <n v="103"/>
    <m/>
    <n v="10.3"/>
    <n v="1.9603989999999998E-3"/>
    <n v="10.3"/>
    <n v="1.9603989999999998E-3"/>
    <s v="Microcystis spp._x000a_"/>
  </r>
  <r>
    <s v="5566.9"/>
    <x v="3"/>
    <x v="9"/>
    <x v="0"/>
    <s v="20A"/>
    <s v="Whole Plate"/>
    <s v="Pseudanabaena limnetica (cylinder)"/>
    <b v="1"/>
    <n v="10"/>
    <n v="17"/>
    <m/>
    <n v="3.4"/>
    <n v="2.6860000000000002E-4"/>
    <n v="3.4"/>
    <n v="2.6860000000000002E-4"/>
    <m/>
  </r>
  <r>
    <s v="5566.10"/>
    <x v="3"/>
    <x v="9"/>
    <x v="0"/>
    <s v="20A"/>
    <s v="Whole Plate"/>
    <s v="Dolichospermum planctonicum "/>
    <b v="1"/>
    <n v="10"/>
    <n v="42"/>
    <m/>
    <n v="4.2"/>
    <n v="1.554E-3"/>
    <n v="4.2"/>
    <n v="1.554E-3"/>
    <m/>
  </r>
  <r>
    <s v="5578.1"/>
    <x v="3"/>
    <x v="10"/>
    <x v="0"/>
    <s v="20A"/>
    <s v="Whole Plate"/>
    <s v="Microcystis wesenbergii"/>
    <b v="1"/>
    <n v="10"/>
    <n v="71"/>
    <m/>
    <n v="56.8"/>
    <n v="1.0810744000000001E-2"/>
    <n v="56.8"/>
    <n v="1.0810744000000001E-2"/>
    <s v="Microcystis spp._x000a_"/>
  </r>
  <r>
    <s v="5578.2"/>
    <x v="3"/>
    <x v="10"/>
    <x v="0"/>
    <s v="20A"/>
    <s v="Whole Plate"/>
    <s v="Dolichospermum planctonicum "/>
    <b v="1"/>
    <n v="10"/>
    <n v="45.2777777777778"/>
    <m/>
    <n v="81.5"/>
    <n v="3.0155000000000001E-2"/>
    <n v="81.5"/>
    <n v="3.0155000000000001E-2"/>
    <m/>
  </r>
  <r>
    <s v="5578.3"/>
    <x v="3"/>
    <x v="10"/>
    <x v="0"/>
    <s v="20A"/>
    <s v="Whole Plate"/>
    <s v="Pseudanabaena mucicola (rod)"/>
    <b v="0"/>
    <n v="10"/>
    <n v="29"/>
    <m/>
    <n v="2.9"/>
    <n v="1.3339999999999999E-4"/>
    <n v="0"/>
    <n v="0"/>
    <m/>
  </r>
  <r>
    <s v="5578.4"/>
    <x v="3"/>
    <x v="10"/>
    <x v="0"/>
    <s v="20A"/>
    <s v="Whole Plate"/>
    <s v="Dolichospermum circinale"/>
    <b v="1"/>
    <n v="10"/>
    <n v="92"/>
    <m/>
    <n v="9.1999999999999993"/>
    <n v="5.2958880000000003E-3"/>
    <n v="9.1999999999999993"/>
    <n v="5.2958880000000003E-3"/>
    <m/>
  </r>
  <r>
    <s v="5581.1"/>
    <x v="3"/>
    <x v="11"/>
    <x v="0"/>
    <s v="20A"/>
    <s v="Whole Plate"/>
    <s v="Dolichospermum planctonicum "/>
    <b v="1"/>
    <n v="10"/>
    <n v="27.8888888888889"/>
    <m/>
    <n v="50.2"/>
    <n v="1.8574E-2"/>
    <n v="50.2"/>
    <n v="1.8574E-2"/>
    <m/>
  </r>
  <r>
    <s v="5581.2"/>
    <x v="3"/>
    <x v="11"/>
    <x v="0"/>
    <s v="20A"/>
    <s v="Whole Plate"/>
    <s v="Limnothrix cf planktonica"/>
    <b v="0"/>
    <n v="10"/>
    <n v="29"/>
    <m/>
    <n v="2.9"/>
    <n v="4.5530000000000001E-4"/>
    <n v="0"/>
    <n v="0"/>
    <m/>
  </r>
  <r>
    <s v="5581.3"/>
    <x v="3"/>
    <x v="11"/>
    <x v="0"/>
    <s v="20A"/>
    <s v="Whole Plate"/>
    <s v="Microcystis wesenbergii"/>
    <b v="1"/>
    <n v="10"/>
    <n v="186.2"/>
    <m/>
    <n v="93.1"/>
    <n v="1.7719723E-2"/>
    <n v="93.1"/>
    <n v="1.7719723E-2"/>
    <s v="Microcystis spp._x000a_"/>
  </r>
  <r>
    <s v="5581.4"/>
    <x v="3"/>
    <x v="11"/>
    <x v="0"/>
    <s v="20A"/>
    <s v="Whole Plate"/>
    <s v="Pseudanabaena mucicola (rod)"/>
    <b v="0"/>
    <n v="10"/>
    <n v="18.5"/>
    <m/>
    <n v="3.7"/>
    <n v="1.7019999999999999E-4"/>
    <n v="0"/>
    <n v="0"/>
    <m/>
  </r>
  <r>
    <s v="5581.5"/>
    <x v="3"/>
    <x v="11"/>
    <x v="0"/>
    <s v="20A"/>
    <s v="Whole Plate"/>
    <s v="Microcystis sp. (large)"/>
    <b v="1"/>
    <n v="10"/>
    <n v="13"/>
    <m/>
    <n v="1.3"/>
    <n v="1.2097800000000001E-4"/>
    <n v="1.3"/>
    <n v="1.2097800000000001E-4"/>
    <s v="Microcystis spp._x000a_"/>
  </r>
  <r>
    <s v="5567.1"/>
    <x v="4"/>
    <x v="12"/>
    <x v="0"/>
    <s v="20A"/>
    <s v="Whole Plate"/>
    <s v="Dolichospermum planctonicum "/>
    <b v="1"/>
    <n v="10"/>
    <n v="20.100000000000001"/>
    <n v="6"/>
    <n v="52.26"/>
    <n v="1.9336200000000001E-2"/>
    <n v="52.26"/>
    <n v="1.9336200000000001E-2"/>
    <m/>
  </r>
  <r>
    <s v="5567.10"/>
    <x v="4"/>
    <x v="12"/>
    <x v="0"/>
    <s v="20A"/>
    <s v="Whole Plate"/>
    <s v="Woronichinia naegeliana"/>
    <b v="1"/>
    <n v="10"/>
    <n v="305.066666666667"/>
    <m/>
    <n v="457.6"/>
    <n v="0"/>
    <n v="457.6"/>
    <n v="0"/>
    <m/>
  </r>
  <r>
    <s v="5567.11"/>
    <x v="4"/>
    <x v="12"/>
    <x v="0"/>
    <s v="20A"/>
    <s v="Whole Plate"/>
    <s v="Dolichospermum spiroides"/>
    <b v="1"/>
    <n v="10"/>
    <n v="16.714285714285701"/>
    <m/>
    <n v="11.7"/>
    <n v="3.042E-3"/>
    <n v="11.7"/>
    <n v="3.042E-3"/>
    <m/>
  </r>
  <r>
    <s v="5567.12"/>
    <x v="4"/>
    <x v="12"/>
    <x v="0"/>
    <s v="20A"/>
    <s v="Whole Plate"/>
    <s v="Pseudanabaena galeata (cylinder)"/>
    <b v="1"/>
    <n v="10"/>
    <n v="25.5"/>
    <m/>
    <n v="5.0999999999999996"/>
    <n v="3.0600000000000001E-4"/>
    <n v="5.0999999999999996"/>
    <n v="3.0600000000000001E-4"/>
    <m/>
  </r>
  <r>
    <s v="5567.13"/>
    <x v="4"/>
    <x v="12"/>
    <x v="0"/>
    <s v="20A"/>
    <s v="Whole Plate"/>
    <s v="Dolichospermum sp"/>
    <b v="1"/>
    <n v="10"/>
    <n v="20.1428571428571"/>
    <m/>
    <n v="14.1"/>
    <n v="2.679E-3"/>
    <n v="14.1"/>
    <n v="2.679E-3"/>
    <m/>
  </r>
  <r>
    <s v="5567.14"/>
    <x v="4"/>
    <x v="12"/>
    <x v="0"/>
    <s v="20A"/>
    <s v="Whole Plate"/>
    <s v="Limnothrix cf planktonica"/>
    <b v="0"/>
    <n v="10"/>
    <n v="25.5"/>
    <m/>
    <n v="10.199999999999999"/>
    <n v="1.6014E-3"/>
    <n v="0"/>
    <n v="0"/>
    <m/>
  </r>
  <r>
    <s v="5567.15"/>
    <x v="4"/>
    <x v="12"/>
    <x v="0"/>
    <s v="20A"/>
    <s v="Whole Plate"/>
    <s v="Dolichospermum circinale"/>
    <b v="1"/>
    <n v="10"/>
    <n v="23.35"/>
    <n v="14"/>
    <n v="79.39"/>
    <n v="4.5700059600000002E-2"/>
    <n v="79.39"/>
    <n v="4.5700059600000002E-2"/>
    <m/>
  </r>
  <r>
    <s v="5567.16"/>
    <x v="4"/>
    <x v="12"/>
    <x v="0"/>
    <s v="20A"/>
    <s v="Whole Plate"/>
    <s v="Phormidium sp"/>
    <b v="1"/>
    <n v="10"/>
    <n v="58.4"/>
    <m/>
    <n v="29.2"/>
    <n v="2.7255280000000001E-3"/>
    <n v="29.2"/>
    <n v="2.7255280000000001E-3"/>
    <m/>
  </r>
  <r>
    <s v="5567.17"/>
    <x v="4"/>
    <x v="12"/>
    <x v="0"/>
    <s v="20A"/>
    <s v="Whole Plate"/>
    <s v="Pseudanabaena limnetica (cylinder)"/>
    <b v="1"/>
    <n v="10"/>
    <n v="21.45"/>
    <n v="12"/>
    <n v="68.64"/>
    <n v="5.4225599999999999E-3"/>
    <n v="68.64"/>
    <n v="5.4225599999999999E-3"/>
    <m/>
  </r>
  <r>
    <s v="5567.18"/>
    <x v="4"/>
    <x v="12"/>
    <x v="0"/>
    <s v="20A"/>
    <s v="Whole Plate"/>
    <s v="Dolichospermum planctonicum "/>
    <b v="1"/>
    <n v="10"/>
    <n v="19.692307692307701"/>
    <m/>
    <n v="25.6"/>
    <n v="9.4719999999999995E-3"/>
    <n v="25.6"/>
    <n v="9.4719999999999995E-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5576.3"/>
    <x v="0"/>
    <x v="0"/>
    <x v="0"/>
    <s v="20A"/>
    <s v="Whole Plate"/>
    <s v="Microcystis sp. (large)"/>
    <b v="1"/>
    <n v="10"/>
    <n v="16.6666666666667"/>
    <m/>
    <n v="5"/>
    <n v="4.6529999999999998E-4"/>
    <n v="5"/>
    <n v="4.6529999999999998E-4"/>
    <x v="0"/>
  </r>
  <r>
    <s v="5576.9"/>
    <x v="0"/>
    <x v="0"/>
    <x v="0"/>
    <s v="20A"/>
    <s v="Whole Plate"/>
    <s v="Microcystis aeruginosa"/>
    <b v="1"/>
    <n v="10"/>
    <n v="14.75"/>
    <m/>
    <n v="5.9"/>
    <n v="5.1329999999999995E-4"/>
    <n v="5.9"/>
    <n v="5.1329999999999995E-4"/>
    <x v="0"/>
  </r>
  <r>
    <s v="5576.11"/>
    <x v="0"/>
    <x v="0"/>
    <x v="0"/>
    <s v="20A"/>
    <s v="Whole Plate"/>
    <s v="Microcystis wesenbergii"/>
    <b v="1"/>
    <n v="10"/>
    <n v="60.4"/>
    <m/>
    <n v="30.2"/>
    <n v="5.7479660000000002E-3"/>
    <n v="30.2"/>
    <n v="5.7479660000000002E-3"/>
    <x v="0"/>
  </r>
  <r>
    <s v="5563.4"/>
    <x v="1"/>
    <x v="1"/>
    <x v="0"/>
    <s v="20A"/>
    <s v="160"/>
    <s v="Microcystis aeruginosa"/>
    <b v="1"/>
    <n v="10"/>
    <n v="10.35"/>
    <n v="306"/>
    <n v="10600.0631875"/>
    <n v="0.92220549731250001"/>
    <n v="10600.0631875"/>
    <n v="0.92220549731250001"/>
    <x v="0"/>
  </r>
  <r>
    <s v="5565.4"/>
    <x v="1"/>
    <x v="2"/>
    <x v="0"/>
    <s v="20A"/>
    <s v="160"/>
    <s v="Microcystis aeruginosa"/>
    <b v="1"/>
    <n v="10"/>
    <n v="15.55"/>
    <n v="52"/>
    <n v="3517.3322499999999"/>
    <n v="0.30600790574999998"/>
    <n v="3517.3322499999999"/>
    <n v="0.30600790574999998"/>
    <x v="0"/>
  </r>
  <r>
    <s v="5580.2"/>
    <x v="2"/>
    <x v="3"/>
    <x v="0"/>
    <s v="20A"/>
    <s v="Whole Plate"/>
    <s v="Microcystis wesenbergii"/>
    <b v="1"/>
    <n v="10"/>
    <n v="37"/>
    <m/>
    <n v="33.299999999999997"/>
    <n v="6.3379889999999996E-3"/>
    <n v="33.299999999999997"/>
    <n v="6.3379889999999996E-3"/>
    <x v="0"/>
  </r>
  <r>
    <s v="5580.3"/>
    <x v="2"/>
    <x v="3"/>
    <x v="0"/>
    <s v="20A"/>
    <s v="Whole Plate"/>
    <s v="Microcystis sp. (large)"/>
    <b v="1"/>
    <n v="10"/>
    <n v="7"/>
    <m/>
    <n v="0.7"/>
    <n v="6.5141999999999994E-5"/>
    <n v="0.7"/>
    <n v="6.5141999999999994E-5"/>
    <x v="0"/>
  </r>
  <r>
    <s v="5568.7"/>
    <x v="2"/>
    <x v="4"/>
    <x v="0"/>
    <s v="20A"/>
    <s v="Whole Plate"/>
    <s v="Microcystis aeruginosa"/>
    <b v="1"/>
    <n v="10"/>
    <n v="28.928571428571399"/>
    <m/>
    <n v="40.5"/>
    <n v="3.5235000000000002E-3"/>
    <n v="40.5"/>
    <n v="3.5235000000000002E-3"/>
    <x v="0"/>
  </r>
  <r>
    <s v="5568.8"/>
    <x v="2"/>
    <x v="4"/>
    <x v="0"/>
    <s v="20A"/>
    <s v="Whole Plate"/>
    <s v="Microcystis wesenbergii"/>
    <b v="1"/>
    <n v="10"/>
    <n v="29.5"/>
    <m/>
    <n v="17.7"/>
    <n v="3.368841E-3"/>
    <n v="17.7"/>
    <n v="3.368841E-3"/>
    <x v="0"/>
  </r>
  <r>
    <s v="5575.4"/>
    <x v="2"/>
    <x v="5"/>
    <x v="0"/>
    <s v="20A"/>
    <s v="Whole Plate"/>
    <s v="Microcystis sp. (large)"/>
    <b v="1"/>
    <n v="10"/>
    <n v="19.6666666666667"/>
    <m/>
    <n v="5.9"/>
    <n v="5.4905399999999999E-4"/>
    <n v="5.9"/>
    <n v="5.4905399999999999E-4"/>
    <x v="0"/>
  </r>
  <r>
    <s v="5575.5"/>
    <x v="2"/>
    <x v="5"/>
    <x v="0"/>
    <s v="20A"/>
    <s v="Whole Plate"/>
    <s v="Microcystis wesenbergii"/>
    <b v="1"/>
    <n v="10"/>
    <n v="103.666666666667"/>
    <m/>
    <n v="31.1"/>
    <n v="5.9192630000000001E-3"/>
    <n v="31.1"/>
    <n v="5.9192630000000001E-3"/>
    <x v="0"/>
  </r>
  <r>
    <s v="5575.6"/>
    <x v="2"/>
    <x v="5"/>
    <x v="0"/>
    <s v="20A"/>
    <s v="Whole Plate"/>
    <s v="Microcystis aeruginosa"/>
    <b v="1"/>
    <n v="10"/>
    <n v="32.6666666666667"/>
    <m/>
    <n v="19.600000000000001"/>
    <n v="1.7052E-3"/>
    <n v="19.600000000000001"/>
    <n v="1.7052E-3"/>
    <x v="0"/>
  </r>
  <r>
    <s v="5579.3"/>
    <x v="3"/>
    <x v="6"/>
    <x v="0"/>
    <s v="20A"/>
    <s v="Whole Plate"/>
    <s v="Microcystis wesenbergii"/>
    <b v="1"/>
    <n v="10"/>
    <n v="103"/>
    <m/>
    <n v="10.3"/>
    <n v="1.9603989999999998E-3"/>
    <n v="10.3"/>
    <n v="1.9603989999999998E-3"/>
    <x v="0"/>
  </r>
  <r>
    <s v="5578.1"/>
    <x v="3"/>
    <x v="7"/>
    <x v="0"/>
    <s v="20A"/>
    <s v="Whole Plate"/>
    <s v="Microcystis wesenbergii"/>
    <b v="1"/>
    <n v="10"/>
    <n v="71"/>
    <m/>
    <n v="56.8"/>
    <n v="1.0810744000000001E-2"/>
    <n v="56.8"/>
    <n v="1.0810744000000001E-2"/>
    <x v="0"/>
  </r>
  <r>
    <s v="5581.3"/>
    <x v="3"/>
    <x v="8"/>
    <x v="0"/>
    <s v="20A"/>
    <s v="Whole Plate"/>
    <s v="Microcystis wesenbergii"/>
    <b v="1"/>
    <n v="10"/>
    <n v="186.2"/>
    <m/>
    <n v="93.1"/>
    <n v="1.7719723E-2"/>
    <n v="93.1"/>
    <n v="1.7719723E-2"/>
    <x v="0"/>
  </r>
  <r>
    <s v="5581.5"/>
    <x v="3"/>
    <x v="8"/>
    <x v="0"/>
    <s v="20A"/>
    <s v="Whole Plate"/>
    <s v="Microcystis sp. (large)"/>
    <b v="1"/>
    <n v="10"/>
    <n v="13"/>
    <m/>
    <n v="1.3"/>
    <n v="1.2097800000000001E-4"/>
    <n v="1.3"/>
    <n v="1.2097800000000001E-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5576.1"/>
    <x v="0"/>
    <x v="0"/>
    <x v="0"/>
    <s v="20A"/>
    <s v="Whole Plate"/>
    <s v="Aphanocapsa holsatica"/>
    <b v="0"/>
    <n v="10"/>
    <n v="18.399999999999999"/>
    <n v="99"/>
    <n v="218.96"/>
    <n v="1.0948E-4"/>
    <n v="0"/>
    <n v="0"/>
    <m/>
  </r>
  <r>
    <s v="5576.2"/>
    <x v="0"/>
    <x v="0"/>
    <x v="0"/>
    <s v="20A"/>
    <s v="Whole Plate"/>
    <s v="Aphanocapsa delicatissima"/>
    <b v="0"/>
    <n v="10"/>
    <n v="92.181818181818201"/>
    <m/>
    <n v="101.4"/>
    <n v="1.0139999999999999E-5"/>
    <n v="0"/>
    <n v="0"/>
    <m/>
  </r>
  <r>
    <s v="5576.3"/>
    <x v="0"/>
    <x v="0"/>
    <x v="0"/>
    <s v="20A"/>
    <s v="Whole Plate"/>
    <s v="Microcystis sp. (large)"/>
    <b v="1"/>
    <n v="10"/>
    <n v="16.6666666666667"/>
    <m/>
    <n v="5"/>
    <n v="4.6529999999999998E-4"/>
    <n v="5"/>
    <n v="4.6529999999999998E-4"/>
    <s v="Microcystis spp._x000a_"/>
  </r>
  <r>
    <s v="5576.4"/>
    <x v="0"/>
    <x v="0"/>
    <x v="0"/>
    <s v="20A"/>
    <s v="Whole Plate"/>
    <s v="Pseudanabaena mucicola (rod)"/>
    <b v="0"/>
    <n v="10"/>
    <n v="7"/>
    <m/>
    <n v="1.4"/>
    <n v="6.4399999999999993E-5"/>
    <n v="0"/>
    <n v="0"/>
    <m/>
  </r>
  <r>
    <s v="5576.5"/>
    <x v="0"/>
    <x v="0"/>
    <x v="0"/>
    <s v="20A"/>
    <s v="Whole Plate"/>
    <s v="Dolichospermum planctonicum "/>
    <b v="1"/>
    <n v="10"/>
    <n v="23.5"/>
    <m/>
    <n v="18.8"/>
    <n v="6.9560000000000004E-3"/>
    <n v="18.8"/>
    <n v="6.9560000000000004E-3"/>
    <m/>
  </r>
  <r>
    <s v="5576.6"/>
    <x v="0"/>
    <x v="0"/>
    <x v="0"/>
    <s v="20A"/>
    <s v="Whole Plate"/>
    <s v="Pseudanabaena galeata (cylinder)"/>
    <b v="1"/>
    <n v="10"/>
    <n v="4"/>
    <m/>
    <n v="0.4"/>
    <n v="2.4000000000000001E-5"/>
    <n v="0.4"/>
    <n v="2.4000000000000001E-5"/>
    <m/>
  </r>
  <r>
    <s v="5576.7"/>
    <x v="0"/>
    <x v="0"/>
    <x v="0"/>
    <s v="20A"/>
    <s v="Whole Plate"/>
    <s v="Phormidium sp"/>
    <b v="1"/>
    <n v="10"/>
    <n v="30.5"/>
    <m/>
    <n v="6.1"/>
    <n v="5.6937399999999999E-4"/>
    <n v="6.1"/>
    <n v="5.6937399999999999E-4"/>
    <m/>
  </r>
  <r>
    <s v="5576.8"/>
    <x v="0"/>
    <x v="0"/>
    <x v="0"/>
    <s v="20A"/>
    <s v="Whole Plate"/>
    <s v="Dolichospermum circinale"/>
    <b v="1"/>
    <n v="10"/>
    <n v="18.5"/>
    <m/>
    <n v="3.7"/>
    <n v="2.129868E-3"/>
    <n v="3.7"/>
    <n v="2.129868E-3"/>
    <m/>
  </r>
  <r>
    <s v="5576.9"/>
    <x v="0"/>
    <x v="0"/>
    <x v="0"/>
    <s v="20A"/>
    <s v="Whole Plate"/>
    <s v="Microcystis aeruginosa"/>
    <b v="1"/>
    <n v="10"/>
    <n v="14.75"/>
    <m/>
    <n v="5.9"/>
    <n v="5.1329999999999995E-4"/>
    <n v="5.9"/>
    <n v="5.1329999999999995E-4"/>
    <s v="Microcystis spp._x000a_"/>
  </r>
  <r>
    <s v="5576.10"/>
    <x v="0"/>
    <x v="0"/>
    <x v="0"/>
    <s v="20A"/>
    <s v="Whole Plate"/>
    <s v="Pseudanabaena limnetica (cylinder)"/>
    <b v="1"/>
    <n v="10"/>
    <n v="25"/>
    <m/>
    <n v="2.5"/>
    <n v="1.975E-4"/>
    <n v="2.5"/>
    <n v="1.975E-4"/>
    <m/>
  </r>
  <r>
    <s v="5576.11"/>
    <x v="0"/>
    <x v="0"/>
    <x v="0"/>
    <s v="20A"/>
    <s v="Whole Plate"/>
    <s v="Microcystis wesenbergii"/>
    <b v="1"/>
    <n v="10"/>
    <n v="60.4"/>
    <m/>
    <n v="30.2"/>
    <n v="5.7479660000000002E-3"/>
    <n v="30.2"/>
    <n v="5.7479660000000002E-3"/>
    <s v="Microcystis spp._x000a_"/>
  </r>
  <r>
    <s v="5576.12"/>
    <x v="0"/>
    <x v="0"/>
    <x v="0"/>
    <s v="20A"/>
    <s v="Whole Plate"/>
    <s v="Dolichospermum lemmermannii"/>
    <b v="1"/>
    <n v="10"/>
    <n v="30"/>
    <m/>
    <n v="12"/>
    <n v="1.32E-3"/>
    <n v="12"/>
    <n v="1.32E-3"/>
    <m/>
  </r>
  <r>
    <s v="5576.13"/>
    <x v="0"/>
    <x v="0"/>
    <x v="0"/>
    <s v="20A"/>
    <s v="Whole Plate"/>
    <s v="Oscillatoria sp"/>
    <b v="1"/>
    <n v="10"/>
    <n v="52"/>
    <m/>
    <n v="5.2"/>
    <n v="1.40634E-2"/>
    <n v="5.2"/>
    <n v="1.40634E-2"/>
    <m/>
  </r>
  <r>
    <s v="5563.4"/>
    <x v="1"/>
    <x v="1"/>
    <x v="0"/>
    <s v="20A"/>
    <s v="160"/>
    <s v="Microcystis aeruginosa"/>
    <b v="1"/>
    <n v="10"/>
    <n v="10.35"/>
    <n v="306"/>
    <n v="10600.0631875"/>
    <n v="0.92220549731250001"/>
    <n v="10600.0631875"/>
    <n v="0.92220549731250001"/>
    <s v="Microcystis spp._x000a_"/>
  </r>
  <r>
    <s v="5563.5"/>
    <x v="1"/>
    <x v="1"/>
    <x v="0"/>
    <s v="20A"/>
    <s v="160"/>
    <s v="Pseudanabaena limnetica (cylinder)"/>
    <b v="1"/>
    <n v="10"/>
    <n v="13"/>
    <m/>
    <n v="40.840763888888901"/>
    <n v="3.22642034722222E-3"/>
    <n v="40.840763888888901"/>
    <n v="3.22642034722222E-3"/>
    <m/>
  </r>
  <r>
    <s v="5565.4"/>
    <x v="1"/>
    <x v="2"/>
    <x v="0"/>
    <s v="20A"/>
    <s v="160"/>
    <s v="Microcystis aeruginosa"/>
    <b v="1"/>
    <n v="10"/>
    <n v="15.55"/>
    <n v="52"/>
    <n v="3517.3322499999999"/>
    <n v="0.30600790574999998"/>
    <n v="3517.3322499999999"/>
    <n v="0.30600790574999998"/>
    <s v="Microcystis spp._x000a_"/>
  </r>
  <r>
    <s v="5565.5"/>
    <x v="1"/>
    <x v="2"/>
    <x v="0"/>
    <s v="20A"/>
    <s v="160"/>
    <s v="Oscillatoria sp"/>
    <b v="1"/>
    <n v="10"/>
    <n v="41"/>
    <m/>
    <n v="128.80548611111101"/>
    <n v="0.34835443718749998"/>
    <n v="128.80548611111101"/>
    <n v="0.34835443718749998"/>
    <m/>
  </r>
  <r>
    <s v="5565.6"/>
    <x v="1"/>
    <x v="2"/>
    <x v="0"/>
    <s v="20A"/>
    <s v="160"/>
    <s v="Dolichospermum sp"/>
    <b v="1"/>
    <n v="10"/>
    <n v="37"/>
    <m/>
    <n v="116.239097222222"/>
    <n v="2.20854284722222E-2"/>
    <n v="116.239097222222"/>
    <n v="2.20854284722222E-2"/>
    <m/>
  </r>
  <r>
    <s v="5565.7"/>
    <x v="1"/>
    <x v="2"/>
    <x v="0"/>
    <s v="20A"/>
    <s v="160"/>
    <s v="Pseudanabaena limnetica (cylinder)"/>
    <b v="1"/>
    <n v="10"/>
    <n v="23"/>
    <m/>
    <n v="144.51347222222199"/>
    <n v="1.14165643055555E-2"/>
    <n v="144.51347222222199"/>
    <n v="1.14165643055555E-2"/>
    <m/>
  </r>
  <r>
    <s v="5565.8"/>
    <x v="1"/>
    <x v="2"/>
    <x v="0"/>
    <s v="20A"/>
    <s v="160"/>
    <s v="Coelosphaerium kuetzingianum"/>
    <b v="0"/>
    <n v="10"/>
    <n v="34"/>
    <m/>
    <n v="106.814305555556"/>
    <n v="9.4957917638889295E-4"/>
    <n v="0"/>
    <n v="0"/>
    <m/>
  </r>
  <r>
    <s v="5577.1"/>
    <x v="2"/>
    <x v="3"/>
    <x v="0"/>
    <s v="20A"/>
    <s v="160"/>
    <s v="Aphanocapsa holsatica"/>
    <b v="0"/>
    <n v="10"/>
    <n v="21.4"/>
    <n v="197"/>
    <n v="14588.949180555601"/>
    <n v="7.2944745902778002E-3"/>
    <n v="0"/>
    <n v="0"/>
    <m/>
  </r>
  <r>
    <s v="5577.2"/>
    <x v="2"/>
    <x v="3"/>
    <x v="0"/>
    <s v="20A"/>
    <s v="160"/>
    <s v="Aphanocapsa delicatissima"/>
    <b v="0"/>
    <n v="10"/>
    <n v="280"/>
    <m/>
    <n v="879.64722222222201"/>
    <n v="8.7964722222222199E-5"/>
    <n v="0"/>
    <n v="0"/>
    <m/>
  </r>
  <r>
    <s v="5577.3"/>
    <x v="2"/>
    <x v="3"/>
    <x v="0"/>
    <s v="20A"/>
    <s v="160"/>
    <s v="Dolichospermum planctonicum "/>
    <b v="1"/>
    <n v="10"/>
    <n v="13"/>
    <m/>
    <n v="40.840763888888901"/>
    <n v="1.51110826388889E-2"/>
    <n v="40.840763888888901"/>
    <n v="1.51110826388889E-2"/>
    <m/>
  </r>
  <r>
    <s v="5564.4"/>
    <x v="2"/>
    <x v="4"/>
    <x v="0"/>
    <s v="20A"/>
    <s v="160"/>
    <s v="Dolichospermum lemmermannii"/>
    <b v="1"/>
    <n v="10"/>
    <n v="13.363636363636401"/>
    <m/>
    <n v="461.81479166666702"/>
    <n v="5.0799627083333403E-2"/>
    <n v="461.81479166666702"/>
    <n v="5.0799627083333403E-2"/>
    <m/>
  </r>
  <r>
    <s v="5564.5"/>
    <x v="2"/>
    <x v="4"/>
    <x v="0"/>
    <s v="20A"/>
    <s v="160"/>
    <s v="Aphanocapsa holsatica"/>
    <b v="0"/>
    <n v="10"/>
    <n v="5.3333333333333304"/>
    <m/>
    <n v="50.265555555555601"/>
    <n v="2.51327777777778E-5"/>
    <n v="0"/>
    <n v="0"/>
    <m/>
  </r>
  <r>
    <s v="5564.6"/>
    <x v="2"/>
    <x v="4"/>
    <x v="0"/>
    <s v="20A"/>
    <s v="160"/>
    <s v="Aphanocapsa delicatissima"/>
    <b v="0"/>
    <n v="10"/>
    <n v="107"/>
    <m/>
    <n v="672.30180555555501"/>
    <n v="6.7230180555555606E-5"/>
    <n v="0"/>
    <n v="0"/>
    <m/>
  </r>
  <r>
    <s v="5580.1"/>
    <x v="2"/>
    <x v="5"/>
    <x v="0"/>
    <s v="20A"/>
    <s v="Whole Plate"/>
    <s v="Aphanocapsa holsatica"/>
    <b v="0"/>
    <n v="10"/>
    <n v="42.9"/>
    <n v="191"/>
    <n v="905.19"/>
    <n v="4.5259500000000003E-4"/>
    <n v="0"/>
    <n v="0"/>
    <m/>
  </r>
  <r>
    <s v="5580.2"/>
    <x v="2"/>
    <x v="5"/>
    <x v="0"/>
    <s v="20A"/>
    <s v="Whole Plate"/>
    <s v="Microcystis wesenbergii"/>
    <b v="1"/>
    <n v="10"/>
    <n v="37"/>
    <m/>
    <n v="33.299999999999997"/>
    <n v="6.3379889999999996E-3"/>
    <n v="33.299999999999997"/>
    <n v="6.3379889999999996E-3"/>
    <s v="Microcystis spp._x000a_"/>
  </r>
  <r>
    <s v="5580.3"/>
    <x v="2"/>
    <x v="5"/>
    <x v="0"/>
    <s v="20A"/>
    <s v="Whole Plate"/>
    <s v="Microcystis sp. (large)"/>
    <b v="1"/>
    <n v="10"/>
    <n v="7"/>
    <m/>
    <n v="0.7"/>
    <n v="6.5141999999999994E-5"/>
    <n v="0.7"/>
    <n v="6.5141999999999994E-5"/>
    <s v="Microcystis spp._x000a_"/>
  </r>
  <r>
    <s v="5580.4"/>
    <x v="2"/>
    <x v="5"/>
    <x v="0"/>
    <s v="20A"/>
    <s v="Whole Plate"/>
    <s v="Pseudanabaena mucicola (rod)"/>
    <b v="0"/>
    <n v="10"/>
    <n v="22.6666666666667"/>
    <m/>
    <n v="6.8"/>
    <n v="3.1280000000000001E-4"/>
    <n v="0"/>
    <n v="0"/>
    <m/>
  </r>
  <r>
    <s v="5580.5"/>
    <x v="2"/>
    <x v="5"/>
    <x v="0"/>
    <s v="20A"/>
    <s v="Whole Plate"/>
    <s v="Dolichospermum planctonicum "/>
    <b v="1"/>
    <n v="10"/>
    <n v="42.25"/>
    <m/>
    <n v="16.899999999999999"/>
    <n v="6.2529999999999999E-3"/>
    <n v="16.899999999999999"/>
    <n v="6.2529999999999999E-3"/>
    <m/>
  </r>
  <r>
    <s v="5580.6"/>
    <x v="2"/>
    <x v="5"/>
    <x v="0"/>
    <s v="20A"/>
    <s v="Whole Plate"/>
    <s v="Phormidium sp"/>
    <b v="1"/>
    <n v="10"/>
    <n v="27"/>
    <m/>
    <n v="5.4"/>
    <n v="5.0403600000000002E-4"/>
    <n v="5.4"/>
    <n v="5.0403600000000002E-4"/>
    <m/>
  </r>
  <r>
    <s v="5580.7"/>
    <x v="2"/>
    <x v="5"/>
    <x v="0"/>
    <s v="20A"/>
    <s v="Whole Plate"/>
    <s v="Dolichospermum lemmermannii"/>
    <b v="1"/>
    <n v="10"/>
    <n v="180.25"/>
    <m/>
    <n v="72.099999999999994"/>
    <n v="7.9310000000000005E-3"/>
    <n v="72.099999999999994"/>
    <n v="7.9310000000000005E-3"/>
    <m/>
  </r>
  <r>
    <s v="5580.8"/>
    <x v="2"/>
    <x v="5"/>
    <x v="0"/>
    <s v="20A"/>
    <s v="Whole Plate"/>
    <s v="Aphanocapsa delicatissima"/>
    <b v="0"/>
    <n v="10"/>
    <n v="95"/>
    <m/>
    <n v="47.5"/>
    <n v="4.7500000000000003E-6"/>
    <n v="0"/>
    <n v="0"/>
    <m/>
  </r>
  <r>
    <s v="5580.9"/>
    <x v="2"/>
    <x v="5"/>
    <x v="0"/>
    <s v="20A"/>
    <s v="Whole Plate"/>
    <s v="Limnothrix cf planktonica"/>
    <b v="0"/>
    <n v="10"/>
    <n v="63"/>
    <m/>
    <n v="6.3"/>
    <n v="9.8909999999999992E-4"/>
    <n v="0"/>
    <n v="0"/>
    <m/>
  </r>
  <r>
    <s v="5568.4"/>
    <x v="2"/>
    <x v="6"/>
    <x v="0"/>
    <s v="20A"/>
    <s v="Whole Plate"/>
    <s v="Aphanocapsa holsatica"/>
    <b v="0"/>
    <n v="10"/>
    <n v="38.950000000000003"/>
    <n v="951"/>
    <n v="3782.0450000000001"/>
    <n v="1.8910225E-3"/>
    <n v="0"/>
    <n v="0"/>
    <m/>
  </r>
  <r>
    <s v="5568.5"/>
    <x v="2"/>
    <x v="6"/>
    <x v="0"/>
    <s v="20A"/>
    <s v="Whole Plate"/>
    <s v="Aphanocapsa delicatissima"/>
    <b v="0"/>
    <n v="10"/>
    <n v="94.625"/>
    <m/>
    <n v="75.7"/>
    <n v="7.5700000000000004E-6"/>
    <n v="0"/>
    <n v="0"/>
    <m/>
  </r>
  <r>
    <s v="5568.6"/>
    <x v="2"/>
    <x v="6"/>
    <x v="0"/>
    <s v="20A"/>
    <s v="Whole Plate"/>
    <s v="Dolichospermum planctonicum "/>
    <b v="1"/>
    <n v="10"/>
    <n v="35.285714285714299"/>
    <m/>
    <n v="24.7"/>
    <n v="9.1389999999999996E-3"/>
    <n v="24.7"/>
    <n v="9.1389999999999996E-3"/>
    <m/>
  </r>
  <r>
    <s v="5568.7"/>
    <x v="2"/>
    <x v="6"/>
    <x v="0"/>
    <s v="20A"/>
    <s v="Whole Plate"/>
    <s v="Microcystis aeruginosa"/>
    <b v="1"/>
    <n v="10"/>
    <n v="28.928571428571399"/>
    <m/>
    <n v="40.5"/>
    <n v="3.5235000000000002E-3"/>
    <n v="40.5"/>
    <n v="3.5235000000000002E-3"/>
    <s v="Microcystis spp._x000a_"/>
  </r>
  <r>
    <s v="5568.8"/>
    <x v="2"/>
    <x v="6"/>
    <x v="0"/>
    <s v="20A"/>
    <s v="Whole Plate"/>
    <s v="Microcystis wesenbergii"/>
    <b v="1"/>
    <n v="10"/>
    <n v="29.5"/>
    <m/>
    <n v="17.7"/>
    <n v="3.368841E-3"/>
    <n v="17.7"/>
    <n v="3.368841E-3"/>
    <s v="Microcystis spp._x000a_"/>
  </r>
  <r>
    <s v="5568.9"/>
    <x v="2"/>
    <x v="6"/>
    <x v="0"/>
    <s v="20A"/>
    <s v="Whole Plate"/>
    <s v="Pseudanabaena mucicola (rod)"/>
    <b v="0"/>
    <n v="10"/>
    <n v="31.5"/>
    <m/>
    <n v="6.3"/>
    <n v="2.898E-4"/>
    <n v="0"/>
    <n v="0"/>
    <m/>
  </r>
  <r>
    <s v="5568.10"/>
    <x v="2"/>
    <x v="6"/>
    <x v="0"/>
    <s v="20A"/>
    <s v="Whole Plate"/>
    <s v="Phormidium sp"/>
    <b v="1"/>
    <n v="10"/>
    <n v="59.5"/>
    <m/>
    <n v="23.8"/>
    <n v="2.2214919999999998E-3"/>
    <n v="23.8"/>
    <n v="2.2214919999999998E-3"/>
    <m/>
  </r>
  <r>
    <s v="5568.11"/>
    <x v="2"/>
    <x v="6"/>
    <x v="0"/>
    <s v="20A"/>
    <s v="Whole Plate"/>
    <s v="Dolichospermum spiroides"/>
    <b v="1"/>
    <n v="10"/>
    <n v="10"/>
    <m/>
    <n v="1"/>
    <n v="2.5999999999999998E-4"/>
    <n v="1"/>
    <n v="2.5999999999999998E-4"/>
    <m/>
  </r>
  <r>
    <s v="5575.1"/>
    <x v="2"/>
    <x v="7"/>
    <x v="0"/>
    <s v="20A"/>
    <s v="Whole Plate"/>
    <s v="Aphanocapsa holsatica"/>
    <b v="0"/>
    <n v="10"/>
    <n v="27.9"/>
    <n v="230"/>
    <n v="697.5"/>
    <n v="3.4874999999999999E-4"/>
    <n v="0"/>
    <n v="0"/>
    <m/>
  </r>
  <r>
    <s v="5575.2"/>
    <x v="2"/>
    <x v="7"/>
    <x v="0"/>
    <s v="20A"/>
    <s v="Whole Plate"/>
    <s v="Dolichospermum planctonicum "/>
    <b v="1"/>
    <n v="10"/>
    <n v="25.842105263157901"/>
    <m/>
    <n v="49.1"/>
    <n v="1.8166999999999999E-2"/>
    <n v="49.1"/>
    <n v="1.8166999999999999E-2"/>
    <m/>
  </r>
  <r>
    <s v="5575.3"/>
    <x v="2"/>
    <x v="7"/>
    <x v="0"/>
    <s v="20A"/>
    <s v="Whole Plate"/>
    <s v="Aphanocapsa delicatissima"/>
    <b v="0"/>
    <n v="10"/>
    <n v="143.058823529412"/>
    <m/>
    <n v="243.2"/>
    <n v="2.4320000000000001E-5"/>
    <n v="0"/>
    <n v="0"/>
    <m/>
  </r>
  <r>
    <s v="5575.4"/>
    <x v="2"/>
    <x v="7"/>
    <x v="0"/>
    <s v="20A"/>
    <s v="Whole Plate"/>
    <s v="Microcystis sp. (large)"/>
    <b v="1"/>
    <n v="10"/>
    <n v="19.6666666666667"/>
    <m/>
    <n v="5.9"/>
    <n v="5.4905399999999999E-4"/>
    <n v="5.9"/>
    <n v="5.4905399999999999E-4"/>
    <s v="Microcystis spp._x000a_"/>
  </r>
  <r>
    <s v="5575.5"/>
    <x v="2"/>
    <x v="7"/>
    <x v="0"/>
    <s v="20A"/>
    <s v="Whole Plate"/>
    <s v="Microcystis wesenbergii"/>
    <b v="1"/>
    <n v="10"/>
    <n v="103.666666666667"/>
    <m/>
    <n v="31.1"/>
    <n v="5.9192630000000001E-3"/>
    <n v="31.1"/>
    <n v="5.9192630000000001E-3"/>
    <s v="Microcystis spp._x000a_"/>
  </r>
  <r>
    <s v="5575.6"/>
    <x v="2"/>
    <x v="7"/>
    <x v="0"/>
    <s v="20A"/>
    <s v="Whole Plate"/>
    <s v="Microcystis aeruginosa"/>
    <b v="1"/>
    <n v="10"/>
    <n v="32.6666666666667"/>
    <m/>
    <n v="19.600000000000001"/>
    <n v="1.7052E-3"/>
    <n v="19.600000000000001"/>
    <n v="1.7052E-3"/>
    <s v="Microcystis spp._x000a_"/>
  </r>
  <r>
    <s v="5575.7"/>
    <x v="2"/>
    <x v="7"/>
    <x v="0"/>
    <s v="20A"/>
    <s v="Whole Plate"/>
    <s v="Pseudanabaena mucicola (rod)"/>
    <b v="0"/>
    <n v="10"/>
    <n v="33"/>
    <m/>
    <n v="3.3"/>
    <n v="1.518E-4"/>
    <n v="0"/>
    <n v="0"/>
    <m/>
  </r>
  <r>
    <s v="5575.8"/>
    <x v="2"/>
    <x v="7"/>
    <x v="0"/>
    <s v="20A"/>
    <s v="Whole Plate"/>
    <s v="Phormidium sp"/>
    <b v="1"/>
    <n v="10"/>
    <n v="23"/>
    <m/>
    <n v="6.9"/>
    <n v="6.4404600000000001E-4"/>
    <n v="6.9"/>
    <n v="6.4404600000000001E-4"/>
    <m/>
  </r>
  <r>
    <s v="5575.9"/>
    <x v="2"/>
    <x v="7"/>
    <x v="0"/>
    <s v="20A"/>
    <s v="Whole Plate"/>
    <s v="Dolichospermum lemmermannii"/>
    <b v="1"/>
    <n v="10"/>
    <n v="53"/>
    <m/>
    <n v="15.9"/>
    <n v="1.7489999999999999E-3"/>
    <n v="15.9"/>
    <n v="1.7489999999999999E-3"/>
    <m/>
  </r>
  <r>
    <s v="5579.1"/>
    <x v="3"/>
    <x v="8"/>
    <x v="0"/>
    <s v="20A"/>
    <s v="Whole Plate"/>
    <s v="Dolichospermum circinale"/>
    <b v="1"/>
    <n v="10"/>
    <n v="9"/>
    <m/>
    <n v="0.9"/>
    <n v="5.1807600000000002E-4"/>
    <n v="0.9"/>
    <n v="5.1807600000000002E-4"/>
    <m/>
  </r>
  <r>
    <s v="5579.2"/>
    <x v="3"/>
    <x v="8"/>
    <x v="0"/>
    <s v="20A"/>
    <s v="Whole Plate"/>
    <s v="Dolichospermum planctonicum "/>
    <b v="1"/>
    <n v="10"/>
    <n v="61.3333333333333"/>
    <m/>
    <n v="18.399999999999999"/>
    <n v="6.8079999999999998E-3"/>
    <n v="18.399999999999999"/>
    <n v="6.8079999999999998E-3"/>
    <m/>
  </r>
  <r>
    <s v="5579.3"/>
    <x v="3"/>
    <x v="8"/>
    <x v="0"/>
    <s v="20A"/>
    <s v="Whole Plate"/>
    <s v="Microcystis wesenbergii"/>
    <b v="1"/>
    <n v="10"/>
    <n v="103"/>
    <m/>
    <n v="10.3"/>
    <n v="1.9603989999999998E-3"/>
    <n v="10.3"/>
    <n v="1.9603989999999998E-3"/>
    <s v="Microcystis spp._x000a_"/>
  </r>
  <r>
    <s v="5566.9"/>
    <x v="3"/>
    <x v="9"/>
    <x v="0"/>
    <s v="20A"/>
    <s v="Whole Plate"/>
    <s v="Pseudanabaena limnetica (cylinder)"/>
    <b v="1"/>
    <n v="10"/>
    <n v="17"/>
    <m/>
    <n v="3.4"/>
    <n v="2.6860000000000002E-4"/>
    <n v="3.4"/>
    <n v="2.6860000000000002E-4"/>
    <m/>
  </r>
  <r>
    <s v="5566.10"/>
    <x v="3"/>
    <x v="9"/>
    <x v="0"/>
    <s v="20A"/>
    <s v="Whole Plate"/>
    <s v="Dolichospermum planctonicum "/>
    <b v="1"/>
    <n v="10"/>
    <n v="42"/>
    <m/>
    <n v="4.2"/>
    <n v="1.554E-3"/>
    <n v="4.2"/>
    <n v="1.554E-3"/>
    <m/>
  </r>
  <r>
    <s v="5578.1"/>
    <x v="3"/>
    <x v="10"/>
    <x v="0"/>
    <s v="20A"/>
    <s v="Whole Plate"/>
    <s v="Microcystis wesenbergii"/>
    <b v="1"/>
    <n v="10"/>
    <n v="71"/>
    <m/>
    <n v="56.8"/>
    <n v="1.0810744000000001E-2"/>
    <n v="56.8"/>
    <n v="1.0810744000000001E-2"/>
    <s v="Microcystis spp._x000a_"/>
  </r>
  <r>
    <s v="5578.2"/>
    <x v="3"/>
    <x v="10"/>
    <x v="0"/>
    <s v="20A"/>
    <s v="Whole Plate"/>
    <s v="Dolichospermum planctonicum "/>
    <b v="1"/>
    <n v="10"/>
    <n v="45.2777777777778"/>
    <m/>
    <n v="81.5"/>
    <n v="3.0155000000000001E-2"/>
    <n v="81.5"/>
    <n v="3.0155000000000001E-2"/>
    <m/>
  </r>
  <r>
    <s v="5578.3"/>
    <x v="3"/>
    <x v="10"/>
    <x v="0"/>
    <s v="20A"/>
    <s v="Whole Plate"/>
    <s v="Pseudanabaena mucicola (rod)"/>
    <b v="0"/>
    <n v="10"/>
    <n v="29"/>
    <m/>
    <n v="2.9"/>
    <n v="1.3339999999999999E-4"/>
    <n v="0"/>
    <n v="0"/>
    <m/>
  </r>
  <r>
    <s v="5578.4"/>
    <x v="3"/>
    <x v="10"/>
    <x v="0"/>
    <s v="20A"/>
    <s v="Whole Plate"/>
    <s v="Dolichospermum circinale"/>
    <b v="1"/>
    <n v="10"/>
    <n v="92"/>
    <m/>
    <n v="9.1999999999999993"/>
    <n v="5.2958880000000003E-3"/>
    <n v="9.1999999999999993"/>
    <n v="5.2958880000000003E-3"/>
    <m/>
  </r>
  <r>
    <s v="5581.1"/>
    <x v="3"/>
    <x v="11"/>
    <x v="0"/>
    <s v="20A"/>
    <s v="Whole Plate"/>
    <s v="Dolichospermum planctonicum "/>
    <b v="1"/>
    <n v="10"/>
    <n v="27.8888888888889"/>
    <m/>
    <n v="50.2"/>
    <n v="1.8574E-2"/>
    <n v="50.2"/>
    <n v="1.8574E-2"/>
    <m/>
  </r>
  <r>
    <s v="5581.2"/>
    <x v="3"/>
    <x v="11"/>
    <x v="0"/>
    <s v="20A"/>
    <s v="Whole Plate"/>
    <s v="Limnothrix cf planktonica"/>
    <b v="0"/>
    <n v="10"/>
    <n v="29"/>
    <m/>
    <n v="2.9"/>
    <n v="4.5530000000000001E-4"/>
    <n v="0"/>
    <n v="0"/>
    <m/>
  </r>
  <r>
    <s v="5581.3"/>
    <x v="3"/>
    <x v="11"/>
    <x v="0"/>
    <s v="20A"/>
    <s v="Whole Plate"/>
    <s v="Microcystis wesenbergii"/>
    <b v="1"/>
    <n v="10"/>
    <n v="186.2"/>
    <m/>
    <n v="93.1"/>
    <n v="1.7719723E-2"/>
    <n v="93.1"/>
    <n v="1.7719723E-2"/>
    <s v="Microcystis spp._x000a_"/>
  </r>
  <r>
    <s v="5581.4"/>
    <x v="3"/>
    <x v="11"/>
    <x v="0"/>
    <s v="20A"/>
    <s v="Whole Plate"/>
    <s v="Pseudanabaena mucicola (rod)"/>
    <b v="0"/>
    <n v="10"/>
    <n v="18.5"/>
    <m/>
    <n v="3.7"/>
    <n v="1.7019999999999999E-4"/>
    <n v="0"/>
    <n v="0"/>
    <m/>
  </r>
  <r>
    <s v="5581.5"/>
    <x v="3"/>
    <x v="11"/>
    <x v="0"/>
    <s v="20A"/>
    <s v="Whole Plate"/>
    <s v="Microcystis sp. (large)"/>
    <b v="1"/>
    <n v="10"/>
    <n v="13"/>
    <m/>
    <n v="1.3"/>
    <n v="1.2097800000000001E-4"/>
    <n v="1.3"/>
    <n v="1.2097800000000001E-4"/>
    <s v="Microcystis spp._x000a_"/>
  </r>
  <r>
    <s v="5567.1"/>
    <x v="4"/>
    <x v="12"/>
    <x v="0"/>
    <s v="20A"/>
    <s v="Whole Plate"/>
    <s v="Dolichospermum planctonicum "/>
    <b v="1"/>
    <n v="10"/>
    <n v="20.100000000000001"/>
    <n v="6"/>
    <n v="52.26"/>
    <n v="1.9336200000000001E-2"/>
    <n v="52.26"/>
    <n v="1.9336200000000001E-2"/>
    <m/>
  </r>
  <r>
    <s v="5567.10"/>
    <x v="4"/>
    <x v="12"/>
    <x v="0"/>
    <s v="20A"/>
    <s v="Whole Plate"/>
    <s v="Woronichinia naegeliana"/>
    <b v="1"/>
    <n v="10"/>
    <n v="305.066666666667"/>
    <m/>
    <n v="457.6"/>
    <n v="0"/>
    <n v="457.6"/>
    <n v="0"/>
    <m/>
  </r>
  <r>
    <s v="5567.11"/>
    <x v="4"/>
    <x v="12"/>
    <x v="0"/>
    <s v="20A"/>
    <s v="Whole Plate"/>
    <s v="Dolichospermum spiroides"/>
    <b v="1"/>
    <n v="10"/>
    <n v="16.714285714285701"/>
    <m/>
    <n v="11.7"/>
    <n v="3.042E-3"/>
    <n v="11.7"/>
    <n v="3.042E-3"/>
    <m/>
  </r>
  <r>
    <s v="5567.12"/>
    <x v="4"/>
    <x v="12"/>
    <x v="0"/>
    <s v="20A"/>
    <s v="Whole Plate"/>
    <s v="Pseudanabaena galeata (cylinder)"/>
    <b v="1"/>
    <n v="10"/>
    <n v="25.5"/>
    <m/>
    <n v="5.0999999999999996"/>
    <n v="3.0600000000000001E-4"/>
    <n v="5.0999999999999996"/>
    <n v="3.0600000000000001E-4"/>
    <m/>
  </r>
  <r>
    <s v="5567.13"/>
    <x v="4"/>
    <x v="12"/>
    <x v="0"/>
    <s v="20A"/>
    <s v="Whole Plate"/>
    <s v="Dolichospermum sp"/>
    <b v="1"/>
    <n v="10"/>
    <n v="20.1428571428571"/>
    <m/>
    <n v="14.1"/>
    <n v="2.679E-3"/>
    <n v="14.1"/>
    <n v="2.679E-3"/>
    <m/>
  </r>
  <r>
    <s v="5567.14"/>
    <x v="4"/>
    <x v="12"/>
    <x v="0"/>
    <s v="20A"/>
    <s v="Whole Plate"/>
    <s v="Limnothrix cf planktonica"/>
    <b v="0"/>
    <n v="10"/>
    <n v="25.5"/>
    <m/>
    <n v="10.199999999999999"/>
    <n v="1.6014E-3"/>
    <n v="0"/>
    <n v="0"/>
    <m/>
  </r>
  <r>
    <s v="5567.15"/>
    <x v="4"/>
    <x v="12"/>
    <x v="0"/>
    <s v="20A"/>
    <s v="Whole Plate"/>
    <s v="Dolichospermum circinale"/>
    <b v="1"/>
    <n v="10"/>
    <n v="23.35"/>
    <n v="14"/>
    <n v="79.39"/>
    <n v="4.5700059600000002E-2"/>
    <n v="79.39"/>
    <n v="4.5700059600000002E-2"/>
    <m/>
  </r>
  <r>
    <s v="5567.16"/>
    <x v="4"/>
    <x v="12"/>
    <x v="0"/>
    <s v="20A"/>
    <s v="Whole Plate"/>
    <s v="Phormidium sp"/>
    <b v="1"/>
    <n v="10"/>
    <n v="58.4"/>
    <m/>
    <n v="29.2"/>
    <n v="2.7255280000000001E-3"/>
    <n v="29.2"/>
    <n v="2.7255280000000001E-3"/>
    <m/>
  </r>
  <r>
    <s v="5567.17"/>
    <x v="4"/>
    <x v="12"/>
    <x v="0"/>
    <s v="20A"/>
    <s v="Whole Plate"/>
    <s v="Pseudanabaena limnetica (cylinder)"/>
    <b v="1"/>
    <n v="10"/>
    <n v="21.45"/>
    <n v="12"/>
    <n v="68.64"/>
    <n v="5.4225599999999999E-3"/>
    <n v="68.64"/>
    <n v="5.4225599999999999E-3"/>
    <m/>
  </r>
  <r>
    <s v="5567.18"/>
    <x v="4"/>
    <x v="12"/>
    <x v="0"/>
    <s v="20A"/>
    <s v="Whole Plate"/>
    <s v="Dolichospermum planctonicum "/>
    <b v="1"/>
    <n v="10"/>
    <n v="19.692307692307701"/>
    <m/>
    <n v="25.6"/>
    <n v="9.4719999999999995E-3"/>
    <n v="25.6"/>
    <n v="9.4719999999999995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AlertWarning" cacheId="17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CellsPermL" cacheId="169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9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9">
    <i>
      <x/>
      <x/>
    </i>
    <i>
      <x v="1"/>
      <x v="1"/>
    </i>
    <i r="1">
      <x v="2"/>
    </i>
    <i>
      <x v="2"/>
      <x v="3"/>
    </i>
    <i r="1">
      <x v="4"/>
    </i>
    <i r="1">
      <x v="5"/>
    </i>
    <i>
      <x v="3"/>
      <x v="6"/>
    </i>
    <i r="1">
      <x v="7"/>
    </i>
    <i r="1">
      <x v="8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AlertWarning" cacheId="162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77" totalsRowShown="0">
  <autoFilter ref="A1:P77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17" totalsRowShown="0">
  <autoFilter ref="A1:P17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32.17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542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0</v>
      </c>
      <c r="I2">
        <v>10</v>
      </c>
      <c r="J2">
        <v>18.399999999999999</v>
      </c>
      <c r="K2">
        <v>99</v>
      </c>
      <c r="L2">
        <v>218.96</v>
      </c>
      <c r="M2">
        <v>1.0948E-4</v>
      </c>
      <c r="N2">
        <v>0</v>
      </c>
      <c r="O2">
        <v>0</v>
      </c>
    </row>
    <row r="3" spans="1:16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0</v>
      </c>
      <c r="I3">
        <v>10</v>
      </c>
      <c r="J3">
        <v>92.181818181818201</v>
      </c>
      <c r="L3">
        <v>101.4</v>
      </c>
      <c r="M3">
        <v>1.0139999999999999E-5</v>
      </c>
      <c r="N3">
        <v>0</v>
      </c>
      <c r="O3">
        <v>0</v>
      </c>
    </row>
    <row r="4" spans="1:16" ht="29" x14ac:dyDescent="0.3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1</v>
      </c>
      <c r="I4">
        <v>10</v>
      </c>
      <c r="J4">
        <v>16.6666666666667</v>
      </c>
      <c r="L4">
        <v>5</v>
      </c>
      <c r="M4">
        <v>4.6529999999999998E-4</v>
      </c>
      <c r="N4">
        <v>5</v>
      </c>
      <c r="O4">
        <v>4.6529999999999998E-4</v>
      </c>
      <c r="P4" s="1" t="s">
        <v>27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0</v>
      </c>
      <c r="I5">
        <v>10</v>
      </c>
      <c r="J5">
        <v>7</v>
      </c>
      <c r="L5">
        <v>1.4</v>
      </c>
      <c r="M5">
        <v>6.4399999999999993E-5</v>
      </c>
      <c r="N5">
        <v>0</v>
      </c>
      <c r="O5">
        <v>0</v>
      </c>
    </row>
    <row r="6" spans="1:16" x14ac:dyDescent="0.3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23.5</v>
      </c>
      <c r="L6">
        <v>18.8</v>
      </c>
      <c r="M6">
        <v>6.9560000000000004E-3</v>
      </c>
      <c r="N6">
        <v>18.8</v>
      </c>
      <c r="O6">
        <v>6.9560000000000004E-3</v>
      </c>
    </row>
    <row r="7" spans="1:16" x14ac:dyDescent="0.35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33</v>
      </c>
      <c r="H7" t="b">
        <v>1</v>
      </c>
      <c r="I7">
        <v>10</v>
      </c>
      <c r="J7">
        <v>4</v>
      </c>
      <c r="L7">
        <v>0.4</v>
      </c>
      <c r="M7">
        <v>2.4000000000000001E-5</v>
      </c>
      <c r="N7">
        <v>0.4</v>
      </c>
      <c r="O7">
        <v>2.4000000000000001E-5</v>
      </c>
    </row>
    <row r="8" spans="1:16" x14ac:dyDescent="0.35">
      <c r="A8" t="s">
        <v>34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35</v>
      </c>
      <c r="H8" t="b">
        <v>1</v>
      </c>
      <c r="I8">
        <v>10</v>
      </c>
      <c r="J8">
        <v>30.5</v>
      </c>
      <c r="L8">
        <v>6.1</v>
      </c>
      <c r="M8">
        <v>5.6937399999999999E-4</v>
      </c>
      <c r="N8">
        <v>6.1</v>
      </c>
      <c r="O8">
        <v>5.6937399999999999E-4</v>
      </c>
    </row>
    <row r="9" spans="1:16" x14ac:dyDescent="0.35">
      <c r="A9" t="s">
        <v>36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37</v>
      </c>
      <c r="H9" t="b">
        <v>1</v>
      </c>
      <c r="I9">
        <v>10</v>
      </c>
      <c r="J9">
        <v>18.5</v>
      </c>
      <c r="L9">
        <v>3.7</v>
      </c>
      <c r="M9">
        <v>2.129868E-3</v>
      </c>
      <c r="N9">
        <v>3.7</v>
      </c>
      <c r="O9">
        <v>2.129868E-3</v>
      </c>
    </row>
    <row r="10" spans="1:16" ht="29" x14ac:dyDescent="0.35">
      <c r="A10" t="s">
        <v>38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39</v>
      </c>
      <c r="H10" t="b">
        <v>1</v>
      </c>
      <c r="I10">
        <v>10</v>
      </c>
      <c r="J10">
        <v>14.75</v>
      </c>
      <c r="L10">
        <v>5.9</v>
      </c>
      <c r="M10">
        <v>5.1329999999999995E-4</v>
      </c>
      <c r="N10">
        <v>5.9</v>
      </c>
      <c r="O10">
        <v>5.1329999999999995E-4</v>
      </c>
      <c r="P10" s="1" t="s">
        <v>27</v>
      </c>
    </row>
    <row r="11" spans="1:16" x14ac:dyDescent="0.35">
      <c r="A11" t="s">
        <v>40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41</v>
      </c>
      <c r="H11" t="b">
        <v>1</v>
      </c>
      <c r="I11">
        <v>10</v>
      </c>
      <c r="J11">
        <v>25</v>
      </c>
      <c r="L11">
        <v>2.5</v>
      </c>
      <c r="M11">
        <v>1.975E-4</v>
      </c>
      <c r="N11">
        <v>2.5</v>
      </c>
      <c r="O11">
        <v>1.975E-4</v>
      </c>
    </row>
    <row r="12" spans="1:16" ht="29" x14ac:dyDescent="0.35">
      <c r="A12" t="s">
        <v>42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43</v>
      </c>
      <c r="H12" t="b">
        <v>1</v>
      </c>
      <c r="I12">
        <v>10</v>
      </c>
      <c r="J12">
        <v>60.4</v>
      </c>
      <c r="L12">
        <v>30.2</v>
      </c>
      <c r="M12">
        <v>5.7479660000000002E-3</v>
      </c>
      <c r="N12">
        <v>30.2</v>
      </c>
      <c r="O12">
        <v>5.7479660000000002E-3</v>
      </c>
      <c r="P12" s="1" t="s">
        <v>27</v>
      </c>
    </row>
    <row r="13" spans="1:16" x14ac:dyDescent="0.35">
      <c r="A13" t="s">
        <v>44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45</v>
      </c>
      <c r="H13" t="b">
        <v>1</v>
      </c>
      <c r="I13">
        <v>10</v>
      </c>
      <c r="J13">
        <v>30</v>
      </c>
      <c r="L13">
        <v>12</v>
      </c>
      <c r="M13">
        <v>1.32E-3</v>
      </c>
      <c r="N13">
        <v>12</v>
      </c>
      <c r="O13">
        <v>1.32E-3</v>
      </c>
    </row>
    <row r="14" spans="1:16" x14ac:dyDescent="0.35">
      <c r="A14" t="s">
        <v>46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47</v>
      </c>
      <c r="H14" t="b">
        <v>1</v>
      </c>
      <c r="I14">
        <v>10</v>
      </c>
      <c r="J14">
        <v>52</v>
      </c>
      <c r="L14">
        <v>5.2</v>
      </c>
      <c r="M14">
        <v>1.40634E-2</v>
      </c>
      <c r="N14">
        <v>5.2</v>
      </c>
      <c r="O14">
        <v>1.40634E-2</v>
      </c>
    </row>
    <row r="15" spans="1:16" ht="29" x14ac:dyDescent="0.35">
      <c r="A15" t="s">
        <v>48</v>
      </c>
      <c r="B15" t="s">
        <v>49</v>
      </c>
      <c r="C15" t="s">
        <v>50</v>
      </c>
      <c r="D15" t="s">
        <v>19</v>
      </c>
      <c r="E15" t="s">
        <v>20</v>
      </c>
      <c r="F15" t="s">
        <v>51</v>
      </c>
      <c r="G15" t="s">
        <v>39</v>
      </c>
      <c r="H15" t="b">
        <v>1</v>
      </c>
      <c r="I15">
        <v>10</v>
      </c>
      <c r="J15">
        <v>10.35</v>
      </c>
      <c r="K15">
        <v>306</v>
      </c>
      <c r="L15">
        <v>10600.0631875</v>
      </c>
      <c r="M15">
        <v>0.92220549731250001</v>
      </c>
      <c r="N15">
        <v>10600.0631875</v>
      </c>
      <c r="O15">
        <v>0.92220549731250001</v>
      </c>
      <c r="P15" s="1" t="s">
        <v>27</v>
      </c>
    </row>
    <row r="16" spans="1:16" x14ac:dyDescent="0.35">
      <c r="A16" t="s">
        <v>52</v>
      </c>
      <c r="B16" t="s">
        <v>49</v>
      </c>
      <c r="C16" t="s">
        <v>50</v>
      </c>
      <c r="D16" t="s">
        <v>19</v>
      </c>
      <c r="E16" t="s">
        <v>20</v>
      </c>
      <c r="F16" t="s">
        <v>51</v>
      </c>
      <c r="G16" t="s">
        <v>41</v>
      </c>
      <c r="H16" t="b">
        <v>1</v>
      </c>
      <c r="I16">
        <v>10</v>
      </c>
      <c r="J16">
        <v>13</v>
      </c>
      <c r="L16">
        <v>40.840763888888901</v>
      </c>
      <c r="M16">
        <v>3.22642034722222E-3</v>
      </c>
      <c r="N16">
        <v>40.840763888888901</v>
      </c>
      <c r="O16">
        <v>3.22642034722222E-3</v>
      </c>
    </row>
    <row r="17" spans="1:16" ht="29" x14ac:dyDescent="0.35">
      <c r="A17" t="s">
        <v>53</v>
      </c>
      <c r="B17" t="s">
        <v>49</v>
      </c>
      <c r="C17" t="s">
        <v>54</v>
      </c>
      <c r="D17" t="s">
        <v>19</v>
      </c>
      <c r="E17" t="s">
        <v>20</v>
      </c>
      <c r="F17" t="s">
        <v>51</v>
      </c>
      <c r="G17" t="s">
        <v>39</v>
      </c>
      <c r="H17" t="b">
        <v>1</v>
      </c>
      <c r="I17">
        <v>10</v>
      </c>
      <c r="J17">
        <v>15.55</v>
      </c>
      <c r="K17">
        <v>52</v>
      </c>
      <c r="L17">
        <v>3517.3322499999999</v>
      </c>
      <c r="M17">
        <v>0.30600790574999998</v>
      </c>
      <c r="N17">
        <v>3517.3322499999999</v>
      </c>
      <c r="O17">
        <v>0.30600790574999998</v>
      </c>
      <c r="P17" s="1" t="s">
        <v>27</v>
      </c>
    </row>
    <row r="18" spans="1:16" x14ac:dyDescent="0.35">
      <c r="A18" t="s">
        <v>55</v>
      </c>
      <c r="B18" t="s">
        <v>49</v>
      </c>
      <c r="C18" t="s">
        <v>54</v>
      </c>
      <c r="D18" t="s">
        <v>19</v>
      </c>
      <c r="E18" t="s">
        <v>20</v>
      </c>
      <c r="F18" t="s">
        <v>51</v>
      </c>
      <c r="G18" t="s">
        <v>47</v>
      </c>
      <c r="H18" t="b">
        <v>1</v>
      </c>
      <c r="I18">
        <v>10</v>
      </c>
      <c r="J18">
        <v>41</v>
      </c>
      <c r="L18">
        <v>128.80548611111101</v>
      </c>
      <c r="M18">
        <v>0.34835443718749998</v>
      </c>
      <c r="N18">
        <v>128.80548611111101</v>
      </c>
      <c r="O18">
        <v>0.34835443718749998</v>
      </c>
    </row>
    <row r="19" spans="1:16" x14ac:dyDescent="0.35">
      <c r="A19" t="s">
        <v>56</v>
      </c>
      <c r="B19" t="s">
        <v>49</v>
      </c>
      <c r="C19" t="s">
        <v>54</v>
      </c>
      <c r="D19" t="s">
        <v>19</v>
      </c>
      <c r="E19" t="s">
        <v>20</v>
      </c>
      <c r="F19" t="s">
        <v>51</v>
      </c>
      <c r="G19" t="s">
        <v>57</v>
      </c>
      <c r="H19" t="b">
        <v>1</v>
      </c>
      <c r="I19">
        <v>10</v>
      </c>
      <c r="J19">
        <v>37</v>
      </c>
      <c r="L19">
        <v>116.239097222222</v>
      </c>
      <c r="M19">
        <v>2.20854284722222E-2</v>
      </c>
      <c r="N19">
        <v>116.239097222222</v>
      </c>
      <c r="O19">
        <v>2.20854284722222E-2</v>
      </c>
    </row>
    <row r="20" spans="1:16" x14ac:dyDescent="0.35">
      <c r="A20" t="s">
        <v>58</v>
      </c>
      <c r="B20" t="s">
        <v>49</v>
      </c>
      <c r="C20" t="s">
        <v>54</v>
      </c>
      <c r="D20" t="s">
        <v>19</v>
      </c>
      <c r="E20" t="s">
        <v>20</v>
      </c>
      <c r="F20" t="s">
        <v>51</v>
      </c>
      <c r="G20" t="s">
        <v>41</v>
      </c>
      <c r="H20" t="b">
        <v>1</v>
      </c>
      <c r="I20">
        <v>10</v>
      </c>
      <c r="J20">
        <v>23</v>
      </c>
      <c r="L20">
        <v>144.51347222222199</v>
      </c>
      <c r="M20">
        <v>1.14165643055555E-2</v>
      </c>
      <c r="N20">
        <v>144.51347222222199</v>
      </c>
      <c r="O20">
        <v>1.14165643055555E-2</v>
      </c>
    </row>
    <row r="21" spans="1:16" x14ac:dyDescent="0.35">
      <c r="A21" t="s">
        <v>59</v>
      </c>
      <c r="B21" t="s">
        <v>49</v>
      </c>
      <c r="C21" t="s">
        <v>54</v>
      </c>
      <c r="D21" t="s">
        <v>19</v>
      </c>
      <c r="E21" t="s">
        <v>20</v>
      </c>
      <c r="F21" t="s">
        <v>51</v>
      </c>
      <c r="G21" t="s">
        <v>60</v>
      </c>
      <c r="H21" t="b">
        <v>0</v>
      </c>
      <c r="I21">
        <v>10</v>
      </c>
      <c r="J21">
        <v>34</v>
      </c>
      <c r="L21">
        <v>106.814305555556</v>
      </c>
      <c r="M21">
        <v>9.4957917638889295E-4</v>
      </c>
      <c r="N21">
        <v>0</v>
      </c>
      <c r="O21">
        <v>0</v>
      </c>
    </row>
    <row r="22" spans="1:16" x14ac:dyDescent="0.35">
      <c r="A22" t="s">
        <v>61</v>
      </c>
      <c r="B22" t="s">
        <v>62</v>
      </c>
      <c r="C22" t="s">
        <v>63</v>
      </c>
      <c r="D22" t="s">
        <v>19</v>
      </c>
      <c r="E22" t="s">
        <v>20</v>
      </c>
      <c r="F22" t="s">
        <v>51</v>
      </c>
      <c r="G22" t="s">
        <v>22</v>
      </c>
      <c r="H22" t="b">
        <v>0</v>
      </c>
      <c r="I22">
        <v>10</v>
      </c>
      <c r="J22">
        <v>21.4</v>
      </c>
      <c r="K22">
        <v>197</v>
      </c>
      <c r="L22">
        <v>14588.949180555601</v>
      </c>
      <c r="M22">
        <v>7.2944745902778002E-3</v>
      </c>
      <c r="N22">
        <v>0</v>
      </c>
      <c r="O22">
        <v>0</v>
      </c>
    </row>
    <row r="23" spans="1:16" x14ac:dyDescent="0.35">
      <c r="A23" t="s">
        <v>64</v>
      </c>
      <c r="B23" t="s">
        <v>62</v>
      </c>
      <c r="C23" t="s">
        <v>63</v>
      </c>
      <c r="D23" t="s">
        <v>19</v>
      </c>
      <c r="E23" t="s">
        <v>20</v>
      </c>
      <c r="F23" t="s">
        <v>51</v>
      </c>
      <c r="G23" t="s">
        <v>24</v>
      </c>
      <c r="H23" t="b">
        <v>0</v>
      </c>
      <c r="I23">
        <v>10</v>
      </c>
      <c r="J23">
        <v>280</v>
      </c>
      <c r="L23">
        <v>879.64722222222201</v>
      </c>
      <c r="M23">
        <v>8.7964722222222199E-5</v>
      </c>
      <c r="N23">
        <v>0</v>
      </c>
      <c r="O23">
        <v>0</v>
      </c>
    </row>
    <row r="24" spans="1:16" x14ac:dyDescent="0.35">
      <c r="A24" t="s">
        <v>65</v>
      </c>
      <c r="B24" t="s">
        <v>62</v>
      </c>
      <c r="C24" t="s">
        <v>63</v>
      </c>
      <c r="D24" t="s">
        <v>19</v>
      </c>
      <c r="E24" t="s">
        <v>20</v>
      </c>
      <c r="F24" t="s">
        <v>51</v>
      </c>
      <c r="G24" t="s">
        <v>31</v>
      </c>
      <c r="H24" t="b">
        <v>1</v>
      </c>
      <c r="I24">
        <v>10</v>
      </c>
      <c r="J24">
        <v>13</v>
      </c>
      <c r="L24">
        <v>40.840763888888901</v>
      </c>
      <c r="M24">
        <v>1.51110826388889E-2</v>
      </c>
      <c r="N24">
        <v>40.840763888888901</v>
      </c>
      <c r="O24">
        <v>1.51110826388889E-2</v>
      </c>
    </row>
    <row r="25" spans="1:16" x14ac:dyDescent="0.35">
      <c r="A25" t="s">
        <v>66</v>
      </c>
      <c r="B25" t="s">
        <v>62</v>
      </c>
      <c r="C25" t="s">
        <v>67</v>
      </c>
      <c r="D25" t="s">
        <v>19</v>
      </c>
      <c r="E25" t="s">
        <v>20</v>
      </c>
      <c r="F25" t="s">
        <v>51</v>
      </c>
      <c r="G25" t="s">
        <v>45</v>
      </c>
      <c r="H25" t="b">
        <v>1</v>
      </c>
      <c r="I25">
        <v>10</v>
      </c>
      <c r="J25">
        <v>13.363636363636401</v>
      </c>
      <c r="L25">
        <v>461.81479166666702</v>
      </c>
      <c r="M25">
        <v>5.0799627083333403E-2</v>
      </c>
      <c r="N25">
        <v>461.81479166666702</v>
      </c>
      <c r="O25">
        <v>5.0799627083333403E-2</v>
      </c>
    </row>
    <row r="26" spans="1:16" x14ac:dyDescent="0.35">
      <c r="A26" t="s">
        <v>68</v>
      </c>
      <c r="B26" t="s">
        <v>62</v>
      </c>
      <c r="C26" t="s">
        <v>67</v>
      </c>
      <c r="D26" t="s">
        <v>19</v>
      </c>
      <c r="E26" t="s">
        <v>20</v>
      </c>
      <c r="F26" t="s">
        <v>51</v>
      </c>
      <c r="G26" t="s">
        <v>22</v>
      </c>
      <c r="H26" t="b">
        <v>0</v>
      </c>
      <c r="I26">
        <v>10</v>
      </c>
      <c r="J26">
        <v>5.3333333333333304</v>
      </c>
      <c r="L26">
        <v>50.265555555555601</v>
      </c>
      <c r="M26">
        <v>2.51327777777778E-5</v>
      </c>
      <c r="N26">
        <v>0</v>
      </c>
      <c r="O26">
        <v>0</v>
      </c>
    </row>
    <row r="27" spans="1:16" x14ac:dyDescent="0.35">
      <c r="A27" t="s">
        <v>69</v>
      </c>
      <c r="B27" t="s">
        <v>62</v>
      </c>
      <c r="C27" t="s">
        <v>67</v>
      </c>
      <c r="D27" t="s">
        <v>19</v>
      </c>
      <c r="E27" t="s">
        <v>20</v>
      </c>
      <c r="F27" t="s">
        <v>51</v>
      </c>
      <c r="G27" t="s">
        <v>24</v>
      </c>
      <c r="H27" t="b">
        <v>0</v>
      </c>
      <c r="I27">
        <v>10</v>
      </c>
      <c r="J27">
        <v>107</v>
      </c>
      <c r="L27">
        <v>672.30180555555501</v>
      </c>
      <c r="M27">
        <v>6.7230180555555606E-5</v>
      </c>
      <c r="N27">
        <v>0</v>
      </c>
      <c r="O27">
        <v>0</v>
      </c>
    </row>
    <row r="28" spans="1:16" x14ac:dyDescent="0.35">
      <c r="A28" t="s">
        <v>70</v>
      </c>
      <c r="B28" t="s">
        <v>62</v>
      </c>
      <c r="C28" t="s">
        <v>71</v>
      </c>
      <c r="D28" t="s">
        <v>19</v>
      </c>
      <c r="E28" t="s">
        <v>20</v>
      </c>
      <c r="F28" t="s">
        <v>21</v>
      </c>
      <c r="G28" t="s">
        <v>22</v>
      </c>
      <c r="H28" t="b">
        <v>0</v>
      </c>
      <c r="I28">
        <v>10</v>
      </c>
      <c r="J28">
        <v>42.9</v>
      </c>
      <c r="K28">
        <v>191</v>
      </c>
      <c r="L28">
        <v>905.19</v>
      </c>
      <c r="M28">
        <v>4.5259500000000003E-4</v>
      </c>
      <c r="N28">
        <v>0</v>
      </c>
      <c r="O28">
        <v>0</v>
      </c>
    </row>
    <row r="29" spans="1:16" ht="29" x14ac:dyDescent="0.35">
      <c r="A29" t="s">
        <v>72</v>
      </c>
      <c r="B29" t="s">
        <v>62</v>
      </c>
      <c r="C29" t="s">
        <v>71</v>
      </c>
      <c r="D29" t="s">
        <v>19</v>
      </c>
      <c r="E29" t="s">
        <v>20</v>
      </c>
      <c r="F29" t="s">
        <v>21</v>
      </c>
      <c r="G29" t="s">
        <v>43</v>
      </c>
      <c r="H29" t="b">
        <v>1</v>
      </c>
      <c r="I29">
        <v>10</v>
      </c>
      <c r="J29">
        <v>37</v>
      </c>
      <c r="L29">
        <v>33.299999999999997</v>
      </c>
      <c r="M29">
        <v>6.3379889999999996E-3</v>
      </c>
      <c r="N29">
        <v>33.299999999999997</v>
      </c>
      <c r="O29">
        <v>6.3379889999999996E-3</v>
      </c>
      <c r="P29" s="1" t="s">
        <v>27</v>
      </c>
    </row>
    <row r="30" spans="1:16" ht="29" x14ac:dyDescent="0.35">
      <c r="A30" t="s">
        <v>73</v>
      </c>
      <c r="B30" t="s">
        <v>62</v>
      </c>
      <c r="C30" t="s">
        <v>71</v>
      </c>
      <c r="D30" t="s">
        <v>19</v>
      </c>
      <c r="E30" t="s">
        <v>20</v>
      </c>
      <c r="F30" t="s">
        <v>21</v>
      </c>
      <c r="G30" t="s">
        <v>26</v>
      </c>
      <c r="H30" t="b">
        <v>1</v>
      </c>
      <c r="I30">
        <v>10</v>
      </c>
      <c r="J30">
        <v>7</v>
      </c>
      <c r="L30">
        <v>0.7</v>
      </c>
      <c r="M30">
        <v>6.5141999999999994E-5</v>
      </c>
      <c r="N30">
        <v>0.7</v>
      </c>
      <c r="O30">
        <v>6.5141999999999994E-5</v>
      </c>
      <c r="P30" s="1" t="s">
        <v>27</v>
      </c>
    </row>
    <row r="31" spans="1:16" x14ac:dyDescent="0.35">
      <c r="A31" t="s">
        <v>74</v>
      </c>
      <c r="B31" t="s">
        <v>62</v>
      </c>
      <c r="C31" t="s">
        <v>71</v>
      </c>
      <c r="D31" t="s">
        <v>19</v>
      </c>
      <c r="E31" t="s">
        <v>20</v>
      </c>
      <c r="F31" t="s">
        <v>21</v>
      </c>
      <c r="G31" t="s">
        <v>29</v>
      </c>
      <c r="H31" t="b">
        <v>0</v>
      </c>
      <c r="I31">
        <v>10</v>
      </c>
      <c r="J31">
        <v>22.6666666666667</v>
      </c>
      <c r="L31">
        <v>6.8</v>
      </c>
      <c r="M31">
        <v>3.1280000000000001E-4</v>
      </c>
      <c r="N31">
        <v>0</v>
      </c>
      <c r="O31">
        <v>0</v>
      </c>
    </row>
    <row r="32" spans="1:16" x14ac:dyDescent="0.35">
      <c r="A32" t="s">
        <v>75</v>
      </c>
      <c r="B32" t="s">
        <v>62</v>
      </c>
      <c r="C32" t="s">
        <v>71</v>
      </c>
      <c r="D32" t="s">
        <v>19</v>
      </c>
      <c r="E32" t="s">
        <v>20</v>
      </c>
      <c r="F32" t="s">
        <v>21</v>
      </c>
      <c r="G32" t="s">
        <v>31</v>
      </c>
      <c r="H32" t="b">
        <v>1</v>
      </c>
      <c r="I32">
        <v>10</v>
      </c>
      <c r="J32">
        <v>42.25</v>
      </c>
      <c r="L32">
        <v>16.899999999999999</v>
      </c>
      <c r="M32">
        <v>6.2529999999999999E-3</v>
      </c>
      <c r="N32">
        <v>16.899999999999999</v>
      </c>
      <c r="O32">
        <v>6.2529999999999999E-3</v>
      </c>
    </row>
    <row r="33" spans="1:16" x14ac:dyDescent="0.35">
      <c r="A33" t="s">
        <v>76</v>
      </c>
      <c r="B33" t="s">
        <v>62</v>
      </c>
      <c r="C33" t="s">
        <v>71</v>
      </c>
      <c r="D33" t="s">
        <v>19</v>
      </c>
      <c r="E33" t="s">
        <v>20</v>
      </c>
      <c r="F33" t="s">
        <v>21</v>
      </c>
      <c r="G33" t="s">
        <v>35</v>
      </c>
      <c r="H33" t="b">
        <v>1</v>
      </c>
      <c r="I33">
        <v>10</v>
      </c>
      <c r="J33">
        <v>27</v>
      </c>
      <c r="L33">
        <v>5.4</v>
      </c>
      <c r="M33">
        <v>5.0403600000000002E-4</v>
      </c>
      <c r="N33">
        <v>5.4</v>
      </c>
      <c r="O33">
        <v>5.0403600000000002E-4</v>
      </c>
    </row>
    <row r="34" spans="1:16" x14ac:dyDescent="0.35">
      <c r="A34" t="s">
        <v>77</v>
      </c>
      <c r="B34" t="s">
        <v>62</v>
      </c>
      <c r="C34" t="s">
        <v>71</v>
      </c>
      <c r="D34" t="s">
        <v>19</v>
      </c>
      <c r="E34" t="s">
        <v>20</v>
      </c>
      <c r="F34" t="s">
        <v>21</v>
      </c>
      <c r="G34" t="s">
        <v>45</v>
      </c>
      <c r="H34" t="b">
        <v>1</v>
      </c>
      <c r="I34">
        <v>10</v>
      </c>
      <c r="J34">
        <v>180.25</v>
      </c>
      <c r="L34">
        <v>72.099999999999994</v>
      </c>
      <c r="M34">
        <v>7.9310000000000005E-3</v>
      </c>
      <c r="N34">
        <v>72.099999999999994</v>
      </c>
      <c r="O34">
        <v>7.9310000000000005E-3</v>
      </c>
    </row>
    <row r="35" spans="1:16" x14ac:dyDescent="0.35">
      <c r="A35" t="s">
        <v>78</v>
      </c>
      <c r="B35" t="s">
        <v>62</v>
      </c>
      <c r="C35" t="s">
        <v>71</v>
      </c>
      <c r="D35" t="s">
        <v>19</v>
      </c>
      <c r="E35" t="s">
        <v>20</v>
      </c>
      <c r="F35" t="s">
        <v>21</v>
      </c>
      <c r="G35" t="s">
        <v>24</v>
      </c>
      <c r="H35" t="b">
        <v>0</v>
      </c>
      <c r="I35">
        <v>10</v>
      </c>
      <c r="J35">
        <v>95</v>
      </c>
      <c r="L35">
        <v>47.5</v>
      </c>
      <c r="M35">
        <v>4.7500000000000003E-6</v>
      </c>
      <c r="N35">
        <v>0</v>
      </c>
      <c r="O35">
        <v>0</v>
      </c>
    </row>
    <row r="36" spans="1:16" x14ac:dyDescent="0.35">
      <c r="A36" t="s">
        <v>79</v>
      </c>
      <c r="B36" t="s">
        <v>62</v>
      </c>
      <c r="C36" t="s">
        <v>71</v>
      </c>
      <c r="D36" t="s">
        <v>19</v>
      </c>
      <c r="E36" t="s">
        <v>20</v>
      </c>
      <c r="F36" t="s">
        <v>21</v>
      </c>
      <c r="G36" t="s">
        <v>80</v>
      </c>
      <c r="H36" t="b">
        <v>0</v>
      </c>
      <c r="I36">
        <v>10</v>
      </c>
      <c r="J36">
        <v>63</v>
      </c>
      <c r="L36">
        <v>6.3</v>
      </c>
      <c r="M36">
        <v>9.8909999999999992E-4</v>
      </c>
      <c r="N36">
        <v>0</v>
      </c>
      <c r="O36">
        <v>0</v>
      </c>
    </row>
    <row r="37" spans="1:16" x14ac:dyDescent="0.35">
      <c r="A37" t="s">
        <v>81</v>
      </c>
      <c r="B37" t="s">
        <v>62</v>
      </c>
      <c r="C37" t="s">
        <v>82</v>
      </c>
      <c r="D37" t="s">
        <v>19</v>
      </c>
      <c r="E37" t="s">
        <v>20</v>
      </c>
      <c r="F37" t="s">
        <v>21</v>
      </c>
      <c r="G37" t="s">
        <v>22</v>
      </c>
      <c r="H37" t="b">
        <v>0</v>
      </c>
      <c r="I37">
        <v>10</v>
      </c>
      <c r="J37">
        <v>38.950000000000003</v>
      </c>
      <c r="K37">
        <v>951</v>
      </c>
      <c r="L37">
        <v>3782.0450000000001</v>
      </c>
      <c r="M37">
        <v>1.8910225E-3</v>
      </c>
      <c r="N37">
        <v>0</v>
      </c>
      <c r="O37">
        <v>0</v>
      </c>
    </row>
    <row r="38" spans="1:16" x14ac:dyDescent="0.35">
      <c r="A38" t="s">
        <v>83</v>
      </c>
      <c r="B38" t="s">
        <v>62</v>
      </c>
      <c r="C38" t="s">
        <v>82</v>
      </c>
      <c r="D38" t="s">
        <v>19</v>
      </c>
      <c r="E38" t="s">
        <v>20</v>
      </c>
      <c r="F38" t="s">
        <v>21</v>
      </c>
      <c r="G38" t="s">
        <v>24</v>
      </c>
      <c r="H38" t="b">
        <v>0</v>
      </c>
      <c r="I38">
        <v>10</v>
      </c>
      <c r="J38">
        <v>94.625</v>
      </c>
      <c r="L38">
        <v>75.7</v>
      </c>
      <c r="M38">
        <v>7.5700000000000004E-6</v>
      </c>
      <c r="N38">
        <v>0</v>
      </c>
      <c r="O38">
        <v>0</v>
      </c>
    </row>
    <row r="39" spans="1:16" x14ac:dyDescent="0.35">
      <c r="A39" t="s">
        <v>84</v>
      </c>
      <c r="B39" t="s">
        <v>62</v>
      </c>
      <c r="C39" t="s">
        <v>82</v>
      </c>
      <c r="D39" t="s">
        <v>19</v>
      </c>
      <c r="E39" t="s">
        <v>20</v>
      </c>
      <c r="F39" t="s">
        <v>21</v>
      </c>
      <c r="G39" t="s">
        <v>31</v>
      </c>
      <c r="H39" t="b">
        <v>1</v>
      </c>
      <c r="I39">
        <v>10</v>
      </c>
      <c r="J39">
        <v>35.285714285714299</v>
      </c>
      <c r="L39">
        <v>24.7</v>
      </c>
      <c r="M39">
        <v>9.1389999999999996E-3</v>
      </c>
      <c r="N39">
        <v>24.7</v>
      </c>
      <c r="O39">
        <v>9.1389999999999996E-3</v>
      </c>
    </row>
    <row r="40" spans="1:16" x14ac:dyDescent="0.35">
      <c r="A40" t="s">
        <v>85</v>
      </c>
      <c r="B40" t="s">
        <v>62</v>
      </c>
      <c r="C40" t="s">
        <v>82</v>
      </c>
      <c r="D40" t="s">
        <v>19</v>
      </c>
      <c r="E40" t="s">
        <v>20</v>
      </c>
      <c r="F40" t="s">
        <v>21</v>
      </c>
      <c r="G40" t="s">
        <v>39</v>
      </c>
      <c r="H40" t="b">
        <v>1</v>
      </c>
      <c r="I40">
        <v>10</v>
      </c>
      <c r="J40">
        <v>28.928571428571399</v>
      </c>
      <c r="L40">
        <v>40.5</v>
      </c>
      <c r="M40">
        <v>3.5235000000000002E-3</v>
      </c>
      <c r="N40">
        <v>40.5</v>
      </c>
      <c r="O40">
        <v>3.5235000000000002E-3</v>
      </c>
      <c r="P40" s="1" t="s">
        <v>27</v>
      </c>
    </row>
    <row r="41" spans="1:16" x14ac:dyDescent="0.35">
      <c r="A41" t="s">
        <v>86</v>
      </c>
      <c r="B41" t="s">
        <v>62</v>
      </c>
      <c r="C41" t="s">
        <v>82</v>
      </c>
      <c r="D41" t="s">
        <v>19</v>
      </c>
      <c r="E41" t="s">
        <v>20</v>
      </c>
      <c r="F41" t="s">
        <v>21</v>
      </c>
      <c r="G41" t="s">
        <v>43</v>
      </c>
      <c r="H41" t="b">
        <v>1</v>
      </c>
      <c r="I41">
        <v>10</v>
      </c>
      <c r="J41">
        <v>29.5</v>
      </c>
      <c r="L41">
        <v>17.7</v>
      </c>
      <c r="M41">
        <v>3.368841E-3</v>
      </c>
      <c r="N41">
        <v>17.7</v>
      </c>
      <c r="O41">
        <v>3.368841E-3</v>
      </c>
      <c r="P41" s="1" t="s">
        <v>27</v>
      </c>
    </row>
    <row r="42" spans="1:16" x14ac:dyDescent="0.35">
      <c r="A42" t="s">
        <v>87</v>
      </c>
      <c r="B42" t="s">
        <v>62</v>
      </c>
      <c r="C42" t="s">
        <v>82</v>
      </c>
      <c r="D42" t="s">
        <v>19</v>
      </c>
      <c r="E42" t="s">
        <v>20</v>
      </c>
      <c r="F42" t="s">
        <v>21</v>
      </c>
      <c r="G42" t="s">
        <v>29</v>
      </c>
      <c r="H42" t="b">
        <v>0</v>
      </c>
      <c r="I42">
        <v>10</v>
      </c>
      <c r="J42">
        <v>31.5</v>
      </c>
      <c r="L42">
        <v>6.3</v>
      </c>
      <c r="M42">
        <v>2.898E-4</v>
      </c>
      <c r="N42">
        <v>0</v>
      </c>
      <c r="O42">
        <v>0</v>
      </c>
    </row>
    <row r="43" spans="1:16" x14ac:dyDescent="0.35">
      <c r="A43" t="s">
        <v>88</v>
      </c>
      <c r="B43" t="s">
        <v>62</v>
      </c>
      <c r="C43" t="s">
        <v>82</v>
      </c>
      <c r="D43" t="s">
        <v>19</v>
      </c>
      <c r="E43" t="s">
        <v>20</v>
      </c>
      <c r="F43" t="s">
        <v>21</v>
      </c>
      <c r="G43" t="s">
        <v>35</v>
      </c>
      <c r="H43" t="b">
        <v>1</v>
      </c>
      <c r="I43">
        <v>10</v>
      </c>
      <c r="J43">
        <v>59.5</v>
      </c>
      <c r="L43">
        <v>23.8</v>
      </c>
      <c r="M43">
        <v>2.2214919999999998E-3</v>
      </c>
      <c r="N43">
        <v>23.8</v>
      </c>
      <c r="O43">
        <v>2.2214919999999998E-3</v>
      </c>
    </row>
    <row r="44" spans="1:16" x14ac:dyDescent="0.35">
      <c r="A44" t="s">
        <v>89</v>
      </c>
      <c r="B44" t="s">
        <v>62</v>
      </c>
      <c r="C44" t="s">
        <v>82</v>
      </c>
      <c r="D44" t="s">
        <v>19</v>
      </c>
      <c r="E44" t="s">
        <v>20</v>
      </c>
      <c r="F44" t="s">
        <v>21</v>
      </c>
      <c r="G44" t="s">
        <v>90</v>
      </c>
      <c r="H44" t="b">
        <v>1</v>
      </c>
      <c r="I44">
        <v>10</v>
      </c>
      <c r="J44">
        <v>10</v>
      </c>
      <c r="L44">
        <v>1</v>
      </c>
      <c r="M44">
        <v>2.5999999999999998E-4</v>
      </c>
      <c r="N44">
        <v>1</v>
      </c>
      <c r="O44">
        <v>2.5999999999999998E-4</v>
      </c>
    </row>
    <row r="45" spans="1:16" x14ac:dyDescent="0.35">
      <c r="A45" t="s">
        <v>91</v>
      </c>
      <c r="B45" t="s">
        <v>62</v>
      </c>
      <c r="C45" t="s">
        <v>92</v>
      </c>
      <c r="D45" t="s">
        <v>19</v>
      </c>
      <c r="E45" t="s">
        <v>20</v>
      </c>
      <c r="F45" t="s">
        <v>21</v>
      </c>
      <c r="G45" t="s">
        <v>22</v>
      </c>
      <c r="H45" t="b">
        <v>0</v>
      </c>
      <c r="I45">
        <v>10</v>
      </c>
      <c r="J45">
        <v>27.9</v>
      </c>
      <c r="K45">
        <v>230</v>
      </c>
      <c r="L45">
        <v>697.5</v>
      </c>
      <c r="M45">
        <v>3.4874999999999999E-4</v>
      </c>
      <c r="N45">
        <v>0</v>
      </c>
      <c r="O45">
        <v>0</v>
      </c>
    </row>
    <row r="46" spans="1:16" x14ac:dyDescent="0.35">
      <c r="A46" t="s">
        <v>93</v>
      </c>
      <c r="B46" t="s">
        <v>62</v>
      </c>
      <c r="C46" t="s">
        <v>92</v>
      </c>
      <c r="D46" t="s">
        <v>19</v>
      </c>
      <c r="E46" t="s">
        <v>20</v>
      </c>
      <c r="F46" t="s">
        <v>21</v>
      </c>
      <c r="G46" t="s">
        <v>31</v>
      </c>
      <c r="H46" t="b">
        <v>1</v>
      </c>
      <c r="I46">
        <v>10</v>
      </c>
      <c r="J46">
        <v>25.842105263157901</v>
      </c>
      <c r="L46">
        <v>49.1</v>
      </c>
      <c r="M46">
        <v>1.8166999999999999E-2</v>
      </c>
      <c r="N46">
        <v>49.1</v>
      </c>
      <c r="O46">
        <v>1.8166999999999999E-2</v>
      </c>
    </row>
    <row r="47" spans="1:16" x14ac:dyDescent="0.35">
      <c r="A47" t="s">
        <v>94</v>
      </c>
      <c r="B47" t="s">
        <v>62</v>
      </c>
      <c r="C47" t="s">
        <v>92</v>
      </c>
      <c r="D47" t="s">
        <v>19</v>
      </c>
      <c r="E47" t="s">
        <v>20</v>
      </c>
      <c r="F47" t="s">
        <v>21</v>
      </c>
      <c r="G47" t="s">
        <v>24</v>
      </c>
      <c r="H47" t="b">
        <v>0</v>
      </c>
      <c r="I47">
        <v>10</v>
      </c>
      <c r="J47">
        <v>143.058823529412</v>
      </c>
      <c r="L47">
        <v>243.2</v>
      </c>
      <c r="M47">
        <v>2.4320000000000001E-5</v>
      </c>
      <c r="N47">
        <v>0</v>
      </c>
      <c r="O47">
        <v>0</v>
      </c>
    </row>
    <row r="48" spans="1:16" x14ac:dyDescent="0.35">
      <c r="A48" t="s">
        <v>95</v>
      </c>
      <c r="B48" t="s">
        <v>62</v>
      </c>
      <c r="C48" t="s">
        <v>92</v>
      </c>
      <c r="D48" t="s">
        <v>19</v>
      </c>
      <c r="E48" t="s">
        <v>20</v>
      </c>
      <c r="F48" t="s">
        <v>21</v>
      </c>
      <c r="G48" t="s">
        <v>26</v>
      </c>
      <c r="H48" t="b">
        <v>1</v>
      </c>
      <c r="I48">
        <v>10</v>
      </c>
      <c r="J48">
        <v>19.6666666666667</v>
      </c>
      <c r="L48">
        <v>5.9</v>
      </c>
      <c r="M48">
        <v>5.4905399999999999E-4</v>
      </c>
      <c r="N48">
        <v>5.9</v>
      </c>
      <c r="O48">
        <v>5.4905399999999999E-4</v>
      </c>
      <c r="P48" s="1" t="s">
        <v>27</v>
      </c>
    </row>
    <row r="49" spans="1:16" x14ac:dyDescent="0.35">
      <c r="A49" t="s">
        <v>96</v>
      </c>
      <c r="B49" t="s">
        <v>62</v>
      </c>
      <c r="C49" t="s">
        <v>92</v>
      </c>
      <c r="D49" t="s">
        <v>19</v>
      </c>
      <c r="E49" t="s">
        <v>20</v>
      </c>
      <c r="F49" t="s">
        <v>21</v>
      </c>
      <c r="G49" t="s">
        <v>43</v>
      </c>
      <c r="H49" t="b">
        <v>1</v>
      </c>
      <c r="I49">
        <v>10</v>
      </c>
      <c r="J49">
        <v>103.666666666667</v>
      </c>
      <c r="L49">
        <v>31.1</v>
      </c>
      <c r="M49">
        <v>5.9192630000000001E-3</v>
      </c>
      <c r="N49">
        <v>31.1</v>
      </c>
      <c r="O49">
        <v>5.9192630000000001E-3</v>
      </c>
      <c r="P49" s="1" t="s">
        <v>27</v>
      </c>
    </row>
    <row r="50" spans="1:16" x14ac:dyDescent="0.35">
      <c r="A50" t="s">
        <v>97</v>
      </c>
      <c r="B50" t="s">
        <v>62</v>
      </c>
      <c r="C50" t="s">
        <v>92</v>
      </c>
      <c r="D50" t="s">
        <v>19</v>
      </c>
      <c r="E50" t="s">
        <v>20</v>
      </c>
      <c r="F50" t="s">
        <v>21</v>
      </c>
      <c r="G50" t="s">
        <v>39</v>
      </c>
      <c r="H50" t="b">
        <v>1</v>
      </c>
      <c r="I50">
        <v>10</v>
      </c>
      <c r="J50">
        <v>32.6666666666667</v>
      </c>
      <c r="L50">
        <v>19.600000000000001</v>
      </c>
      <c r="M50">
        <v>1.7052E-3</v>
      </c>
      <c r="N50">
        <v>19.600000000000001</v>
      </c>
      <c r="O50">
        <v>1.7052E-3</v>
      </c>
      <c r="P50" s="1" t="s">
        <v>27</v>
      </c>
    </row>
    <row r="51" spans="1:16" x14ac:dyDescent="0.35">
      <c r="A51" t="s">
        <v>98</v>
      </c>
      <c r="B51" t="s">
        <v>62</v>
      </c>
      <c r="C51" t="s">
        <v>92</v>
      </c>
      <c r="D51" t="s">
        <v>19</v>
      </c>
      <c r="E51" t="s">
        <v>20</v>
      </c>
      <c r="F51" t="s">
        <v>21</v>
      </c>
      <c r="G51" t="s">
        <v>29</v>
      </c>
      <c r="H51" t="b">
        <v>0</v>
      </c>
      <c r="I51">
        <v>10</v>
      </c>
      <c r="J51">
        <v>33</v>
      </c>
      <c r="L51">
        <v>3.3</v>
      </c>
      <c r="M51">
        <v>1.518E-4</v>
      </c>
      <c r="N51">
        <v>0</v>
      </c>
      <c r="O51">
        <v>0</v>
      </c>
    </row>
    <row r="52" spans="1:16" x14ac:dyDescent="0.35">
      <c r="A52" t="s">
        <v>99</v>
      </c>
      <c r="B52" t="s">
        <v>62</v>
      </c>
      <c r="C52" t="s">
        <v>92</v>
      </c>
      <c r="D52" t="s">
        <v>19</v>
      </c>
      <c r="E52" t="s">
        <v>20</v>
      </c>
      <c r="F52" t="s">
        <v>21</v>
      </c>
      <c r="G52" t="s">
        <v>35</v>
      </c>
      <c r="H52" t="b">
        <v>1</v>
      </c>
      <c r="I52">
        <v>10</v>
      </c>
      <c r="J52">
        <v>23</v>
      </c>
      <c r="L52">
        <v>6.9</v>
      </c>
      <c r="M52">
        <v>6.4404600000000001E-4</v>
      </c>
      <c r="N52">
        <v>6.9</v>
      </c>
      <c r="O52">
        <v>6.4404600000000001E-4</v>
      </c>
    </row>
    <row r="53" spans="1:16" x14ac:dyDescent="0.35">
      <c r="A53" t="s">
        <v>100</v>
      </c>
      <c r="B53" t="s">
        <v>62</v>
      </c>
      <c r="C53" t="s">
        <v>92</v>
      </c>
      <c r="D53" t="s">
        <v>19</v>
      </c>
      <c r="E53" t="s">
        <v>20</v>
      </c>
      <c r="F53" t="s">
        <v>21</v>
      </c>
      <c r="G53" t="s">
        <v>45</v>
      </c>
      <c r="H53" t="b">
        <v>1</v>
      </c>
      <c r="I53">
        <v>10</v>
      </c>
      <c r="J53">
        <v>53</v>
      </c>
      <c r="L53">
        <v>15.9</v>
      </c>
      <c r="M53">
        <v>1.7489999999999999E-3</v>
      </c>
      <c r="N53">
        <v>15.9</v>
      </c>
      <c r="O53">
        <v>1.7489999999999999E-3</v>
      </c>
    </row>
    <row r="54" spans="1:16" x14ac:dyDescent="0.35">
      <c r="A54" t="s">
        <v>101</v>
      </c>
      <c r="B54" t="s">
        <v>102</v>
      </c>
      <c r="C54" t="s">
        <v>103</v>
      </c>
      <c r="D54" t="s">
        <v>19</v>
      </c>
      <c r="E54" t="s">
        <v>20</v>
      </c>
      <c r="F54" t="s">
        <v>21</v>
      </c>
      <c r="G54" t="s">
        <v>37</v>
      </c>
      <c r="H54" t="b">
        <v>1</v>
      </c>
      <c r="I54">
        <v>10</v>
      </c>
      <c r="J54">
        <v>9</v>
      </c>
      <c r="L54">
        <v>0.9</v>
      </c>
      <c r="M54">
        <v>5.1807600000000002E-4</v>
      </c>
      <c r="N54">
        <v>0.9</v>
      </c>
      <c r="O54">
        <v>5.1807600000000002E-4</v>
      </c>
    </row>
    <row r="55" spans="1:16" x14ac:dyDescent="0.35">
      <c r="A55" t="s">
        <v>104</v>
      </c>
      <c r="B55" t="s">
        <v>102</v>
      </c>
      <c r="C55" t="s">
        <v>103</v>
      </c>
      <c r="D55" t="s">
        <v>19</v>
      </c>
      <c r="E55" t="s">
        <v>20</v>
      </c>
      <c r="F55" t="s">
        <v>21</v>
      </c>
      <c r="G55" t="s">
        <v>31</v>
      </c>
      <c r="H55" t="b">
        <v>1</v>
      </c>
      <c r="I55">
        <v>10</v>
      </c>
      <c r="J55">
        <v>61.3333333333333</v>
      </c>
      <c r="L55">
        <v>18.399999999999999</v>
      </c>
      <c r="M55">
        <v>6.8079999999999998E-3</v>
      </c>
      <c r="N55">
        <v>18.399999999999999</v>
      </c>
      <c r="O55">
        <v>6.8079999999999998E-3</v>
      </c>
    </row>
    <row r="56" spans="1:16" x14ac:dyDescent="0.35">
      <c r="A56" t="s">
        <v>105</v>
      </c>
      <c r="B56" t="s">
        <v>102</v>
      </c>
      <c r="C56" t="s">
        <v>103</v>
      </c>
      <c r="D56" t="s">
        <v>19</v>
      </c>
      <c r="E56" t="s">
        <v>20</v>
      </c>
      <c r="F56" t="s">
        <v>21</v>
      </c>
      <c r="G56" t="s">
        <v>43</v>
      </c>
      <c r="H56" t="b">
        <v>1</v>
      </c>
      <c r="I56">
        <v>10</v>
      </c>
      <c r="J56">
        <v>103</v>
      </c>
      <c r="L56">
        <v>10.3</v>
      </c>
      <c r="M56">
        <v>1.9603989999999998E-3</v>
      </c>
      <c r="N56">
        <v>10.3</v>
      </c>
      <c r="O56">
        <v>1.9603989999999998E-3</v>
      </c>
      <c r="P56" s="1" t="s">
        <v>27</v>
      </c>
    </row>
    <row r="57" spans="1:16" x14ac:dyDescent="0.35">
      <c r="A57" t="s">
        <v>106</v>
      </c>
      <c r="B57" t="s">
        <v>102</v>
      </c>
      <c r="C57" t="s">
        <v>107</v>
      </c>
      <c r="D57" t="s">
        <v>19</v>
      </c>
      <c r="E57" t="s">
        <v>20</v>
      </c>
      <c r="F57" t="s">
        <v>21</v>
      </c>
      <c r="G57" t="s">
        <v>41</v>
      </c>
      <c r="H57" t="b">
        <v>1</v>
      </c>
      <c r="I57">
        <v>10</v>
      </c>
      <c r="J57">
        <v>17</v>
      </c>
      <c r="L57">
        <v>3.4</v>
      </c>
      <c r="M57">
        <v>2.6860000000000002E-4</v>
      </c>
      <c r="N57">
        <v>3.4</v>
      </c>
      <c r="O57">
        <v>2.6860000000000002E-4</v>
      </c>
    </row>
    <row r="58" spans="1:16" x14ac:dyDescent="0.35">
      <c r="A58" t="s">
        <v>108</v>
      </c>
      <c r="B58" t="s">
        <v>102</v>
      </c>
      <c r="C58" t="s">
        <v>107</v>
      </c>
      <c r="D58" t="s">
        <v>19</v>
      </c>
      <c r="E58" t="s">
        <v>20</v>
      </c>
      <c r="F58" t="s">
        <v>21</v>
      </c>
      <c r="G58" t="s">
        <v>31</v>
      </c>
      <c r="H58" t="b">
        <v>1</v>
      </c>
      <c r="I58">
        <v>10</v>
      </c>
      <c r="J58">
        <v>42</v>
      </c>
      <c r="L58">
        <v>4.2</v>
      </c>
      <c r="M58">
        <v>1.554E-3</v>
      </c>
      <c r="N58">
        <v>4.2</v>
      </c>
      <c r="O58">
        <v>1.554E-3</v>
      </c>
    </row>
    <row r="59" spans="1:16" x14ac:dyDescent="0.35">
      <c r="A59" t="s">
        <v>109</v>
      </c>
      <c r="B59" t="s">
        <v>102</v>
      </c>
      <c r="C59" t="s">
        <v>110</v>
      </c>
      <c r="D59" t="s">
        <v>19</v>
      </c>
      <c r="E59" t="s">
        <v>20</v>
      </c>
      <c r="F59" t="s">
        <v>21</v>
      </c>
      <c r="G59" t="s">
        <v>43</v>
      </c>
      <c r="H59" t="b">
        <v>1</v>
      </c>
      <c r="I59">
        <v>10</v>
      </c>
      <c r="J59">
        <v>71</v>
      </c>
      <c r="L59">
        <v>56.8</v>
      </c>
      <c r="M59">
        <v>1.0810744000000001E-2</v>
      </c>
      <c r="N59">
        <v>56.8</v>
      </c>
      <c r="O59">
        <v>1.0810744000000001E-2</v>
      </c>
      <c r="P59" s="1" t="s">
        <v>27</v>
      </c>
    </row>
    <row r="60" spans="1:16" x14ac:dyDescent="0.35">
      <c r="A60" t="s">
        <v>111</v>
      </c>
      <c r="B60" t="s">
        <v>102</v>
      </c>
      <c r="C60" t="s">
        <v>110</v>
      </c>
      <c r="D60" t="s">
        <v>19</v>
      </c>
      <c r="E60" t="s">
        <v>20</v>
      </c>
      <c r="F60" t="s">
        <v>21</v>
      </c>
      <c r="G60" t="s">
        <v>31</v>
      </c>
      <c r="H60" t="b">
        <v>1</v>
      </c>
      <c r="I60">
        <v>10</v>
      </c>
      <c r="J60">
        <v>45.2777777777778</v>
      </c>
      <c r="L60">
        <v>81.5</v>
      </c>
      <c r="M60">
        <v>3.0155000000000001E-2</v>
      </c>
      <c r="N60">
        <v>81.5</v>
      </c>
      <c r="O60">
        <v>3.0155000000000001E-2</v>
      </c>
    </row>
    <row r="61" spans="1:16" x14ac:dyDescent="0.35">
      <c r="A61" t="s">
        <v>112</v>
      </c>
      <c r="B61" t="s">
        <v>102</v>
      </c>
      <c r="C61" t="s">
        <v>110</v>
      </c>
      <c r="D61" t="s">
        <v>19</v>
      </c>
      <c r="E61" t="s">
        <v>20</v>
      </c>
      <c r="F61" t="s">
        <v>21</v>
      </c>
      <c r="G61" t="s">
        <v>29</v>
      </c>
      <c r="H61" t="b">
        <v>0</v>
      </c>
      <c r="I61">
        <v>10</v>
      </c>
      <c r="J61">
        <v>29</v>
      </c>
      <c r="L61">
        <v>2.9</v>
      </c>
      <c r="M61">
        <v>1.3339999999999999E-4</v>
      </c>
      <c r="N61">
        <v>0</v>
      </c>
      <c r="O61">
        <v>0</v>
      </c>
    </row>
    <row r="62" spans="1:16" x14ac:dyDescent="0.35">
      <c r="A62" t="s">
        <v>113</v>
      </c>
      <c r="B62" t="s">
        <v>102</v>
      </c>
      <c r="C62" t="s">
        <v>110</v>
      </c>
      <c r="D62" t="s">
        <v>19</v>
      </c>
      <c r="E62" t="s">
        <v>20</v>
      </c>
      <c r="F62" t="s">
        <v>21</v>
      </c>
      <c r="G62" t="s">
        <v>37</v>
      </c>
      <c r="H62" t="b">
        <v>1</v>
      </c>
      <c r="I62">
        <v>10</v>
      </c>
      <c r="J62">
        <v>92</v>
      </c>
      <c r="L62">
        <v>9.1999999999999993</v>
      </c>
      <c r="M62">
        <v>5.2958880000000003E-3</v>
      </c>
      <c r="N62">
        <v>9.1999999999999993</v>
      </c>
      <c r="O62">
        <v>5.2958880000000003E-3</v>
      </c>
    </row>
    <row r="63" spans="1:16" x14ac:dyDescent="0.35">
      <c r="A63" t="s">
        <v>114</v>
      </c>
      <c r="B63" t="s">
        <v>102</v>
      </c>
      <c r="C63" t="s">
        <v>115</v>
      </c>
      <c r="D63" t="s">
        <v>19</v>
      </c>
      <c r="E63" t="s">
        <v>20</v>
      </c>
      <c r="F63" t="s">
        <v>21</v>
      </c>
      <c r="G63" t="s">
        <v>31</v>
      </c>
      <c r="H63" t="b">
        <v>1</v>
      </c>
      <c r="I63">
        <v>10</v>
      </c>
      <c r="J63">
        <v>27.8888888888889</v>
      </c>
      <c r="L63">
        <v>50.2</v>
      </c>
      <c r="M63">
        <v>1.8574E-2</v>
      </c>
      <c r="N63">
        <v>50.2</v>
      </c>
      <c r="O63">
        <v>1.8574E-2</v>
      </c>
    </row>
    <row r="64" spans="1:16" x14ac:dyDescent="0.35">
      <c r="A64" t="s">
        <v>116</v>
      </c>
      <c r="B64" t="s">
        <v>102</v>
      </c>
      <c r="C64" t="s">
        <v>115</v>
      </c>
      <c r="D64" t="s">
        <v>19</v>
      </c>
      <c r="E64" t="s">
        <v>20</v>
      </c>
      <c r="F64" t="s">
        <v>21</v>
      </c>
      <c r="G64" t="s">
        <v>80</v>
      </c>
      <c r="H64" t="b">
        <v>0</v>
      </c>
      <c r="I64">
        <v>10</v>
      </c>
      <c r="J64">
        <v>29</v>
      </c>
      <c r="L64">
        <v>2.9</v>
      </c>
      <c r="M64">
        <v>4.5530000000000001E-4</v>
      </c>
      <c r="N64">
        <v>0</v>
      </c>
      <c r="O64">
        <v>0</v>
      </c>
    </row>
    <row r="65" spans="1:16" x14ac:dyDescent="0.35">
      <c r="A65" t="s">
        <v>117</v>
      </c>
      <c r="B65" t="s">
        <v>102</v>
      </c>
      <c r="C65" t="s">
        <v>115</v>
      </c>
      <c r="D65" t="s">
        <v>19</v>
      </c>
      <c r="E65" t="s">
        <v>20</v>
      </c>
      <c r="F65" t="s">
        <v>21</v>
      </c>
      <c r="G65" t="s">
        <v>43</v>
      </c>
      <c r="H65" t="b">
        <v>1</v>
      </c>
      <c r="I65">
        <v>10</v>
      </c>
      <c r="J65">
        <v>186.2</v>
      </c>
      <c r="L65">
        <v>93.1</v>
      </c>
      <c r="M65">
        <v>1.7719723E-2</v>
      </c>
      <c r="N65">
        <v>93.1</v>
      </c>
      <c r="O65">
        <v>1.7719723E-2</v>
      </c>
      <c r="P65" s="1" t="s">
        <v>27</v>
      </c>
    </row>
    <row r="66" spans="1:16" x14ac:dyDescent="0.35">
      <c r="A66" t="s">
        <v>118</v>
      </c>
      <c r="B66" t="s">
        <v>102</v>
      </c>
      <c r="C66" t="s">
        <v>115</v>
      </c>
      <c r="D66" t="s">
        <v>19</v>
      </c>
      <c r="E66" t="s">
        <v>20</v>
      </c>
      <c r="F66" t="s">
        <v>21</v>
      </c>
      <c r="G66" t="s">
        <v>29</v>
      </c>
      <c r="H66" t="b">
        <v>0</v>
      </c>
      <c r="I66">
        <v>10</v>
      </c>
      <c r="J66">
        <v>18.5</v>
      </c>
      <c r="L66">
        <v>3.7</v>
      </c>
      <c r="M66">
        <v>1.7019999999999999E-4</v>
      </c>
      <c r="N66">
        <v>0</v>
      </c>
      <c r="O66">
        <v>0</v>
      </c>
    </row>
    <row r="67" spans="1:16" x14ac:dyDescent="0.35">
      <c r="A67" t="s">
        <v>119</v>
      </c>
      <c r="B67" t="s">
        <v>102</v>
      </c>
      <c r="C67" t="s">
        <v>115</v>
      </c>
      <c r="D67" t="s">
        <v>19</v>
      </c>
      <c r="E67" t="s">
        <v>20</v>
      </c>
      <c r="F67" t="s">
        <v>21</v>
      </c>
      <c r="G67" t="s">
        <v>26</v>
      </c>
      <c r="H67" t="b">
        <v>1</v>
      </c>
      <c r="I67">
        <v>10</v>
      </c>
      <c r="J67">
        <v>13</v>
      </c>
      <c r="L67">
        <v>1.3</v>
      </c>
      <c r="M67">
        <v>1.2097800000000001E-4</v>
      </c>
      <c r="N67">
        <v>1.3</v>
      </c>
      <c r="O67">
        <v>1.2097800000000001E-4</v>
      </c>
      <c r="P67" s="1" t="s">
        <v>27</v>
      </c>
    </row>
    <row r="68" spans="1:16" x14ac:dyDescent="0.35">
      <c r="A68" t="s">
        <v>120</v>
      </c>
      <c r="B68" t="s">
        <v>121</v>
      </c>
      <c r="C68" t="s">
        <v>122</v>
      </c>
      <c r="D68" t="s">
        <v>19</v>
      </c>
      <c r="E68" t="s">
        <v>20</v>
      </c>
      <c r="F68" t="s">
        <v>21</v>
      </c>
      <c r="G68" t="s">
        <v>31</v>
      </c>
      <c r="H68" t="b">
        <v>1</v>
      </c>
      <c r="I68">
        <v>10</v>
      </c>
      <c r="J68">
        <v>20.100000000000001</v>
      </c>
      <c r="K68">
        <v>6</v>
      </c>
      <c r="L68">
        <v>52.26</v>
      </c>
      <c r="M68">
        <v>1.9336200000000001E-2</v>
      </c>
      <c r="N68">
        <v>52.26</v>
      </c>
      <c r="O68">
        <v>1.9336200000000001E-2</v>
      </c>
    </row>
    <row r="69" spans="1:16" x14ac:dyDescent="0.35">
      <c r="A69" t="s">
        <v>123</v>
      </c>
      <c r="B69" t="s">
        <v>121</v>
      </c>
      <c r="C69" t="s">
        <v>122</v>
      </c>
      <c r="D69" t="s">
        <v>19</v>
      </c>
      <c r="E69" t="s">
        <v>20</v>
      </c>
      <c r="F69" t="s">
        <v>21</v>
      </c>
      <c r="G69" t="s">
        <v>124</v>
      </c>
      <c r="H69" t="b">
        <v>1</v>
      </c>
      <c r="I69">
        <v>10</v>
      </c>
      <c r="J69">
        <v>305.066666666667</v>
      </c>
      <c r="L69">
        <v>457.6</v>
      </c>
      <c r="M69">
        <v>0</v>
      </c>
      <c r="N69">
        <v>457.6</v>
      </c>
      <c r="O69">
        <v>0</v>
      </c>
    </row>
    <row r="70" spans="1:16" x14ac:dyDescent="0.35">
      <c r="A70" t="s">
        <v>125</v>
      </c>
      <c r="B70" t="s">
        <v>121</v>
      </c>
      <c r="C70" t="s">
        <v>122</v>
      </c>
      <c r="D70" t="s">
        <v>19</v>
      </c>
      <c r="E70" t="s">
        <v>20</v>
      </c>
      <c r="F70" t="s">
        <v>21</v>
      </c>
      <c r="G70" t="s">
        <v>90</v>
      </c>
      <c r="H70" t="b">
        <v>1</v>
      </c>
      <c r="I70">
        <v>10</v>
      </c>
      <c r="J70">
        <v>16.714285714285701</v>
      </c>
      <c r="L70">
        <v>11.7</v>
      </c>
      <c r="M70">
        <v>3.042E-3</v>
      </c>
      <c r="N70">
        <v>11.7</v>
      </c>
      <c r="O70">
        <v>3.042E-3</v>
      </c>
    </row>
    <row r="71" spans="1:16" x14ac:dyDescent="0.35">
      <c r="A71" t="s">
        <v>126</v>
      </c>
      <c r="B71" t="s">
        <v>121</v>
      </c>
      <c r="C71" t="s">
        <v>122</v>
      </c>
      <c r="D71" t="s">
        <v>19</v>
      </c>
      <c r="E71" t="s">
        <v>20</v>
      </c>
      <c r="F71" t="s">
        <v>21</v>
      </c>
      <c r="G71" t="s">
        <v>33</v>
      </c>
      <c r="H71" t="b">
        <v>1</v>
      </c>
      <c r="I71">
        <v>10</v>
      </c>
      <c r="J71">
        <v>25.5</v>
      </c>
      <c r="L71">
        <v>5.0999999999999996</v>
      </c>
      <c r="M71">
        <v>3.0600000000000001E-4</v>
      </c>
      <c r="N71">
        <v>5.0999999999999996</v>
      </c>
      <c r="O71">
        <v>3.0600000000000001E-4</v>
      </c>
    </row>
    <row r="72" spans="1:16" x14ac:dyDescent="0.35">
      <c r="A72" t="s">
        <v>127</v>
      </c>
      <c r="B72" t="s">
        <v>121</v>
      </c>
      <c r="C72" t="s">
        <v>122</v>
      </c>
      <c r="D72" t="s">
        <v>19</v>
      </c>
      <c r="E72" t="s">
        <v>20</v>
      </c>
      <c r="F72" t="s">
        <v>21</v>
      </c>
      <c r="G72" t="s">
        <v>57</v>
      </c>
      <c r="H72" t="b">
        <v>1</v>
      </c>
      <c r="I72">
        <v>10</v>
      </c>
      <c r="J72">
        <v>20.1428571428571</v>
      </c>
      <c r="L72">
        <v>14.1</v>
      </c>
      <c r="M72">
        <v>2.679E-3</v>
      </c>
      <c r="N72">
        <v>14.1</v>
      </c>
      <c r="O72">
        <v>2.679E-3</v>
      </c>
    </row>
    <row r="73" spans="1:16" x14ac:dyDescent="0.35">
      <c r="A73" t="s">
        <v>128</v>
      </c>
      <c r="B73" t="s">
        <v>121</v>
      </c>
      <c r="C73" t="s">
        <v>122</v>
      </c>
      <c r="D73" t="s">
        <v>19</v>
      </c>
      <c r="E73" t="s">
        <v>20</v>
      </c>
      <c r="F73" t="s">
        <v>21</v>
      </c>
      <c r="G73" t="s">
        <v>80</v>
      </c>
      <c r="H73" t="b">
        <v>0</v>
      </c>
      <c r="I73">
        <v>10</v>
      </c>
      <c r="J73">
        <v>25.5</v>
      </c>
      <c r="L73">
        <v>10.199999999999999</v>
      </c>
      <c r="M73">
        <v>1.6014E-3</v>
      </c>
      <c r="N73">
        <v>0</v>
      </c>
      <c r="O73">
        <v>0</v>
      </c>
    </row>
    <row r="74" spans="1:16" x14ac:dyDescent="0.35">
      <c r="A74" t="s">
        <v>129</v>
      </c>
      <c r="B74" t="s">
        <v>121</v>
      </c>
      <c r="C74" t="s">
        <v>122</v>
      </c>
      <c r="D74" t="s">
        <v>19</v>
      </c>
      <c r="E74" t="s">
        <v>20</v>
      </c>
      <c r="F74" t="s">
        <v>21</v>
      </c>
      <c r="G74" t="s">
        <v>37</v>
      </c>
      <c r="H74" t="b">
        <v>1</v>
      </c>
      <c r="I74">
        <v>10</v>
      </c>
      <c r="J74">
        <v>23.35</v>
      </c>
      <c r="K74">
        <v>14</v>
      </c>
      <c r="L74">
        <v>79.39</v>
      </c>
      <c r="M74">
        <v>4.5700059600000002E-2</v>
      </c>
      <c r="N74">
        <v>79.39</v>
      </c>
      <c r="O74">
        <v>4.5700059600000002E-2</v>
      </c>
    </row>
    <row r="75" spans="1:16" x14ac:dyDescent="0.35">
      <c r="A75" t="s">
        <v>130</v>
      </c>
      <c r="B75" t="s">
        <v>121</v>
      </c>
      <c r="C75" t="s">
        <v>122</v>
      </c>
      <c r="D75" t="s">
        <v>19</v>
      </c>
      <c r="E75" t="s">
        <v>20</v>
      </c>
      <c r="F75" t="s">
        <v>21</v>
      </c>
      <c r="G75" t="s">
        <v>35</v>
      </c>
      <c r="H75" t="b">
        <v>1</v>
      </c>
      <c r="I75">
        <v>10</v>
      </c>
      <c r="J75">
        <v>58.4</v>
      </c>
      <c r="L75">
        <v>29.2</v>
      </c>
      <c r="M75">
        <v>2.7255280000000001E-3</v>
      </c>
      <c r="N75">
        <v>29.2</v>
      </c>
      <c r="O75">
        <v>2.7255280000000001E-3</v>
      </c>
    </row>
    <row r="76" spans="1:16" x14ac:dyDescent="0.35">
      <c r="A76" t="s">
        <v>131</v>
      </c>
      <c r="B76" t="s">
        <v>121</v>
      </c>
      <c r="C76" t="s">
        <v>122</v>
      </c>
      <c r="D76" t="s">
        <v>19</v>
      </c>
      <c r="E76" t="s">
        <v>20</v>
      </c>
      <c r="F76" t="s">
        <v>21</v>
      </c>
      <c r="G76" t="s">
        <v>41</v>
      </c>
      <c r="H76" t="b">
        <v>1</v>
      </c>
      <c r="I76">
        <v>10</v>
      </c>
      <c r="J76">
        <v>21.45</v>
      </c>
      <c r="K76">
        <v>12</v>
      </c>
      <c r="L76">
        <v>68.64</v>
      </c>
      <c r="M76">
        <v>5.4225599999999999E-3</v>
      </c>
      <c r="N76">
        <v>68.64</v>
      </c>
      <c r="O76">
        <v>5.4225599999999999E-3</v>
      </c>
    </row>
    <row r="77" spans="1:16" x14ac:dyDescent="0.35">
      <c r="A77" t="s">
        <v>132</v>
      </c>
      <c r="B77" t="s">
        <v>121</v>
      </c>
      <c r="C77" t="s">
        <v>122</v>
      </c>
      <c r="D77" t="s">
        <v>19</v>
      </c>
      <c r="E77" t="s">
        <v>20</v>
      </c>
      <c r="F77" t="s">
        <v>21</v>
      </c>
      <c r="G77" t="s">
        <v>31</v>
      </c>
      <c r="H77" t="b">
        <v>1</v>
      </c>
      <c r="I77">
        <v>10</v>
      </c>
      <c r="J77">
        <v>19.692307692307701</v>
      </c>
      <c r="L77">
        <v>25.6</v>
      </c>
      <c r="M77">
        <v>9.4719999999999995E-3</v>
      </c>
      <c r="N77">
        <v>25.6</v>
      </c>
      <c r="O77">
        <v>9.4719999999999995E-3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5.08984375" customWidth="1"/>
    <col min="13" max="13" width="18.17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25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26</v>
      </c>
      <c r="H2" t="b">
        <v>1</v>
      </c>
      <c r="I2">
        <v>10</v>
      </c>
      <c r="J2">
        <v>16.6666666666667</v>
      </c>
      <c r="L2">
        <v>5</v>
      </c>
      <c r="M2">
        <v>4.6529999999999998E-4</v>
      </c>
      <c r="N2">
        <v>5</v>
      </c>
      <c r="O2">
        <v>4.6529999999999998E-4</v>
      </c>
      <c r="P2" s="1" t="s">
        <v>27</v>
      </c>
    </row>
    <row r="3" spans="1:16" ht="29" x14ac:dyDescent="0.35">
      <c r="A3" t="s">
        <v>38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39</v>
      </c>
      <c r="H3" t="b">
        <v>1</v>
      </c>
      <c r="I3">
        <v>10</v>
      </c>
      <c r="J3">
        <v>14.75</v>
      </c>
      <c r="L3">
        <v>5.9</v>
      </c>
      <c r="M3">
        <v>5.1329999999999995E-4</v>
      </c>
      <c r="N3">
        <v>5.9</v>
      </c>
      <c r="O3">
        <v>5.1329999999999995E-4</v>
      </c>
      <c r="P3" s="1" t="s">
        <v>27</v>
      </c>
    </row>
    <row r="4" spans="1:16" ht="29" x14ac:dyDescent="0.35">
      <c r="A4" t="s">
        <v>42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43</v>
      </c>
      <c r="H4" t="b">
        <v>1</v>
      </c>
      <c r="I4">
        <v>10</v>
      </c>
      <c r="J4">
        <v>60.4</v>
      </c>
      <c r="L4">
        <v>30.2</v>
      </c>
      <c r="M4">
        <v>5.7479660000000002E-3</v>
      </c>
      <c r="N4">
        <v>30.2</v>
      </c>
      <c r="O4">
        <v>5.7479660000000002E-3</v>
      </c>
      <c r="P4" s="1" t="s">
        <v>27</v>
      </c>
    </row>
    <row r="5" spans="1:16" ht="29" x14ac:dyDescent="0.35">
      <c r="A5" t="s">
        <v>48</v>
      </c>
      <c r="B5" t="s">
        <v>49</v>
      </c>
      <c r="C5" t="s">
        <v>50</v>
      </c>
      <c r="D5" t="s">
        <v>19</v>
      </c>
      <c r="E5" t="s">
        <v>20</v>
      </c>
      <c r="F5" t="s">
        <v>51</v>
      </c>
      <c r="G5" t="s">
        <v>39</v>
      </c>
      <c r="H5" t="b">
        <v>1</v>
      </c>
      <c r="I5">
        <v>10</v>
      </c>
      <c r="J5">
        <v>10.35</v>
      </c>
      <c r="K5">
        <v>306</v>
      </c>
      <c r="L5">
        <v>10600.0631875</v>
      </c>
      <c r="M5">
        <v>0.92220549731250001</v>
      </c>
      <c r="N5">
        <v>10600.0631875</v>
      </c>
      <c r="O5">
        <v>0.92220549731250001</v>
      </c>
      <c r="P5" s="1" t="s">
        <v>27</v>
      </c>
    </row>
    <row r="6" spans="1:16" ht="29" x14ac:dyDescent="0.35">
      <c r="A6" t="s">
        <v>53</v>
      </c>
      <c r="B6" t="s">
        <v>49</v>
      </c>
      <c r="C6" t="s">
        <v>54</v>
      </c>
      <c r="D6" t="s">
        <v>19</v>
      </c>
      <c r="E6" t="s">
        <v>20</v>
      </c>
      <c r="F6" t="s">
        <v>51</v>
      </c>
      <c r="G6" t="s">
        <v>39</v>
      </c>
      <c r="H6" t="b">
        <v>1</v>
      </c>
      <c r="I6">
        <v>10</v>
      </c>
      <c r="J6">
        <v>15.55</v>
      </c>
      <c r="K6">
        <v>52</v>
      </c>
      <c r="L6">
        <v>3517.3322499999999</v>
      </c>
      <c r="M6">
        <v>0.30600790574999998</v>
      </c>
      <c r="N6">
        <v>3517.3322499999999</v>
      </c>
      <c r="O6">
        <v>0.30600790574999998</v>
      </c>
      <c r="P6" s="1" t="s">
        <v>27</v>
      </c>
    </row>
    <row r="7" spans="1:16" ht="29" x14ac:dyDescent="0.35">
      <c r="A7" t="s">
        <v>72</v>
      </c>
      <c r="B7" t="s">
        <v>62</v>
      </c>
      <c r="C7" t="s">
        <v>71</v>
      </c>
      <c r="D7" t="s">
        <v>19</v>
      </c>
      <c r="E7" t="s">
        <v>20</v>
      </c>
      <c r="F7" t="s">
        <v>21</v>
      </c>
      <c r="G7" t="s">
        <v>43</v>
      </c>
      <c r="H7" t="b">
        <v>1</v>
      </c>
      <c r="I7">
        <v>10</v>
      </c>
      <c r="J7">
        <v>37</v>
      </c>
      <c r="L7">
        <v>33.299999999999997</v>
      </c>
      <c r="M7">
        <v>6.3379889999999996E-3</v>
      </c>
      <c r="N7">
        <v>33.299999999999997</v>
      </c>
      <c r="O7">
        <v>6.3379889999999996E-3</v>
      </c>
      <c r="P7" s="1" t="s">
        <v>27</v>
      </c>
    </row>
    <row r="8" spans="1:16" ht="29" x14ac:dyDescent="0.35">
      <c r="A8" t="s">
        <v>73</v>
      </c>
      <c r="B8" t="s">
        <v>62</v>
      </c>
      <c r="C8" t="s">
        <v>71</v>
      </c>
      <c r="D8" t="s">
        <v>19</v>
      </c>
      <c r="E8" t="s">
        <v>20</v>
      </c>
      <c r="F8" t="s">
        <v>21</v>
      </c>
      <c r="G8" t="s">
        <v>26</v>
      </c>
      <c r="H8" t="b">
        <v>1</v>
      </c>
      <c r="I8">
        <v>10</v>
      </c>
      <c r="J8">
        <v>7</v>
      </c>
      <c r="L8">
        <v>0.7</v>
      </c>
      <c r="M8">
        <v>6.5141999999999994E-5</v>
      </c>
      <c r="N8">
        <v>0.7</v>
      </c>
      <c r="O8">
        <v>6.5141999999999994E-5</v>
      </c>
      <c r="P8" s="1" t="s">
        <v>27</v>
      </c>
    </row>
    <row r="9" spans="1:16" ht="29" x14ac:dyDescent="0.35">
      <c r="A9" t="s">
        <v>85</v>
      </c>
      <c r="B9" t="s">
        <v>62</v>
      </c>
      <c r="C9" t="s">
        <v>82</v>
      </c>
      <c r="D9" t="s">
        <v>19</v>
      </c>
      <c r="E9" t="s">
        <v>20</v>
      </c>
      <c r="F9" t="s">
        <v>21</v>
      </c>
      <c r="G9" t="s">
        <v>39</v>
      </c>
      <c r="H9" t="b">
        <v>1</v>
      </c>
      <c r="I9">
        <v>10</v>
      </c>
      <c r="J9">
        <v>28.928571428571399</v>
      </c>
      <c r="L9">
        <v>40.5</v>
      </c>
      <c r="M9">
        <v>3.5235000000000002E-3</v>
      </c>
      <c r="N9">
        <v>40.5</v>
      </c>
      <c r="O9">
        <v>3.5235000000000002E-3</v>
      </c>
      <c r="P9" s="1" t="s">
        <v>27</v>
      </c>
    </row>
    <row r="10" spans="1:16" ht="29" x14ac:dyDescent="0.35">
      <c r="A10" t="s">
        <v>86</v>
      </c>
      <c r="B10" t="s">
        <v>62</v>
      </c>
      <c r="C10" t="s">
        <v>82</v>
      </c>
      <c r="D10" t="s">
        <v>19</v>
      </c>
      <c r="E10" t="s">
        <v>20</v>
      </c>
      <c r="F10" t="s">
        <v>21</v>
      </c>
      <c r="G10" t="s">
        <v>43</v>
      </c>
      <c r="H10" t="b">
        <v>1</v>
      </c>
      <c r="I10">
        <v>10</v>
      </c>
      <c r="J10">
        <v>29.5</v>
      </c>
      <c r="L10">
        <v>17.7</v>
      </c>
      <c r="M10">
        <v>3.368841E-3</v>
      </c>
      <c r="N10">
        <v>17.7</v>
      </c>
      <c r="O10">
        <v>3.368841E-3</v>
      </c>
      <c r="P10" s="1" t="s">
        <v>27</v>
      </c>
    </row>
    <row r="11" spans="1:16" ht="29" x14ac:dyDescent="0.35">
      <c r="A11" t="s">
        <v>95</v>
      </c>
      <c r="B11" t="s">
        <v>62</v>
      </c>
      <c r="C11" t="s">
        <v>92</v>
      </c>
      <c r="D11" t="s">
        <v>19</v>
      </c>
      <c r="E11" t="s">
        <v>20</v>
      </c>
      <c r="F11" t="s">
        <v>21</v>
      </c>
      <c r="G11" t="s">
        <v>26</v>
      </c>
      <c r="H11" t="b">
        <v>1</v>
      </c>
      <c r="I11">
        <v>10</v>
      </c>
      <c r="J11">
        <v>19.6666666666667</v>
      </c>
      <c r="L11">
        <v>5.9</v>
      </c>
      <c r="M11">
        <v>5.4905399999999999E-4</v>
      </c>
      <c r="N11">
        <v>5.9</v>
      </c>
      <c r="O11">
        <v>5.4905399999999999E-4</v>
      </c>
      <c r="P11" s="1" t="s">
        <v>27</v>
      </c>
    </row>
    <row r="12" spans="1:16" ht="29" x14ac:dyDescent="0.35">
      <c r="A12" t="s">
        <v>96</v>
      </c>
      <c r="B12" t="s">
        <v>62</v>
      </c>
      <c r="C12" t="s">
        <v>92</v>
      </c>
      <c r="D12" t="s">
        <v>19</v>
      </c>
      <c r="E12" t="s">
        <v>20</v>
      </c>
      <c r="F12" t="s">
        <v>21</v>
      </c>
      <c r="G12" t="s">
        <v>43</v>
      </c>
      <c r="H12" t="b">
        <v>1</v>
      </c>
      <c r="I12">
        <v>10</v>
      </c>
      <c r="J12">
        <v>103.666666666667</v>
      </c>
      <c r="L12">
        <v>31.1</v>
      </c>
      <c r="M12">
        <v>5.9192630000000001E-3</v>
      </c>
      <c r="N12">
        <v>31.1</v>
      </c>
      <c r="O12">
        <v>5.9192630000000001E-3</v>
      </c>
      <c r="P12" s="1" t="s">
        <v>27</v>
      </c>
    </row>
    <row r="13" spans="1:16" ht="29" x14ac:dyDescent="0.35">
      <c r="A13" t="s">
        <v>97</v>
      </c>
      <c r="B13" t="s">
        <v>62</v>
      </c>
      <c r="C13" t="s">
        <v>92</v>
      </c>
      <c r="D13" t="s">
        <v>19</v>
      </c>
      <c r="E13" t="s">
        <v>20</v>
      </c>
      <c r="F13" t="s">
        <v>21</v>
      </c>
      <c r="G13" t="s">
        <v>39</v>
      </c>
      <c r="H13" t="b">
        <v>1</v>
      </c>
      <c r="I13">
        <v>10</v>
      </c>
      <c r="J13">
        <v>32.6666666666667</v>
      </c>
      <c r="L13">
        <v>19.600000000000001</v>
      </c>
      <c r="M13">
        <v>1.7052E-3</v>
      </c>
      <c r="N13">
        <v>19.600000000000001</v>
      </c>
      <c r="O13">
        <v>1.7052E-3</v>
      </c>
      <c r="P13" s="1" t="s">
        <v>27</v>
      </c>
    </row>
    <row r="14" spans="1:16" ht="29" x14ac:dyDescent="0.35">
      <c r="A14" t="s">
        <v>105</v>
      </c>
      <c r="B14" t="s">
        <v>102</v>
      </c>
      <c r="C14" t="s">
        <v>103</v>
      </c>
      <c r="D14" t="s">
        <v>19</v>
      </c>
      <c r="E14" t="s">
        <v>20</v>
      </c>
      <c r="F14" t="s">
        <v>21</v>
      </c>
      <c r="G14" t="s">
        <v>43</v>
      </c>
      <c r="H14" t="b">
        <v>1</v>
      </c>
      <c r="I14">
        <v>10</v>
      </c>
      <c r="J14">
        <v>103</v>
      </c>
      <c r="L14">
        <v>10.3</v>
      </c>
      <c r="M14">
        <v>1.9603989999999998E-3</v>
      </c>
      <c r="N14">
        <v>10.3</v>
      </c>
      <c r="O14">
        <v>1.9603989999999998E-3</v>
      </c>
      <c r="P14" s="1" t="s">
        <v>27</v>
      </c>
    </row>
    <row r="15" spans="1:16" ht="29" x14ac:dyDescent="0.35">
      <c r="A15" t="s">
        <v>109</v>
      </c>
      <c r="B15" t="s">
        <v>102</v>
      </c>
      <c r="C15" t="s">
        <v>110</v>
      </c>
      <c r="D15" t="s">
        <v>19</v>
      </c>
      <c r="E15" t="s">
        <v>20</v>
      </c>
      <c r="F15" t="s">
        <v>21</v>
      </c>
      <c r="G15" t="s">
        <v>43</v>
      </c>
      <c r="H15" t="b">
        <v>1</v>
      </c>
      <c r="I15">
        <v>10</v>
      </c>
      <c r="J15">
        <v>71</v>
      </c>
      <c r="L15">
        <v>56.8</v>
      </c>
      <c r="M15">
        <v>1.0810744000000001E-2</v>
      </c>
      <c r="N15">
        <v>56.8</v>
      </c>
      <c r="O15">
        <v>1.0810744000000001E-2</v>
      </c>
      <c r="P15" s="1" t="s">
        <v>27</v>
      </c>
    </row>
    <row r="16" spans="1:16" ht="29" x14ac:dyDescent="0.35">
      <c r="A16" t="s">
        <v>117</v>
      </c>
      <c r="B16" t="s">
        <v>102</v>
      </c>
      <c r="C16" t="s">
        <v>115</v>
      </c>
      <c r="D16" t="s">
        <v>19</v>
      </c>
      <c r="E16" t="s">
        <v>20</v>
      </c>
      <c r="F16" t="s">
        <v>21</v>
      </c>
      <c r="G16" t="s">
        <v>43</v>
      </c>
      <c r="H16" t="b">
        <v>1</v>
      </c>
      <c r="I16">
        <v>10</v>
      </c>
      <c r="J16">
        <v>186.2</v>
      </c>
      <c r="L16">
        <v>93.1</v>
      </c>
      <c r="M16">
        <v>1.7719723E-2</v>
      </c>
      <c r="N16">
        <v>93.1</v>
      </c>
      <c r="O16">
        <v>1.7719723E-2</v>
      </c>
      <c r="P16" s="1" t="s">
        <v>27</v>
      </c>
    </row>
    <row r="17" spans="1:16" ht="29" x14ac:dyDescent="0.35">
      <c r="A17" t="s">
        <v>119</v>
      </c>
      <c r="B17" t="s">
        <v>102</v>
      </c>
      <c r="C17" t="s">
        <v>115</v>
      </c>
      <c r="D17" t="s">
        <v>19</v>
      </c>
      <c r="E17" t="s">
        <v>20</v>
      </c>
      <c r="F17" t="s">
        <v>21</v>
      </c>
      <c r="G17" t="s">
        <v>26</v>
      </c>
      <c r="H17" t="b">
        <v>1</v>
      </c>
      <c r="I17">
        <v>10</v>
      </c>
      <c r="J17">
        <v>13</v>
      </c>
      <c r="L17">
        <v>1.3</v>
      </c>
      <c r="M17">
        <v>1.2097800000000001E-4</v>
      </c>
      <c r="N17">
        <v>1.3</v>
      </c>
      <c r="O17">
        <v>1.2097800000000001E-4</v>
      </c>
      <c r="P17" s="1" t="s">
        <v>27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4.5" x14ac:dyDescent="0.35"/>
  <cols>
    <col min="1" max="1" width="24" customWidth="1"/>
    <col min="2" max="2" width="32.08984375" customWidth="1"/>
  </cols>
  <sheetData>
    <row r="1" spans="1:4" x14ac:dyDescent="0.35">
      <c r="A1" s="2" t="s">
        <v>133</v>
      </c>
      <c r="B1" s="2" t="s">
        <v>134</v>
      </c>
    </row>
    <row r="2" spans="1:4" x14ac:dyDescent="0.35">
      <c r="A2" s="3" t="s">
        <v>135</v>
      </c>
      <c r="B2" s="3" t="s">
        <v>135</v>
      </c>
    </row>
    <row r="3" spans="1:4" x14ac:dyDescent="0.35">
      <c r="A3" s="4" t="s">
        <v>136</v>
      </c>
      <c r="B3" s="4" t="s">
        <v>137</v>
      </c>
    </row>
    <row r="4" spans="1:4" x14ac:dyDescent="0.35">
      <c r="A4" s="5" t="s">
        <v>138</v>
      </c>
      <c r="B4" s="5" t="s">
        <v>139</v>
      </c>
    </row>
    <row r="8" spans="1:4" x14ac:dyDescent="0.35">
      <c r="C8" s="6" t="s">
        <v>153</v>
      </c>
      <c r="D8" s="6" t="s">
        <v>154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35">
      <c r="A11" t="s">
        <v>17</v>
      </c>
      <c r="B11" t="s">
        <v>18</v>
      </c>
      <c r="C11">
        <v>3.2170727999999996E-2</v>
      </c>
      <c r="D11">
        <v>3.1986708000000003E-2</v>
      </c>
    </row>
    <row r="12" spans="1:4" x14ac:dyDescent="0.35">
      <c r="A12" t="s">
        <v>49</v>
      </c>
      <c r="B12" t="s">
        <v>50</v>
      </c>
      <c r="C12">
        <v>0.92543191765972221</v>
      </c>
      <c r="D12">
        <v>0.92543191765972221</v>
      </c>
    </row>
    <row r="13" spans="1:4" x14ac:dyDescent="0.35">
      <c r="B13" t="s">
        <v>54</v>
      </c>
      <c r="C13">
        <v>0.68881391489166655</v>
      </c>
      <c r="D13">
        <v>0.68786433571527761</v>
      </c>
    </row>
    <row r="14" spans="1:4" x14ac:dyDescent="0.35">
      <c r="A14" t="s">
        <v>62</v>
      </c>
      <c r="B14" t="s">
        <v>63</v>
      </c>
      <c r="C14">
        <v>2.2493521951388921E-2</v>
      </c>
      <c r="D14">
        <v>1.51110826388889E-2</v>
      </c>
    </row>
    <row r="15" spans="1:4" x14ac:dyDescent="0.35">
      <c r="B15" t="s">
        <v>67</v>
      </c>
      <c r="C15">
        <v>5.0891990041666738E-2</v>
      </c>
      <c r="D15">
        <v>5.0799627083333403E-2</v>
      </c>
    </row>
    <row r="16" spans="1:4" x14ac:dyDescent="0.35">
      <c r="B16" t="s">
        <v>71</v>
      </c>
      <c r="C16">
        <v>2.2850412000000001E-2</v>
      </c>
      <c r="D16">
        <v>2.1091167000000001E-2</v>
      </c>
    </row>
    <row r="17" spans="1:4" x14ac:dyDescent="0.35">
      <c r="B17" t="s">
        <v>82</v>
      </c>
      <c r="C17">
        <v>2.0701225499999996E-2</v>
      </c>
      <c r="D17">
        <v>1.8512832999999999E-2</v>
      </c>
    </row>
    <row r="18" spans="1:4" x14ac:dyDescent="0.35">
      <c r="B18" t="s">
        <v>92</v>
      </c>
      <c r="C18">
        <v>2.9258433E-2</v>
      </c>
      <c r="D18">
        <v>2.8733563E-2</v>
      </c>
    </row>
    <row r="19" spans="1:4" x14ac:dyDescent="0.35">
      <c r="A19" t="s">
        <v>102</v>
      </c>
      <c r="B19" t="s">
        <v>103</v>
      </c>
      <c r="C19">
        <v>9.2864749999999989E-3</v>
      </c>
      <c r="D19">
        <v>9.2864749999999989E-3</v>
      </c>
    </row>
    <row r="20" spans="1:4" x14ac:dyDescent="0.35">
      <c r="B20" t="s">
        <v>107</v>
      </c>
      <c r="C20">
        <v>1.8226000000000002E-3</v>
      </c>
      <c r="D20">
        <v>1.8226000000000002E-3</v>
      </c>
    </row>
    <row r="21" spans="1:4" x14ac:dyDescent="0.35">
      <c r="B21" t="s">
        <v>110</v>
      </c>
      <c r="C21">
        <v>4.6395031999999996E-2</v>
      </c>
      <c r="D21">
        <v>4.6261631999999997E-2</v>
      </c>
    </row>
    <row r="22" spans="1:4" x14ac:dyDescent="0.35">
      <c r="B22" t="s">
        <v>115</v>
      </c>
      <c r="C22">
        <v>3.7040201000000002E-2</v>
      </c>
      <c r="D22">
        <v>3.6414701000000001E-2</v>
      </c>
    </row>
    <row r="23" spans="1:4" x14ac:dyDescent="0.35">
      <c r="A23" t="s">
        <v>121</v>
      </c>
      <c r="B23" t="s">
        <v>122</v>
      </c>
      <c r="C23">
        <v>9.0284747600000007E-2</v>
      </c>
      <c r="D23">
        <v>8.8683347600000004E-2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/>
  </sheetViews>
  <sheetFormatPr defaultRowHeight="14.5" x14ac:dyDescent="0.35"/>
  <cols>
    <col min="1" max="1" width="24.6328125" customWidth="1"/>
    <col min="2" max="2" width="33.7265625" customWidth="1"/>
    <col min="3" max="3" width="31.36328125" customWidth="1"/>
    <col min="4" max="4" width="29.54296875" customWidth="1"/>
  </cols>
  <sheetData>
    <row r="1" spans="1:4" x14ac:dyDescent="0.35">
      <c r="A1" s="2" t="s">
        <v>140</v>
      </c>
      <c r="B1" s="2" t="s">
        <v>141</v>
      </c>
      <c r="C1" s="2" t="s">
        <v>142</v>
      </c>
      <c r="D1" s="2" t="s">
        <v>143</v>
      </c>
    </row>
    <row r="2" spans="1:4" x14ac:dyDescent="0.35">
      <c r="A2" s="3" t="s">
        <v>144</v>
      </c>
      <c r="B2" s="3" t="s">
        <v>144</v>
      </c>
      <c r="C2" s="3" t="s">
        <v>144</v>
      </c>
      <c r="D2" s="3" t="s">
        <v>144</v>
      </c>
    </row>
    <row r="3" spans="1:4" x14ac:dyDescent="0.35">
      <c r="A3" s="4" t="s">
        <v>145</v>
      </c>
      <c r="B3" s="4" t="s">
        <v>146</v>
      </c>
      <c r="C3" s="4" t="s">
        <v>147</v>
      </c>
      <c r="D3" s="4" t="s">
        <v>148</v>
      </c>
    </row>
    <row r="4" spans="1:4" x14ac:dyDescent="0.35">
      <c r="A4" s="5" t="s">
        <v>149</v>
      </c>
      <c r="B4" s="5" t="s">
        <v>150</v>
      </c>
      <c r="C4" s="5" t="s">
        <v>151</v>
      </c>
      <c r="D4" s="5" t="s">
        <v>152</v>
      </c>
    </row>
    <row r="8" spans="1:4" x14ac:dyDescent="0.35">
      <c r="A8" s="6" t="s">
        <v>11</v>
      </c>
      <c r="C8" s="6" t="s">
        <v>153</v>
      </c>
      <c r="D8" s="6" t="s">
        <v>15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27</v>
      </c>
    </row>
    <row r="11" spans="1:4" x14ac:dyDescent="0.35">
      <c r="A11" t="s">
        <v>17</v>
      </c>
      <c r="B11" t="s">
        <v>18</v>
      </c>
      <c r="C11">
        <v>41.1</v>
      </c>
    </row>
    <row r="12" spans="1:4" x14ac:dyDescent="0.35">
      <c r="A12" t="s">
        <v>49</v>
      </c>
      <c r="B12" t="s">
        <v>50</v>
      </c>
      <c r="C12">
        <v>10600.0631875</v>
      </c>
    </row>
    <row r="13" spans="1:4" x14ac:dyDescent="0.35">
      <c r="B13" t="s">
        <v>54</v>
      </c>
      <c r="C13">
        <v>3517.3322499999999</v>
      </c>
    </row>
    <row r="14" spans="1:4" x14ac:dyDescent="0.35">
      <c r="A14" t="s">
        <v>62</v>
      </c>
      <c r="B14" t="s">
        <v>71</v>
      </c>
      <c r="C14">
        <v>34</v>
      </c>
    </row>
    <row r="15" spans="1:4" x14ac:dyDescent="0.35">
      <c r="B15" t="s">
        <v>82</v>
      </c>
      <c r="C15">
        <v>58.2</v>
      </c>
    </row>
    <row r="16" spans="1:4" x14ac:dyDescent="0.35">
      <c r="B16" t="s">
        <v>92</v>
      </c>
      <c r="C16">
        <v>56.6</v>
      </c>
    </row>
    <row r="17" spans="1:3" x14ac:dyDescent="0.35">
      <c r="A17" t="s">
        <v>102</v>
      </c>
      <c r="B17" t="s">
        <v>103</v>
      </c>
      <c r="C17">
        <v>10.3</v>
      </c>
    </row>
    <row r="18" spans="1:3" x14ac:dyDescent="0.35">
      <c r="B18" t="s">
        <v>110</v>
      </c>
      <c r="C18">
        <v>56.8</v>
      </c>
    </row>
    <row r="19" spans="1:3" x14ac:dyDescent="0.35">
      <c r="B19" t="s">
        <v>115</v>
      </c>
      <c r="C19">
        <v>94.399999999999991</v>
      </c>
    </row>
    <row r="30" spans="1:3" x14ac:dyDescent="0.35">
      <c r="A30" s="2" t="s">
        <v>133</v>
      </c>
    </row>
    <row r="31" spans="1:3" x14ac:dyDescent="0.35">
      <c r="A31" s="3" t="s">
        <v>135</v>
      </c>
    </row>
    <row r="32" spans="1:3" x14ac:dyDescent="0.35">
      <c r="A32" s="4" t="s">
        <v>136</v>
      </c>
    </row>
    <row r="33" spans="1:3" x14ac:dyDescent="0.35">
      <c r="A33" s="5" t="s">
        <v>138</v>
      </c>
    </row>
    <row r="37" spans="1:3" x14ac:dyDescent="0.35">
      <c r="A37" s="6" t="s">
        <v>12</v>
      </c>
      <c r="C37" s="6" t="s">
        <v>153</v>
      </c>
    </row>
    <row r="38" spans="1:3" x14ac:dyDescent="0.35">
      <c r="A38" s="6" t="s">
        <v>1</v>
      </c>
      <c r="B38" s="6" t="s">
        <v>2</v>
      </c>
      <c r="C38" t="s">
        <v>19</v>
      </c>
    </row>
    <row r="39" spans="1:3" x14ac:dyDescent="0.35">
      <c r="A39" t="s">
        <v>17</v>
      </c>
      <c r="B39" t="s">
        <v>18</v>
      </c>
      <c r="C39">
        <v>3.2170727999999996E-2</v>
      </c>
    </row>
    <row r="40" spans="1:3" x14ac:dyDescent="0.35">
      <c r="A40" t="s">
        <v>49</v>
      </c>
      <c r="B40" t="s">
        <v>50</v>
      </c>
      <c r="C40">
        <v>0.92543191765972221</v>
      </c>
    </row>
    <row r="41" spans="1:3" x14ac:dyDescent="0.35">
      <c r="B41" t="s">
        <v>54</v>
      </c>
      <c r="C41">
        <v>0.68881391489166655</v>
      </c>
    </row>
    <row r="42" spans="1:3" x14ac:dyDescent="0.35">
      <c r="A42" t="s">
        <v>62</v>
      </c>
      <c r="B42" t="s">
        <v>63</v>
      </c>
      <c r="C42">
        <v>2.2493521951388921E-2</v>
      </c>
    </row>
    <row r="43" spans="1:3" x14ac:dyDescent="0.35">
      <c r="B43" t="s">
        <v>67</v>
      </c>
      <c r="C43">
        <v>5.0891990041666738E-2</v>
      </c>
    </row>
    <row r="44" spans="1:3" x14ac:dyDescent="0.35">
      <c r="B44" t="s">
        <v>71</v>
      </c>
      <c r="C44">
        <v>2.2850412000000001E-2</v>
      </c>
    </row>
    <row r="45" spans="1:3" x14ac:dyDescent="0.35">
      <c r="B45" t="s">
        <v>82</v>
      </c>
      <c r="C45">
        <v>2.0701225499999996E-2</v>
      </c>
    </row>
    <row r="46" spans="1:3" x14ac:dyDescent="0.35">
      <c r="B46" t="s">
        <v>92</v>
      </c>
      <c r="C46">
        <v>2.9258433E-2</v>
      </c>
    </row>
    <row r="47" spans="1:3" x14ac:dyDescent="0.35">
      <c r="A47" t="s">
        <v>102</v>
      </c>
      <c r="B47" t="s">
        <v>103</v>
      </c>
      <c r="C47">
        <v>9.2864749999999989E-3</v>
      </c>
    </row>
    <row r="48" spans="1:3" x14ac:dyDescent="0.35">
      <c r="B48" t="s">
        <v>107</v>
      </c>
      <c r="C48">
        <v>1.8226000000000002E-3</v>
      </c>
    </row>
    <row r="49" spans="1:3" x14ac:dyDescent="0.35">
      <c r="B49" t="s">
        <v>110</v>
      </c>
      <c r="C49">
        <v>4.6395031999999996E-2</v>
      </c>
    </row>
    <row r="50" spans="1:3" x14ac:dyDescent="0.35">
      <c r="B50" t="s">
        <v>115</v>
      </c>
      <c r="C50">
        <v>3.7040201000000002E-2</v>
      </c>
    </row>
    <row r="51" spans="1:3" x14ac:dyDescent="0.35">
      <c r="A51" t="s">
        <v>121</v>
      </c>
      <c r="B51" t="s">
        <v>122</v>
      </c>
      <c r="C51">
        <v>9.0284747600000007E-2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Raeburn</cp:lastModifiedBy>
  <dcterms:created xsi:type="dcterms:W3CDTF">2025-04-17T03:45:22Z</dcterms:created>
  <dcterms:modified xsi:type="dcterms:W3CDTF">2025-04-17T03:45:32Z</dcterms:modified>
</cp:coreProperties>
</file>