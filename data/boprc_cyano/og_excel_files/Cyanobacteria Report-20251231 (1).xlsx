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2DF99414-3183-4813-8143-E0745EDA2FC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30" r:id="rId5"/>
    <pivotCache cacheId="37" r:id="rId6"/>
    <pivotCache cacheId="43" r:id="rId7"/>
  </pivotCaches>
</workbook>
</file>

<file path=xl/sharedStrings.xml><?xml version="1.0" encoding="utf-8"?>
<sst xmlns="http://schemas.openxmlformats.org/spreadsheetml/2006/main" count="646" uniqueCount="144">
  <si>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</si>
  <si>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</si>
  <si>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</si>
  <si>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</si>
  <si>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</si>
  <si>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</si>
  <si>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</si>
  <si>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</si>
  <si>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</si>
  <si>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</si>
  <si>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</si>
  <si>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</si>
  <si>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</si>
  <si>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</si>
  <si>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</si>
  <si>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</si>
  <si>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5799.1</t>
  </si>
  <si>
    <t>Rotorua</t>
  </si>
  <si>
    <t>Ohau Channel</t>
  </si>
  <si>
    <t>29/12/2025</t>
  </si>
  <si>
    <t>20A</t>
  </si>
  <si>
    <t>160</t>
  </si>
  <si>
    <t>Dolichospermum circinale</t>
  </si>
  <si>
    <t>5799.2</t>
  </si>
  <si>
    <t>Dolichospermum planctonicum </t>
  </si>
  <si>
    <t>5799.3</t>
  </si>
  <si>
    <t>Dolichospermum spiroides</t>
  </si>
  <si>
    <t>5799.4</t>
  </si>
  <si>
    <t>Microcystis sp</t>
  </si>
  <si>
    <t xml:space="preserve">Microcystis spp.
</t>
  </si>
  <si>
    <t>5800.1</t>
  </si>
  <si>
    <t>Holdens Bay</t>
  </si>
  <si>
    <t>Dolichospermum sp</t>
  </si>
  <si>
    <t>5800.2</t>
  </si>
  <si>
    <t>5800.3</t>
  </si>
  <si>
    <t>Pseudanabaena limnetica (cylinder)</t>
  </si>
  <si>
    <t>5800.4</t>
  </si>
  <si>
    <t>5800.5</t>
  </si>
  <si>
    <t>Phormidium sp</t>
  </si>
  <si>
    <t>5801.1</t>
  </si>
  <si>
    <t>Lake Okaro</t>
  </si>
  <si>
    <t>Boat ramp</t>
  </si>
  <si>
    <t>5801.2</t>
  </si>
  <si>
    <t>5801.3</t>
  </si>
  <si>
    <t>Aphanocapsa sp</t>
  </si>
  <si>
    <t>5801.4</t>
  </si>
  <si>
    <t>5801.5</t>
  </si>
  <si>
    <t>5802.1</t>
  </si>
  <si>
    <t>Rotoiti</t>
  </si>
  <si>
    <t>Okere Arm</t>
  </si>
  <si>
    <t xml:space="preserve">Limnococcus limneticus
</t>
  </si>
  <si>
    <t>5802.2</t>
  </si>
  <si>
    <t>5802.3</t>
  </si>
  <si>
    <t>5802.4</t>
  </si>
  <si>
    <t>5803.1</t>
  </si>
  <si>
    <t>Kaituna</t>
  </si>
  <si>
    <t>Trout Pool</t>
  </si>
  <si>
    <t>5803.2</t>
  </si>
  <si>
    <t>5803.3</t>
  </si>
  <si>
    <t>5803.4</t>
  </si>
  <si>
    <t>5804.1</t>
  </si>
  <si>
    <t>Okawa Bay</t>
  </si>
  <si>
    <t>Woronichinia naegeliana</t>
  </si>
  <si>
    <t>5804.2</t>
  </si>
  <si>
    <t>5804.3</t>
  </si>
  <si>
    <t>5804.4</t>
  </si>
  <si>
    <t>5804.5</t>
  </si>
  <si>
    <t>5804.6</t>
  </si>
  <si>
    <t>5804.7</t>
  </si>
  <si>
    <t>Coelosphaerium kuetzingianum</t>
  </si>
  <si>
    <t>5805.1</t>
  </si>
  <si>
    <t>Hamurana</t>
  </si>
  <si>
    <t>Whole Plate</t>
  </si>
  <si>
    <t>5805.2</t>
  </si>
  <si>
    <t>5805.3</t>
  </si>
  <si>
    <t>5805.4</t>
  </si>
  <si>
    <t>Planktothrix sp</t>
  </si>
  <si>
    <t>5805.5</t>
  </si>
  <si>
    <t>5805.6</t>
  </si>
  <si>
    <t>Oscillatoria sp</t>
  </si>
  <si>
    <t>5806.1</t>
  </si>
  <si>
    <t>Ngongotaha</t>
  </si>
  <si>
    <t>5806.2</t>
  </si>
  <si>
    <t>5806.3</t>
  </si>
  <si>
    <t>5806.4</t>
  </si>
  <si>
    <t>5807.1</t>
  </si>
  <si>
    <t>Rotoehu</t>
  </si>
  <si>
    <t>Kennedy Bay</t>
  </si>
  <si>
    <t>5807.2</t>
  </si>
  <si>
    <t>Anabaena torulosa</t>
  </si>
  <si>
    <t>5807.3</t>
  </si>
  <si>
    <t>5807.4</t>
  </si>
  <si>
    <t>Dolichospermum lemmermannii</t>
  </si>
  <si>
    <t>5807.5</t>
  </si>
  <si>
    <t>Microcystis flos-aquae</t>
  </si>
  <si>
    <t>5807.6</t>
  </si>
  <si>
    <t>Aphanocapsa holsatica</t>
  </si>
  <si>
    <t>5808.1</t>
  </si>
  <si>
    <t>Otautu</t>
  </si>
  <si>
    <t>5808.2</t>
  </si>
  <si>
    <t>5808.3</t>
  </si>
  <si>
    <t>5808.4</t>
  </si>
  <si>
    <t>5808.5</t>
  </si>
  <si>
    <t>5808.6</t>
  </si>
  <si>
    <t>5808.7</t>
  </si>
  <si>
    <t>Merismopedia sp</t>
  </si>
  <si>
    <t>5809.1</t>
  </si>
  <si>
    <t>Hinehopu</t>
  </si>
  <si>
    <t>5809.2</t>
  </si>
  <si>
    <t>5809.3</t>
  </si>
  <si>
    <t>5809.4</t>
  </si>
  <si>
    <t>5810.1</t>
  </si>
  <si>
    <t>Otaramarae</t>
  </si>
  <si>
    <t>5810.2</t>
  </si>
  <si>
    <t>5810.3</t>
  </si>
  <si>
    <t>5810.4</t>
  </si>
  <si>
    <t>5811.1</t>
  </si>
  <si>
    <t>Te Weta</t>
  </si>
  <si>
    <t>5811.2</t>
  </si>
  <si>
    <t>5811.3</t>
  </si>
  <si>
    <t>Microcystis wesenbergii</t>
  </si>
  <si>
    <t>5811.4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</si>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</sst>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171" fontId="0" fillId="7" borderId="0" xfId="0" applyNumberFormat="1" applyFill="1" applyAlignment="1" applyProtection="1">
      <alignment horizontal="center"/>
    </xf>
    <xf numFmtId="171" fontId="0" fillId="8" borderId="0" xfId="0" applyNumberFormat="1" applyFill="1" applyAlignment="1" applyProtection="1">
      <alignment horizontal="center"/>
    </xf>
    <xf numFmtId="171" fontId="0" fillId="6" borderId="0" xfId="0" applyNumberFormat="1" applyFill="1" applyAlignment="1" applyProtection="1">
      <alignment horizontal="center"/>
    </xf>
  </cellXfs>
  <cellStyles count="1">
    <cellStyle name="Normal" xfId="0" builtinId="0"/>
  </cellStyles>
  <dxfs count="19">
    <dxf>
      <alignment horizontal="center"/>
    </dxf>
    <dxf>
      <numFmt numFmtId="170" formatCode="0.0000"/>
    </dxf>
    <dxf>
      <numFmt numFmtId="171" formatCode="0.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22.560939467592" refreshedVersion="8" recordCount="64" xr:uid="{00000000-000A-0000-FFFF-FFFF02000000}">
  <cacheSource type="worksheet">
    <worksheetSource ref="A1:P65" sheet="Lakes Data"/>
  </cacheSource>
  <cacheFields count="16">
    <cacheField name="SampleId" numFmtId="0">
      <sharedItems/>
    </cacheField>
    <cacheField name="Location" numFmtId="0">
      <sharedItems count="5">
        <s v="Rotorua"/>
        <s v="Lake Okaro"/>
        <s v="Rotoiti"/>
        <s v="Kaituna"/>
        <s v="Rotoehu"/>
      </sharedItems>
    </cacheField>
    <cacheField name="Site" numFmtId="0">
      <sharedItems count="13">
        <s v="Ohau Channel"/>
        <s v="Holdens Bay"/>
        <s v="Boat ramp"/>
        <s v="Okere Arm"/>
        <s v="Trout Pool"/>
        <s v="Okawa Bay"/>
        <s v="Hamurana"/>
        <s v="Ngongotaha"/>
        <s v="Kennedy Bay"/>
        <s v="Otautu"/>
        <s v="Hinehopu"/>
        <s v="Otaramarae"/>
        <s v="Te Weta"/>
      </sharedItems>
    </cacheField>
    <cacheField name="SampleDate" numFmtId="0">
      <sharedItems count="1">
        <s v="29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7.3333333333333304" maxValue="192"/>
    </cacheField>
    <cacheField name="NumberOfColonies" numFmtId="0">
      <sharedItems containsString="0" containsBlank="1" containsNumber="1" containsInteger="1" minValue="2" maxValue="244"/>
    </cacheField>
    <cacheField name="CellsPerMl" numFmtId="0">
      <sharedItems containsSemiMixedTypes="0" containsString="0" containsNumber="1" minValue="1" maxValue="25213.202666666701"/>
    </cacheField>
    <cacheField name="TotalBioVolume" numFmtId="0">
      <sharedItems containsSemiMixedTypes="0" containsString="0" containsNumber="1" minValue="0" maxValue="14.513727983040001"/>
    </cacheField>
    <cacheField name="PotentiallyToxicCellMl" numFmtId="0">
      <sharedItems containsSemiMixedTypes="0" containsString="0" containsNumber="1" minValue="0" maxValue="25213.202666666701"/>
    </cacheField>
    <cacheField name="PotentiallyToxicBioVolume" numFmtId="0">
      <sharedItems containsSemiMixedTypes="0" containsString="0" containsNumber="1" minValue="0" maxValue="14.51372798304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22.560940162039" refreshedVersion="8" recordCount="8" xr:uid="{00000000-000A-0000-FFFF-FFFF01000000}">
  <cacheSource type="worksheet">
    <worksheetSource ref="A1:P9" sheet="Toxin Data"/>
  </cacheSource>
  <cacheFields count="16">
    <cacheField name="SampleId" numFmtId="0">
      <sharedItems/>
    </cacheField>
    <cacheField name="Location" numFmtId="0">
      <sharedItems count="4">
        <s v="Rotorua"/>
        <s v="Rotoiti"/>
        <s v="Kaituna"/>
        <s v="Rotoehu"/>
      </sharedItems>
    </cacheField>
    <cacheField name="Site" numFmtId="0">
      <sharedItems count="7">
        <s v="Ohau Channel"/>
        <s v="Okere Arm"/>
        <s v="Trout Pool"/>
        <s v="Okawa Bay"/>
        <s v="Kennedy Bay"/>
        <s v="Otautu"/>
        <s v="Te Weta"/>
      </sharedItems>
    </cacheField>
    <cacheField name="SampleDate" numFmtId="0">
      <sharedItems count="1">
        <s v="29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8.399999999999999" maxValue="108"/>
    </cacheField>
    <cacheField name="NumberOfColonies" numFmtId="0">
      <sharedItems containsNonDate="0" containsString="0" containsBlank="1"/>
    </cacheField>
    <cacheField name="CellsPerMl" numFmtId="0">
      <sharedItems containsSemiMixedTypes="0" containsString="0" containsNumber="1" minValue="4.2" maxValue="295.31013888888901"/>
    </cacheField>
    <cacheField name="TotalBioVolume" numFmtId="0">
      <sharedItems containsSemiMixedTypes="0" containsString="0" containsNumber="1" minValue="4.752E-4" maxValue="2.1202846098063999E-2"/>
    </cacheField>
    <cacheField name="PotentiallyToxicCellMl" numFmtId="0">
      <sharedItems containsSemiMixedTypes="0" containsString="0" containsNumber="1" minValue="4.2" maxValue="295.31013888888901"/>
    </cacheField>
    <cacheField name="PotentiallyToxicBioVolume" numFmtId="0">
      <sharedItems containsSemiMixedTypes="0" containsString="0" containsNumber="1" minValue="4.752E-4" maxValue="2.1202846098063999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022.560940856485" refreshedVersion="8" recordCount="64" xr:uid="{00000000-000A-0000-FFFF-FFFF00000000}">
  <cacheSource type="worksheet">
    <worksheetSource ref="A1:P65" sheet="Lakes Data"/>
  </cacheSource>
  <cacheFields count="16">
    <cacheField name="SampleId" numFmtId="0">
      <sharedItems/>
    </cacheField>
    <cacheField name="Location" numFmtId="0">
      <sharedItems count="5">
        <s v="Rotorua"/>
        <s v="Lake Okaro"/>
        <s v="Rotoiti"/>
        <s v="Kaituna"/>
        <s v="Rotoehu"/>
      </sharedItems>
    </cacheField>
    <cacheField name="Site" numFmtId="0">
      <sharedItems count="13">
        <s v="Ohau Channel"/>
        <s v="Holdens Bay"/>
        <s v="Boat ramp"/>
        <s v="Okere Arm"/>
        <s v="Trout Pool"/>
        <s v="Okawa Bay"/>
        <s v="Hamurana"/>
        <s v="Ngongotaha"/>
        <s v="Kennedy Bay"/>
        <s v="Otautu"/>
        <s v="Hinehopu"/>
        <s v="Otaramarae"/>
        <s v="Te Weta"/>
      </sharedItems>
    </cacheField>
    <cacheField name="SampleDate" numFmtId="0">
      <sharedItems count="1">
        <s v="29/12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7.3333333333333304" maxValue="192"/>
    </cacheField>
    <cacheField name="NumberOfColonies" numFmtId="0">
      <sharedItems containsString="0" containsBlank="1" containsNumber="1" containsInteger="1" minValue="2" maxValue="244"/>
    </cacheField>
    <cacheField name="CellsPerMl" numFmtId="0">
      <sharedItems containsSemiMixedTypes="0" containsString="0" containsNumber="1" minValue="1" maxValue="25213.202666666701"/>
    </cacheField>
    <cacheField name="TotalBioVolume" numFmtId="0">
      <sharedItems containsSemiMixedTypes="0" containsString="0" containsNumber="1" minValue="0" maxValue="14.513727983040001"/>
    </cacheField>
    <cacheField name="PotentiallyToxicCellMl" numFmtId="0">
      <sharedItems containsSemiMixedTypes="0" containsString="0" containsNumber="1" minValue="0" maxValue="25213.202666666701"/>
    </cacheField>
    <cacheField name="PotentiallyToxicBioVolume" numFmtId="0">
      <sharedItems containsSemiMixedTypes="0" containsString="0" containsNumber="1" minValue="0" maxValue="14.5137279830400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5799.1"/>
    <x v="0"/>
    <x v="0"/>
    <x v="0"/>
    <s v="20A"/>
    <s v="160"/>
    <s v="Dolichospermum circinale"/>
    <b v="1"/>
    <n v="10"/>
    <n v="32.200000000000003"/>
    <n v="2"/>
    <n v="2225.5074722222198"/>
    <n v="1.28109112131"/>
    <n v="2225.5074722222198"/>
    <n v="1.28109112131"/>
    <m/>
  </r>
  <r>
    <s v="5799.2"/>
    <x v="0"/>
    <x v="0"/>
    <x v="0"/>
    <s v="20A"/>
    <s v="160"/>
    <s v="Dolichospermum planctonicum "/>
    <b v="1"/>
    <n v="10"/>
    <n v="17.05"/>
    <n v="5"/>
    <n v="1339.1058159722199"/>
    <n v="0.49546915190972102"/>
    <n v="1339.1058159722199"/>
    <n v="0.49546915190972102"/>
    <m/>
  </r>
  <r>
    <s v="5799.3"/>
    <x v="0"/>
    <x v="0"/>
    <x v="0"/>
    <s v="20A"/>
    <s v="160"/>
    <s v="Dolichospermum spiroides"/>
    <b v="1"/>
    <n v="10"/>
    <n v="27"/>
    <m/>
    <n v="169.64625000000001"/>
    <n v="4.4108025000000002E-2"/>
    <n v="169.64625000000001"/>
    <n v="4.4108025000000002E-2"/>
    <m/>
  </r>
  <r>
    <s v="5799.4"/>
    <x v="0"/>
    <x v="0"/>
    <x v="0"/>
    <s v="20A"/>
    <s v="160"/>
    <s v="Microcystis sp"/>
    <b v="1"/>
    <n v="10"/>
    <n v="50"/>
    <m/>
    <n v="157.079861111111"/>
    <n v="1.12781096266298E-2"/>
    <n v="157.079861111111"/>
    <n v="1.12781096266298E-2"/>
    <s v="Microcystis spp._x000a_"/>
  </r>
  <r>
    <s v="5800.1"/>
    <x v="0"/>
    <x v="1"/>
    <x v="0"/>
    <s v="20A"/>
    <s v="160"/>
    <s v="Dolichospermum sp"/>
    <b v="1"/>
    <n v="10"/>
    <n v="7.3333333333333304"/>
    <m/>
    <n v="69.115138888888893"/>
    <n v="1.3131876388888899E-2"/>
    <n v="69.115138888888893"/>
    <n v="1.3131876388888899E-2"/>
    <m/>
  </r>
  <r>
    <s v="5800.2"/>
    <x v="0"/>
    <x v="1"/>
    <x v="0"/>
    <s v="20A"/>
    <s v="160"/>
    <s v="Dolichospermum spiroides"/>
    <b v="1"/>
    <n v="10"/>
    <n v="31"/>
    <m/>
    <n v="194.779027777778"/>
    <n v="5.0642547222222299E-2"/>
    <n v="194.779027777778"/>
    <n v="5.0642547222222299E-2"/>
    <m/>
  </r>
  <r>
    <s v="5800.3"/>
    <x v="0"/>
    <x v="1"/>
    <x v="0"/>
    <s v="20A"/>
    <s v="160"/>
    <s v="Pseudanabaena limnetica (cylinder)"/>
    <b v="1"/>
    <n v="10"/>
    <n v="14.6666666666667"/>
    <m/>
    <n v="276.46055555555603"/>
    <n v="2.1840383888888901E-2"/>
    <n v="276.46055555555603"/>
    <n v="2.1840383888888901E-2"/>
    <m/>
  </r>
  <r>
    <s v="5800.4"/>
    <x v="0"/>
    <x v="1"/>
    <x v="0"/>
    <s v="20A"/>
    <s v="160"/>
    <s v="Dolichospermum circinale"/>
    <b v="1"/>
    <n v="10"/>
    <n v="43.8"/>
    <m/>
    <n v="688.00979166666696"/>
    <n v="0.39604595647500002"/>
    <n v="688.00979166666696"/>
    <n v="0.39604595647500002"/>
    <m/>
  </r>
  <r>
    <s v="5800.5"/>
    <x v="0"/>
    <x v="1"/>
    <x v="0"/>
    <s v="20A"/>
    <s v="160"/>
    <s v="Phormidium sp"/>
    <b v="1"/>
    <n v="10"/>
    <n v="192"/>
    <m/>
    <n v="603.18666666666695"/>
    <n v="5.6301443466666698E-2"/>
    <n v="603.18666666666695"/>
    <n v="5.6301443466666698E-2"/>
    <m/>
  </r>
  <r>
    <s v="5801.1"/>
    <x v="1"/>
    <x v="2"/>
    <x v="0"/>
    <s v="20A"/>
    <s v="160"/>
    <s v="Dolichospermum circinale"/>
    <b v="1"/>
    <n v="10"/>
    <n v="30.4"/>
    <n v="244"/>
    <n v="25213.202666666701"/>
    <n v="14.513727983040001"/>
    <n v="25213.202666666701"/>
    <n v="14.513727983040001"/>
    <m/>
  </r>
  <r>
    <s v="5801.2"/>
    <x v="1"/>
    <x v="2"/>
    <x v="0"/>
    <s v="20A"/>
    <s v="160"/>
    <s v="Dolichospermum planctonicum "/>
    <b v="1"/>
    <n v="10"/>
    <n v="17.6666666666667"/>
    <m/>
    <n v="333.00930555555499"/>
    <n v="0.123213443055556"/>
    <n v="333.00930555555601"/>
    <n v="0.123213443055556"/>
    <m/>
  </r>
  <r>
    <s v="5801.3"/>
    <x v="1"/>
    <x v="2"/>
    <x v="0"/>
    <s v="20A"/>
    <s v="160"/>
    <s v="Aphanocapsa sp"/>
    <b v="0"/>
    <n v="10"/>
    <n v="152"/>
    <m/>
    <n v="955.04555555555498"/>
    <n v="2.1488524999999999E-3"/>
    <n v="0"/>
    <n v="0"/>
    <m/>
  </r>
  <r>
    <s v="5801.4"/>
    <x v="1"/>
    <x v="2"/>
    <x v="0"/>
    <s v="20A"/>
    <s v="160"/>
    <s v="Dolichospermum spiroides"/>
    <b v="1"/>
    <n v="10"/>
    <n v="33.4"/>
    <m/>
    <n v="1049.2934722222201"/>
    <n v="0.27281630277777702"/>
    <n v="1049.2934722222201"/>
    <n v="0.27281630277777702"/>
    <m/>
  </r>
  <r>
    <s v="5801.5"/>
    <x v="1"/>
    <x v="2"/>
    <x v="0"/>
    <s v="20A"/>
    <s v="160"/>
    <s v="Pseudanabaena limnetica (cylinder)"/>
    <b v="1"/>
    <n v="10"/>
    <n v="12.5"/>
    <m/>
    <n v="78.5399305555555"/>
    <n v="6.2046545138888902E-3"/>
    <n v="78.5399305555556"/>
    <n v="6.2046545138888902E-3"/>
    <m/>
  </r>
  <r>
    <s v="5802.1"/>
    <x v="2"/>
    <x v="3"/>
    <x v="0"/>
    <s v="20A"/>
    <s v="160"/>
    <s v="Limnococcus limneticus_x000a_"/>
    <b v="0"/>
    <n v="10"/>
    <n v="30"/>
    <m/>
    <n v="94.247916666666697"/>
    <n v="4.24115625E-2"/>
    <n v="0"/>
    <n v="0"/>
    <m/>
  </r>
  <r>
    <s v="5802.2"/>
    <x v="2"/>
    <x v="3"/>
    <x v="0"/>
    <s v="20A"/>
    <s v="160"/>
    <s v="Dolichospermum circinale"/>
    <b v="1"/>
    <n v="10"/>
    <n v="31.75"/>
    <m/>
    <n v="797.96569444444401"/>
    <n v="0.45934097234999999"/>
    <n v="797.96569444444401"/>
    <n v="0.45934097234999999"/>
    <m/>
  </r>
  <r>
    <s v="5802.3"/>
    <x v="2"/>
    <x v="3"/>
    <x v="0"/>
    <s v="20A"/>
    <s v="160"/>
    <s v="Dolichospermum planctonicum "/>
    <b v="1"/>
    <n v="10"/>
    <n v="29.3333333333333"/>
    <m/>
    <n v="276.46055555555603"/>
    <n v="0.102290405555556"/>
    <n v="276.46055555555603"/>
    <n v="0.102290405555556"/>
    <m/>
  </r>
  <r>
    <s v="5802.4"/>
    <x v="2"/>
    <x v="3"/>
    <x v="0"/>
    <s v="20A"/>
    <s v="160"/>
    <s v="Microcystis sp"/>
    <b v="1"/>
    <n v="10"/>
    <n v="47"/>
    <m/>
    <n v="295.31013888888901"/>
    <n v="2.1202846098063999E-2"/>
    <n v="295.31013888888901"/>
    <n v="2.1202846098063999E-2"/>
    <s v="Microcystis spp._x000a_"/>
  </r>
  <r>
    <s v="5803.1"/>
    <x v="3"/>
    <x v="4"/>
    <x v="0"/>
    <s v="20A"/>
    <s v="160"/>
    <s v="Dolichospermum circinale"/>
    <b v="1"/>
    <n v="10"/>
    <n v="28.647058823529399"/>
    <m/>
    <n v="1529.9578472222199"/>
    <n v="0.88070493517499904"/>
    <n v="1529.9578472222199"/>
    <n v="0.88070493517499904"/>
    <m/>
  </r>
  <r>
    <s v="5803.2"/>
    <x v="3"/>
    <x v="4"/>
    <x v="0"/>
    <s v="20A"/>
    <s v="160"/>
    <s v="Limnococcus limneticus_x000a_"/>
    <b v="0"/>
    <n v="10"/>
    <n v="15"/>
    <m/>
    <n v="94.247916666666697"/>
    <n v="4.24115625E-2"/>
    <n v="0"/>
    <n v="0"/>
    <m/>
  </r>
  <r>
    <s v="5803.3"/>
    <x v="3"/>
    <x v="4"/>
    <x v="0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03.4"/>
    <x v="3"/>
    <x v="4"/>
    <x v="0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5804.1"/>
    <x v="2"/>
    <x v="5"/>
    <x v="0"/>
    <s v="20A"/>
    <s v="160"/>
    <s v="Woronichinia naegeliana"/>
    <b v="1"/>
    <n v="10"/>
    <n v="144"/>
    <m/>
    <n v="904.78"/>
    <n v="0"/>
    <n v="904.78"/>
    <n v="0"/>
    <m/>
  </r>
  <r>
    <s v="5804.2"/>
    <x v="2"/>
    <x v="5"/>
    <x v="0"/>
    <s v="20A"/>
    <s v="160"/>
    <s v="Dolichospermum sp"/>
    <b v="1"/>
    <n v="10"/>
    <n v="19.1428571428571"/>
    <m/>
    <n v="420.97402777777802"/>
    <n v="7.9985065277777795E-2"/>
    <n v="420.97402777777802"/>
    <n v="7.9985065277777795E-2"/>
    <m/>
  </r>
  <r>
    <s v="5804.3"/>
    <x v="2"/>
    <x v="5"/>
    <x v="0"/>
    <s v="20A"/>
    <s v="160"/>
    <s v="Dolichospermum planctonicum "/>
    <b v="1"/>
    <n v="10"/>
    <n v="12.25"/>
    <m/>
    <n v="153.938263888889"/>
    <n v="5.6957157638888901E-2"/>
    <n v="153.938263888889"/>
    <n v="5.6957157638888901E-2"/>
    <m/>
  </r>
  <r>
    <s v="5804.4"/>
    <x v="2"/>
    <x v="5"/>
    <x v="0"/>
    <s v="20A"/>
    <s v="160"/>
    <s v="Dolichospermum spiroides"/>
    <b v="1"/>
    <n v="10"/>
    <n v="24"/>
    <m/>
    <n v="75.398333333333298"/>
    <n v="1.96035666666667E-2"/>
    <n v="75.398333333333298"/>
    <n v="1.96035666666667E-2"/>
    <m/>
  </r>
  <r>
    <s v="5804.5"/>
    <x v="2"/>
    <x v="5"/>
    <x v="0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5804.6"/>
    <x v="2"/>
    <x v="5"/>
    <x v="0"/>
    <s v="20A"/>
    <s v="160"/>
    <s v="Dolichospermum circinale"/>
    <b v="1"/>
    <n v="10"/>
    <n v="20.8571428571429"/>
    <m/>
    <n v="458.67319444444399"/>
    <n v="0.26403063765000001"/>
    <n v="458.67319444444399"/>
    <n v="0.26403063765000001"/>
    <m/>
  </r>
  <r>
    <s v="5804.7"/>
    <x v="2"/>
    <x v="5"/>
    <x v="0"/>
    <s v="20A"/>
    <s v="160"/>
    <s v="Coelosphaerium kuetzingianum"/>
    <b v="0"/>
    <n v="10"/>
    <n v="44"/>
    <m/>
    <n v="138.23027777777801"/>
    <n v="1.22886716944445E-3"/>
    <n v="0"/>
    <n v="0"/>
    <m/>
  </r>
  <r>
    <s v="5805.1"/>
    <x v="0"/>
    <x v="6"/>
    <x v="0"/>
    <s v="20A"/>
    <s v="Whole Plate"/>
    <s v="Dolichospermum sp"/>
    <b v="1"/>
    <n v="10"/>
    <n v="13.6"/>
    <m/>
    <n v="6.8"/>
    <n v="1.292E-3"/>
    <n v="6.8"/>
    <n v="1.292E-3"/>
    <m/>
  </r>
  <r>
    <s v="5805.2"/>
    <x v="0"/>
    <x v="6"/>
    <x v="0"/>
    <s v="20A"/>
    <s v="Whole Plate"/>
    <s v="Dolichospermum circinale"/>
    <b v="1"/>
    <n v="10"/>
    <n v="38.6666666666667"/>
    <m/>
    <n v="23.2"/>
    <n v="1.3354848000000001E-2"/>
    <n v="23.2"/>
    <n v="1.3354848000000001E-2"/>
    <m/>
  </r>
  <r>
    <s v="5805.3"/>
    <x v="0"/>
    <x v="6"/>
    <x v="0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05.4"/>
    <x v="0"/>
    <x v="6"/>
    <x v="0"/>
    <s v="20A"/>
    <s v="Whole Plate"/>
    <s v="Planktothrix sp"/>
    <b v="1"/>
    <n v="10"/>
    <n v="34"/>
    <m/>
    <n v="3.4"/>
    <n v="1.0675999999999999E-3"/>
    <n v="3.4"/>
    <n v="1.0675999999999999E-3"/>
    <m/>
  </r>
  <r>
    <s v="5805.5"/>
    <x v="0"/>
    <x v="6"/>
    <x v="0"/>
    <s v="20A"/>
    <s v="Whole Plate"/>
    <s v="Dolichospermum planctonicum "/>
    <b v="1"/>
    <n v="10"/>
    <n v="10"/>
    <m/>
    <n v="1"/>
    <n v="3.6999999999999999E-4"/>
    <n v="1"/>
    <n v="3.6999999999999999E-4"/>
    <m/>
  </r>
  <r>
    <s v="5805.6"/>
    <x v="0"/>
    <x v="6"/>
    <x v="0"/>
    <s v="20A"/>
    <s v="Whole Plate"/>
    <s v="Oscillatoria sp"/>
    <b v="1"/>
    <n v="10"/>
    <n v="18"/>
    <m/>
    <n v="1.8"/>
    <n v="4.8681000000000002E-3"/>
    <n v="1.8"/>
    <n v="4.8681000000000002E-3"/>
    <m/>
  </r>
  <r>
    <s v="5806.1"/>
    <x v="0"/>
    <x v="7"/>
    <x v="0"/>
    <s v="20A"/>
    <s v="Whole Plate"/>
    <s v="Dolichospermum planctonicum "/>
    <b v="1"/>
    <n v="10"/>
    <n v="14.6666666666667"/>
    <m/>
    <n v="8.8000000000000007"/>
    <n v="3.2560000000000002E-3"/>
    <n v="8.8000000000000007"/>
    <n v="3.2560000000000002E-3"/>
    <m/>
  </r>
  <r>
    <s v="5806.2"/>
    <x v="0"/>
    <x v="7"/>
    <x v="0"/>
    <s v="20A"/>
    <s v="Whole Plate"/>
    <s v="Oscillatoria sp"/>
    <b v="1"/>
    <n v="10"/>
    <n v="44"/>
    <m/>
    <n v="8.8000000000000007"/>
    <n v="2.3799600000000001E-2"/>
    <n v="8.8000000000000007"/>
    <n v="2.3799600000000001E-2"/>
    <m/>
  </r>
  <r>
    <s v="5806.3"/>
    <x v="0"/>
    <x v="7"/>
    <x v="0"/>
    <s v="20A"/>
    <s v="Whole Plate"/>
    <s v="Pseudanabaena limnetica (cylinder)"/>
    <b v="1"/>
    <n v="10"/>
    <n v="8.8461538461538503"/>
    <m/>
    <n v="11.5"/>
    <n v="9.0850000000000002E-4"/>
    <n v="11.5"/>
    <n v="9.0850000000000002E-4"/>
    <m/>
  </r>
  <r>
    <s v="5806.4"/>
    <x v="0"/>
    <x v="7"/>
    <x v="0"/>
    <s v="20A"/>
    <s v="Whole Plate"/>
    <s v="Dolichospermum circinale"/>
    <b v="1"/>
    <n v="10"/>
    <n v="33.5"/>
    <m/>
    <n v="13.4"/>
    <n v="7.7135759999999998E-3"/>
    <n v="13.4"/>
    <n v="7.7135759999999998E-3"/>
    <m/>
  </r>
  <r>
    <s v="5807.1"/>
    <x v="4"/>
    <x v="8"/>
    <x v="0"/>
    <s v="20A"/>
    <s v="Whole Plate"/>
    <s v="Microcystis sp"/>
    <b v="1"/>
    <n v="10"/>
    <n v="22"/>
    <m/>
    <n v="11"/>
    <n v="7.8978428561999995E-4"/>
    <n v="11"/>
    <n v="7.8978428561999995E-4"/>
    <s v="Microcystis spp._x000a_"/>
  </r>
  <r>
    <s v="5807.2"/>
    <x v="4"/>
    <x v="8"/>
    <x v="0"/>
    <s v="20A"/>
    <s v="Whole Plate"/>
    <s v="Anabaena torulosa"/>
    <b v="1"/>
    <n v="10"/>
    <n v="14.7272727272727"/>
    <m/>
    <n v="16.2"/>
    <n v="3.5802E-3"/>
    <n v="16.2"/>
    <n v="3.5802E-3"/>
    <m/>
  </r>
  <r>
    <s v="5807.3"/>
    <x v="4"/>
    <x v="8"/>
    <x v="0"/>
    <s v="20A"/>
    <s v="Whole Plate"/>
    <s v="Pseudanabaena limnetica (cylinder)"/>
    <b v="1"/>
    <n v="10"/>
    <n v="13"/>
    <m/>
    <n v="5.2"/>
    <n v="4.1080000000000001E-4"/>
    <n v="5.2"/>
    <n v="4.1080000000000001E-4"/>
    <m/>
  </r>
  <r>
    <s v="5807.4"/>
    <x v="4"/>
    <x v="8"/>
    <x v="0"/>
    <s v="20A"/>
    <s v="Whole Plate"/>
    <s v="Dolichospermum lemmermannii"/>
    <b v="1"/>
    <n v="10"/>
    <n v="24.5"/>
    <m/>
    <n v="9.8000000000000007"/>
    <n v="1.078E-3"/>
    <n v="9.8000000000000007"/>
    <n v="1.078E-3"/>
    <m/>
  </r>
  <r>
    <s v="5807.5"/>
    <x v="4"/>
    <x v="8"/>
    <x v="0"/>
    <s v="20A"/>
    <s v="Whole Plate"/>
    <s v="Microcystis flos-aquae"/>
    <b v="1"/>
    <n v="10"/>
    <n v="108"/>
    <m/>
    <n v="21.6"/>
    <n v="4.752E-4"/>
    <n v="21.6"/>
    <n v="4.752E-4"/>
    <s v="Microcystis spp._x000a_"/>
  </r>
  <r>
    <s v="5807.6"/>
    <x v="4"/>
    <x v="8"/>
    <x v="0"/>
    <s v="20A"/>
    <s v="Whole Plate"/>
    <s v="Aphanocapsa holsatica"/>
    <b v="0"/>
    <n v="10"/>
    <n v="120"/>
    <m/>
    <n v="12"/>
    <n v="6.0000000000000002E-6"/>
    <n v="0"/>
    <n v="0"/>
    <m/>
  </r>
  <r>
    <s v="5808.1"/>
    <x v="4"/>
    <x v="9"/>
    <x v="0"/>
    <s v="20A"/>
    <s v="Whole Plate"/>
    <s v="Microcystis sp"/>
    <b v="1"/>
    <n v="10"/>
    <n v="18.399999999999999"/>
    <m/>
    <n v="18.399999999999999"/>
    <n v="1.321093714128E-3"/>
    <n v="18.399999999999999"/>
    <n v="1.321093714128E-3"/>
    <s v="Microcystis spp._x000a_"/>
  </r>
  <r>
    <s v="5808.2"/>
    <x v="4"/>
    <x v="9"/>
    <x v="0"/>
    <s v="20A"/>
    <s v="Whole Plate"/>
    <s v="Dolichospermum lemmermannii"/>
    <b v="1"/>
    <n v="10"/>
    <n v="17.899999999999999"/>
    <n v="12"/>
    <n v="57.28"/>
    <n v="6.3007999999999996E-3"/>
    <n v="57.28"/>
    <n v="6.3007999999999996E-3"/>
    <m/>
  </r>
  <r>
    <s v="5808.3"/>
    <x v="4"/>
    <x v="9"/>
    <x v="0"/>
    <s v="20A"/>
    <s v="Whole Plate"/>
    <s v="Oscillatoria sp"/>
    <b v="1"/>
    <n v="10"/>
    <n v="28"/>
    <m/>
    <n v="2.8"/>
    <n v="7.5725999999999996E-3"/>
    <n v="2.8"/>
    <n v="7.5725999999999996E-3"/>
    <m/>
  </r>
  <r>
    <s v="5808.4"/>
    <x v="4"/>
    <x v="9"/>
    <x v="0"/>
    <s v="20A"/>
    <s v="Whole Plate"/>
    <s v="Dolichospermum planctonicum "/>
    <b v="1"/>
    <n v="10"/>
    <n v="18"/>
    <m/>
    <n v="5.4"/>
    <n v="1.9980000000000002E-3"/>
    <n v="5.4"/>
    <n v="1.9980000000000002E-3"/>
    <m/>
  </r>
  <r>
    <s v="5808.5"/>
    <x v="4"/>
    <x v="9"/>
    <x v="0"/>
    <s v="20A"/>
    <s v="Whole Plate"/>
    <s v="Pseudanabaena limnetica (cylinder)"/>
    <b v="1"/>
    <n v="10"/>
    <n v="15.8571428571429"/>
    <m/>
    <n v="11.1"/>
    <n v="8.7690000000000001E-4"/>
    <n v="11.1"/>
    <n v="8.7690000000000001E-4"/>
    <m/>
  </r>
  <r>
    <s v="5808.6"/>
    <x v="4"/>
    <x v="9"/>
    <x v="0"/>
    <s v="20A"/>
    <s v="Whole Plate"/>
    <s v="Anabaena torulosa"/>
    <b v="1"/>
    <n v="10"/>
    <n v="24"/>
    <m/>
    <n v="4.8"/>
    <n v="1.0608E-3"/>
    <n v="4.8"/>
    <n v="1.0608E-3"/>
    <m/>
  </r>
  <r>
    <s v="5808.7"/>
    <x v="4"/>
    <x v="9"/>
    <x v="0"/>
    <s v="20A"/>
    <s v="Whole Plate"/>
    <s v="Merismopedia sp"/>
    <b v="0"/>
    <n v="10"/>
    <n v="32"/>
    <m/>
    <n v="3.2"/>
    <n v="7.0400000000000004E-5"/>
    <n v="0"/>
    <n v="0"/>
    <m/>
  </r>
  <r>
    <s v="5809.1"/>
    <x v="2"/>
    <x v="10"/>
    <x v="0"/>
    <s v="20A"/>
    <s v="Whole Plate"/>
    <s v="Limnococcus limneticus_x000a_"/>
    <b v="0"/>
    <n v="10"/>
    <n v="28.6666666666667"/>
    <m/>
    <n v="17.2"/>
    <n v="7.7400000000000004E-3"/>
    <n v="0"/>
    <n v="0"/>
    <m/>
  </r>
  <r>
    <s v="5809.2"/>
    <x v="2"/>
    <x v="10"/>
    <x v="0"/>
    <s v="20A"/>
    <s v="Whole Plate"/>
    <s v="Dolichospermum sp"/>
    <b v="1"/>
    <n v="10"/>
    <n v="20.350000000000001"/>
    <n v="47"/>
    <n v="136.345"/>
    <n v="2.5905549999999999E-2"/>
    <n v="136.345"/>
    <n v="2.5905549999999999E-2"/>
    <m/>
  </r>
  <r>
    <s v="5809.3"/>
    <x v="2"/>
    <x v="10"/>
    <x v="0"/>
    <s v="20A"/>
    <s v="Whole Plate"/>
    <s v="Woronichinia naegeliana"/>
    <b v="1"/>
    <n v="10"/>
    <n v="178"/>
    <m/>
    <n v="17.8"/>
    <n v="0"/>
    <n v="17.8"/>
    <n v="0"/>
    <m/>
  </r>
  <r>
    <s v="5809.4"/>
    <x v="2"/>
    <x v="10"/>
    <x v="0"/>
    <s v="20A"/>
    <s v="Whole Plate"/>
    <s v="Anabaena torulosa"/>
    <b v="1"/>
    <n v="10"/>
    <n v="22"/>
    <m/>
    <n v="2.2000000000000002"/>
    <n v="4.862E-4"/>
    <n v="2.2000000000000002"/>
    <n v="4.862E-4"/>
    <m/>
  </r>
  <r>
    <s v="5810.1"/>
    <x v="2"/>
    <x v="11"/>
    <x v="0"/>
    <s v="20A"/>
    <s v="Whole Plate"/>
    <s v="Dolichospermum sp"/>
    <b v="1"/>
    <n v="10"/>
    <n v="16.7"/>
    <n v="25"/>
    <n v="75.150000000000006"/>
    <n v="1.42785E-2"/>
    <n v="75.150000000000006"/>
    <n v="1.42785E-2"/>
    <m/>
  </r>
  <r>
    <s v="5810.2"/>
    <x v="2"/>
    <x v="11"/>
    <x v="0"/>
    <s v="20A"/>
    <s v="Whole Plate"/>
    <s v="Dolichospermum planctonicum "/>
    <b v="1"/>
    <n v="10"/>
    <n v="14.6"/>
    <m/>
    <n v="7.3"/>
    <n v="2.7009999999999998E-3"/>
    <n v="7.3"/>
    <n v="2.7009999999999998E-3"/>
    <m/>
  </r>
  <r>
    <s v="5810.3"/>
    <x v="2"/>
    <x v="11"/>
    <x v="0"/>
    <s v="20A"/>
    <s v="Whole Plate"/>
    <s v="Dolichospermum spiroides"/>
    <b v="1"/>
    <n v="10"/>
    <n v="20"/>
    <m/>
    <n v="2"/>
    <n v="5.1999999999999995E-4"/>
    <n v="2"/>
    <n v="5.1999999999999995E-4"/>
    <m/>
  </r>
  <r>
    <s v="5810.4"/>
    <x v="2"/>
    <x v="11"/>
    <x v="0"/>
    <s v="20A"/>
    <s v="Whole Plate"/>
    <s v="Anabaena torulosa"/>
    <b v="1"/>
    <n v="10"/>
    <n v="20"/>
    <m/>
    <n v="2"/>
    <n v="4.4200000000000001E-4"/>
    <n v="2"/>
    <n v="4.4200000000000001E-4"/>
    <m/>
  </r>
  <r>
    <s v="5811.1"/>
    <x v="2"/>
    <x v="12"/>
    <x v="0"/>
    <s v="20A"/>
    <s v="Whole Plate"/>
    <s v="Dolichospermum sp"/>
    <b v="1"/>
    <n v="10"/>
    <n v="20.399999999999999"/>
    <n v="45"/>
    <n v="132.6"/>
    <n v="2.5194000000000001E-2"/>
    <n v="132.6"/>
    <n v="2.5194000000000001E-2"/>
    <m/>
  </r>
  <r>
    <s v="5811.2"/>
    <x v="2"/>
    <x v="12"/>
    <x v="0"/>
    <s v="20A"/>
    <s v="Whole Plate"/>
    <s v="Dolichospermum planctonicum "/>
    <b v="1"/>
    <n v="10"/>
    <n v="30"/>
    <m/>
    <n v="15"/>
    <n v="5.5500000000000002E-3"/>
    <n v="15"/>
    <n v="5.5500000000000002E-3"/>
    <m/>
  </r>
  <r>
    <s v="5811.3"/>
    <x v="2"/>
    <x v="12"/>
    <x v="0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5811.4"/>
    <x v="2"/>
    <x v="12"/>
    <x v="0"/>
    <s v="20A"/>
    <s v="Whole Plate"/>
    <s v="Phormidium sp"/>
    <b v="1"/>
    <n v="10"/>
    <n v="18"/>
    <m/>
    <n v="1.8"/>
    <n v="1.6801199999999999E-4"/>
    <n v="1.8"/>
    <n v="1.6801199999999999E-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5799.4"/>
    <x v="0"/>
    <x v="0"/>
    <x v="0"/>
    <s v="20A"/>
    <s v="160"/>
    <s v="Microcystis sp"/>
    <b v="1"/>
    <n v="10"/>
    <n v="50"/>
    <m/>
    <n v="157.079861111111"/>
    <n v="1.12781096266298E-2"/>
    <n v="157.079861111111"/>
    <n v="1.12781096266298E-2"/>
    <x v="0"/>
  </r>
  <r>
    <s v="5802.4"/>
    <x v="1"/>
    <x v="1"/>
    <x v="0"/>
    <s v="20A"/>
    <s v="160"/>
    <s v="Microcystis sp"/>
    <b v="1"/>
    <n v="10"/>
    <n v="47"/>
    <m/>
    <n v="295.31013888888901"/>
    <n v="2.1202846098063999E-2"/>
    <n v="295.31013888888901"/>
    <n v="2.1202846098063999E-2"/>
    <x v="0"/>
  </r>
  <r>
    <s v="5803.4"/>
    <x v="2"/>
    <x v="2"/>
    <x v="0"/>
    <s v="20A"/>
    <s v="160"/>
    <s v="Microcystis sp"/>
    <b v="1"/>
    <n v="10"/>
    <n v="22"/>
    <m/>
    <n v="69.115138888888893"/>
    <n v="4.9623682357171099E-3"/>
    <n v="69.115138888888893"/>
    <n v="4.9623682357171099E-3"/>
    <x v="0"/>
  </r>
  <r>
    <s v="5804.5"/>
    <x v="1"/>
    <x v="3"/>
    <x v="0"/>
    <s v="20A"/>
    <s v="160"/>
    <s v="Microcystis sp"/>
    <b v="1"/>
    <n v="10"/>
    <n v="22"/>
    <m/>
    <n v="69.115138888888893"/>
    <n v="4.9623682357171099E-3"/>
    <n v="69.115138888888893"/>
    <n v="4.9623682357171099E-3"/>
    <x v="0"/>
  </r>
  <r>
    <s v="5807.1"/>
    <x v="3"/>
    <x v="4"/>
    <x v="0"/>
    <s v="20A"/>
    <s v="Whole Plate"/>
    <s v="Microcystis sp"/>
    <b v="1"/>
    <n v="10"/>
    <n v="22"/>
    <m/>
    <n v="11"/>
    <n v="7.8978428561999995E-4"/>
    <n v="11"/>
    <n v="7.8978428561999995E-4"/>
    <x v="0"/>
  </r>
  <r>
    <s v="5807.5"/>
    <x v="3"/>
    <x v="4"/>
    <x v="0"/>
    <s v="20A"/>
    <s v="Whole Plate"/>
    <s v="Microcystis flos-aquae"/>
    <b v="1"/>
    <n v="10"/>
    <n v="108"/>
    <m/>
    <n v="21.6"/>
    <n v="4.752E-4"/>
    <n v="21.6"/>
    <n v="4.752E-4"/>
    <x v="0"/>
  </r>
  <r>
    <s v="5808.1"/>
    <x v="3"/>
    <x v="5"/>
    <x v="0"/>
    <s v="20A"/>
    <s v="Whole Plate"/>
    <s v="Microcystis sp"/>
    <b v="1"/>
    <n v="10"/>
    <n v="18.399999999999999"/>
    <m/>
    <n v="18.399999999999999"/>
    <n v="1.321093714128E-3"/>
    <n v="18.399999999999999"/>
    <n v="1.321093714128E-3"/>
    <x v="0"/>
  </r>
  <r>
    <s v="5811.3"/>
    <x v="1"/>
    <x v="6"/>
    <x v="0"/>
    <s v="20A"/>
    <s v="Whole Plate"/>
    <s v="Microcystis wesenbergii"/>
    <b v="1"/>
    <n v="10"/>
    <n v="42"/>
    <m/>
    <n v="4.2"/>
    <n v="7.9938600000000002E-4"/>
    <n v="4.2"/>
    <n v="7.9938600000000002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5799.1"/>
    <x v="0"/>
    <x v="0"/>
    <x v="0"/>
    <s v="20A"/>
    <s v="160"/>
    <s v="Dolichospermum circinale"/>
    <b v="1"/>
    <n v="10"/>
    <n v="32.200000000000003"/>
    <n v="2"/>
    <n v="2225.5074722222198"/>
    <n v="1.28109112131"/>
    <n v="2225.5074722222198"/>
    <n v="1.28109112131"/>
    <m/>
  </r>
  <r>
    <s v="5799.2"/>
    <x v="0"/>
    <x v="0"/>
    <x v="0"/>
    <s v="20A"/>
    <s v="160"/>
    <s v="Dolichospermum planctonicum "/>
    <b v="1"/>
    <n v="10"/>
    <n v="17.05"/>
    <n v="5"/>
    <n v="1339.1058159722199"/>
    <n v="0.49546915190972102"/>
    <n v="1339.1058159722199"/>
    <n v="0.49546915190972102"/>
    <m/>
  </r>
  <r>
    <s v="5799.3"/>
    <x v="0"/>
    <x v="0"/>
    <x v="0"/>
    <s v="20A"/>
    <s v="160"/>
    <s v="Dolichospermum spiroides"/>
    <b v="1"/>
    <n v="10"/>
    <n v="27"/>
    <m/>
    <n v="169.64625000000001"/>
    <n v="4.4108025000000002E-2"/>
    <n v="169.64625000000001"/>
    <n v="4.4108025000000002E-2"/>
    <m/>
  </r>
  <r>
    <s v="5799.4"/>
    <x v="0"/>
    <x v="0"/>
    <x v="0"/>
    <s v="20A"/>
    <s v="160"/>
    <s v="Microcystis sp"/>
    <b v="1"/>
    <n v="10"/>
    <n v="50"/>
    <m/>
    <n v="157.079861111111"/>
    <n v="1.12781096266298E-2"/>
    <n v="157.079861111111"/>
    <n v="1.12781096266298E-2"/>
    <s v="Microcystis spp._x000a_"/>
  </r>
  <r>
    <s v="5800.1"/>
    <x v="0"/>
    <x v="1"/>
    <x v="0"/>
    <s v="20A"/>
    <s v="160"/>
    <s v="Dolichospermum sp"/>
    <b v="1"/>
    <n v="10"/>
    <n v="7.3333333333333304"/>
    <m/>
    <n v="69.115138888888893"/>
    <n v="1.3131876388888899E-2"/>
    <n v="69.115138888888893"/>
    <n v="1.3131876388888899E-2"/>
    <m/>
  </r>
  <r>
    <s v="5800.2"/>
    <x v="0"/>
    <x v="1"/>
    <x v="0"/>
    <s v="20A"/>
    <s v="160"/>
    <s v="Dolichospermum spiroides"/>
    <b v="1"/>
    <n v="10"/>
    <n v="31"/>
    <m/>
    <n v="194.779027777778"/>
    <n v="5.0642547222222299E-2"/>
    <n v="194.779027777778"/>
    <n v="5.0642547222222299E-2"/>
    <m/>
  </r>
  <r>
    <s v="5800.3"/>
    <x v="0"/>
    <x v="1"/>
    <x v="0"/>
    <s v="20A"/>
    <s v="160"/>
    <s v="Pseudanabaena limnetica (cylinder)"/>
    <b v="1"/>
    <n v="10"/>
    <n v="14.6666666666667"/>
    <m/>
    <n v="276.46055555555603"/>
    <n v="2.1840383888888901E-2"/>
    <n v="276.46055555555603"/>
    <n v="2.1840383888888901E-2"/>
    <m/>
  </r>
  <r>
    <s v="5800.4"/>
    <x v="0"/>
    <x v="1"/>
    <x v="0"/>
    <s v="20A"/>
    <s v="160"/>
    <s v="Dolichospermum circinale"/>
    <b v="1"/>
    <n v="10"/>
    <n v="43.8"/>
    <m/>
    <n v="688.00979166666696"/>
    <n v="0.39604595647500002"/>
    <n v="688.00979166666696"/>
    <n v="0.39604595647500002"/>
    <m/>
  </r>
  <r>
    <s v="5800.5"/>
    <x v="0"/>
    <x v="1"/>
    <x v="0"/>
    <s v="20A"/>
    <s v="160"/>
    <s v="Phormidium sp"/>
    <b v="1"/>
    <n v="10"/>
    <n v="192"/>
    <m/>
    <n v="603.18666666666695"/>
    <n v="5.6301443466666698E-2"/>
    <n v="603.18666666666695"/>
    <n v="5.6301443466666698E-2"/>
    <m/>
  </r>
  <r>
    <s v="5801.1"/>
    <x v="1"/>
    <x v="2"/>
    <x v="0"/>
    <s v="20A"/>
    <s v="160"/>
    <s v="Dolichospermum circinale"/>
    <b v="1"/>
    <n v="10"/>
    <n v="30.4"/>
    <n v="244"/>
    <n v="25213.202666666701"/>
    <n v="14.513727983040001"/>
    <n v="25213.202666666701"/>
    <n v="14.513727983040001"/>
    <m/>
  </r>
  <r>
    <s v="5801.2"/>
    <x v="1"/>
    <x v="2"/>
    <x v="0"/>
    <s v="20A"/>
    <s v="160"/>
    <s v="Dolichospermum planctonicum "/>
    <b v="1"/>
    <n v="10"/>
    <n v="17.6666666666667"/>
    <m/>
    <n v="333.00930555555499"/>
    <n v="0.123213443055556"/>
    <n v="333.00930555555601"/>
    <n v="0.123213443055556"/>
    <m/>
  </r>
  <r>
    <s v="5801.3"/>
    <x v="1"/>
    <x v="2"/>
    <x v="0"/>
    <s v="20A"/>
    <s v="160"/>
    <s v="Aphanocapsa sp"/>
    <b v="0"/>
    <n v="10"/>
    <n v="152"/>
    <m/>
    <n v="955.04555555555498"/>
    <n v="2.1488524999999999E-3"/>
    <n v="0"/>
    <n v="0"/>
    <m/>
  </r>
  <r>
    <s v="5801.4"/>
    <x v="1"/>
    <x v="2"/>
    <x v="0"/>
    <s v="20A"/>
    <s v="160"/>
    <s v="Dolichospermum spiroides"/>
    <b v="1"/>
    <n v="10"/>
    <n v="33.4"/>
    <m/>
    <n v="1049.2934722222201"/>
    <n v="0.27281630277777702"/>
    <n v="1049.2934722222201"/>
    <n v="0.27281630277777702"/>
    <m/>
  </r>
  <r>
    <s v="5801.5"/>
    <x v="1"/>
    <x v="2"/>
    <x v="0"/>
    <s v="20A"/>
    <s v="160"/>
    <s v="Pseudanabaena limnetica (cylinder)"/>
    <b v="1"/>
    <n v="10"/>
    <n v="12.5"/>
    <m/>
    <n v="78.5399305555555"/>
    <n v="6.2046545138888902E-3"/>
    <n v="78.5399305555556"/>
    <n v="6.2046545138888902E-3"/>
    <m/>
  </r>
  <r>
    <s v="5802.1"/>
    <x v="2"/>
    <x v="3"/>
    <x v="0"/>
    <s v="20A"/>
    <s v="160"/>
    <s v="Limnococcus limneticus_x000a_"/>
    <b v="0"/>
    <n v="10"/>
    <n v="30"/>
    <m/>
    <n v="94.247916666666697"/>
    <n v="4.24115625E-2"/>
    <n v="0"/>
    <n v="0"/>
    <m/>
  </r>
  <r>
    <s v="5802.2"/>
    <x v="2"/>
    <x v="3"/>
    <x v="0"/>
    <s v="20A"/>
    <s v="160"/>
    <s v="Dolichospermum circinale"/>
    <b v="1"/>
    <n v="10"/>
    <n v="31.75"/>
    <m/>
    <n v="797.96569444444401"/>
    <n v="0.45934097234999999"/>
    <n v="797.96569444444401"/>
    <n v="0.45934097234999999"/>
    <m/>
  </r>
  <r>
    <s v="5802.3"/>
    <x v="2"/>
    <x v="3"/>
    <x v="0"/>
    <s v="20A"/>
    <s v="160"/>
    <s v="Dolichospermum planctonicum "/>
    <b v="1"/>
    <n v="10"/>
    <n v="29.3333333333333"/>
    <m/>
    <n v="276.46055555555603"/>
    <n v="0.102290405555556"/>
    <n v="276.46055555555603"/>
    <n v="0.102290405555556"/>
    <m/>
  </r>
  <r>
    <s v="5802.4"/>
    <x v="2"/>
    <x v="3"/>
    <x v="0"/>
    <s v="20A"/>
    <s v="160"/>
    <s v="Microcystis sp"/>
    <b v="1"/>
    <n v="10"/>
    <n v="47"/>
    <m/>
    <n v="295.31013888888901"/>
    <n v="2.1202846098063999E-2"/>
    <n v="295.31013888888901"/>
    <n v="2.1202846098063999E-2"/>
    <s v="Microcystis spp._x000a_"/>
  </r>
  <r>
    <s v="5803.1"/>
    <x v="3"/>
    <x v="4"/>
    <x v="0"/>
    <s v="20A"/>
    <s v="160"/>
    <s v="Dolichospermum circinale"/>
    <b v="1"/>
    <n v="10"/>
    <n v="28.647058823529399"/>
    <m/>
    <n v="1529.9578472222199"/>
    <n v="0.88070493517499904"/>
    <n v="1529.9578472222199"/>
    <n v="0.88070493517499904"/>
    <m/>
  </r>
  <r>
    <s v="5803.2"/>
    <x v="3"/>
    <x v="4"/>
    <x v="0"/>
    <s v="20A"/>
    <s v="160"/>
    <s v="Limnococcus limneticus_x000a_"/>
    <b v="0"/>
    <n v="10"/>
    <n v="15"/>
    <m/>
    <n v="94.247916666666697"/>
    <n v="4.24115625E-2"/>
    <n v="0"/>
    <n v="0"/>
    <m/>
  </r>
  <r>
    <s v="5803.3"/>
    <x v="3"/>
    <x v="4"/>
    <x v="0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803.4"/>
    <x v="3"/>
    <x v="4"/>
    <x v="0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5804.1"/>
    <x v="2"/>
    <x v="5"/>
    <x v="0"/>
    <s v="20A"/>
    <s v="160"/>
    <s v="Woronichinia naegeliana"/>
    <b v="1"/>
    <n v="10"/>
    <n v="144"/>
    <m/>
    <n v="904.78"/>
    <n v="0"/>
    <n v="904.78"/>
    <n v="0"/>
    <m/>
  </r>
  <r>
    <s v="5804.2"/>
    <x v="2"/>
    <x v="5"/>
    <x v="0"/>
    <s v="20A"/>
    <s v="160"/>
    <s v="Dolichospermum sp"/>
    <b v="1"/>
    <n v="10"/>
    <n v="19.1428571428571"/>
    <m/>
    <n v="420.97402777777802"/>
    <n v="7.9985065277777795E-2"/>
    <n v="420.97402777777802"/>
    <n v="7.9985065277777795E-2"/>
    <m/>
  </r>
  <r>
    <s v="5804.3"/>
    <x v="2"/>
    <x v="5"/>
    <x v="0"/>
    <s v="20A"/>
    <s v="160"/>
    <s v="Dolichospermum planctonicum "/>
    <b v="1"/>
    <n v="10"/>
    <n v="12.25"/>
    <m/>
    <n v="153.938263888889"/>
    <n v="5.6957157638888901E-2"/>
    <n v="153.938263888889"/>
    <n v="5.6957157638888901E-2"/>
    <m/>
  </r>
  <r>
    <s v="5804.4"/>
    <x v="2"/>
    <x v="5"/>
    <x v="0"/>
    <s v="20A"/>
    <s v="160"/>
    <s v="Dolichospermum spiroides"/>
    <b v="1"/>
    <n v="10"/>
    <n v="24"/>
    <m/>
    <n v="75.398333333333298"/>
    <n v="1.96035666666667E-2"/>
    <n v="75.398333333333298"/>
    <n v="1.96035666666667E-2"/>
    <m/>
  </r>
  <r>
    <s v="5804.5"/>
    <x v="2"/>
    <x v="5"/>
    <x v="0"/>
    <s v="20A"/>
    <s v="160"/>
    <s v="Microcystis sp"/>
    <b v="1"/>
    <n v="10"/>
    <n v="22"/>
    <m/>
    <n v="69.115138888888893"/>
    <n v="4.9623682357171099E-3"/>
    <n v="69.115138888888893"/>
    <n v="4.9623682357171099E-3"/>
    <s v="Microcystis spp._x000a_"/>
  </r>
  <r>
    <s v="5804.6"/>
    <x v="2"/>
    <x v="5"/>
    <x v="0"/>
    <s v="20A"/>
    <s v="160"/>
    <s v="Dolichospermum circinale"/>
    <b v="1"/>
    <n v="10"/>
    <n v="20.8571428571429"/>
    <m/>
    <n v="458.67319444444399"/>
    <n v="0.26403063765000001"/>
    <n v="458.67319444444399"/>
    <n v="0.26403063765000001"/>
    <m/>
  </r>
  <r>
    <s v="5804.7"/>
    <x v="2"/>
    <x v="5"/>
    <x v="0"/>
    <s v="20A"/>
    <s v="160"/>
    <s v="Coelosphaerium kuetzingianum"/>
    <b v="0"/>
    <n v="10"/>
    <n v="44"/>
    <m/>
    <n v="138.23027777777801"/>
    <n v="1.22886716944445E-3"/>
    <n v="0"/>
    <n v="0"/>
    <m/>
  </r>
  <r>
    <s v="5805.1"/>
    <x v="0"/>
    <x v="6"/>
    <x v="0"/>
    <s v="20A"/>
    <s v="Whole Plate"/>
    <s v="Dolichospermum sp"/>
    <b v="1"/>
    <n v="10"/>
    <n v="13.6"/>
    <m/>
    <n v="6.8"/>
    <n v="1.292E-3"/>
    <n v="6.8"/>
    <n v="1.292E-3"/>
    <m/>
  </r>
  <r>
    <s v="5805.2"/>
    <x v="0"/>
    <x v="6"/>
    <x v="0"/>
    <s v="20A"/>
    <s v="Whole Plate"/>
    <s v="Dolichospermum circinale"/>
    <b v="1"/>
    <n v="10"/>
    <n v="38.6666666666667"/>
    <m/>
    <n v="23.2"/>
    <n v="1.3354848000000001E-2"/>
    <n v="23.2"/>
    <n v="1.3354848000000001E-2"/>
    <m/>
  </r>
  <r>
    <s v="5805.3"/>
    <x v="0"/>
    <x v="6"/>
    <x v="0"/>
    <s v="20A"/>
    <s v="Whole Plate"/>
    <s v="Pseudanabaena limnetica (cylinder)"/>
    <b v="1"/>
    <n v="10"/>
    <n v="15"/>
    <m/>
    <n v="3"/>
    <n v="2.3699999999999999E-4"/>
    <n v="3"/>
    <n v="2.3699999999999999E-4"/>
    <m/>
  </r>
  <r>
    <s v="5805.4"/>
    <x v="0"/>
    <x v="6"/>
    <x v="0"/>
    <s v="20A"/>
    <s v="Whole Plate"/>
    <s v="Planktothrix sp"/>
    <b v="1"/>
    <n v="10"/>
    <n v="34"/>
    <m/>
    <n v="3.4"/>
    <n v="1.0675999999999999E-3"/>
    <n v="3.4"/>
    <n v="1.0675999999999999E-3"/>
    <m/>
  </r>
  <r>
    <s v="5805.5"/>
    <x v="0"/>
    <x v="6"/>
    <x v="0"/>
    <s v="20A"/>
    <s v="Whole Plate"/>
    <s v="Dolichospermum planctonicum "/>
    <b v="1"/>
    <n v="10"/>
    <n v="10"/>
    <m/>
    <n v="1"/>
    <n v="3.6999999999999999E-4"/>
    <n v="1"/>
    <n v="3.6999999999999999E-4"/>
    <m/>
  </r>
  <r>
    <s v="5805.6"/>
    <x v="0"/>
    <x v="6"/>
    <x v="0"/>
    <s v="20A"/>
    <s v="Whole Plate"/>
    <s v="Oscillatoria sp"/>
    <b v="1"/>
    <n v="10"/>
    <n v="18"/>
    <m/>
    <n v="1.8"/>
    <n v="4.8681000000000002E-3"/>
    <n v="1.8"/>
    <n v="4.8681000000000002E-3"/>
    <m/>
  </r>
  <r>
    <s v="5806.1"/>
    <x v="0"/>
    <x v="7"/>
    <x v="0"/>
    <s v="20A"/>
    <s v="Whole Plate"/>
    <s v="Dolichospermum planctonicum "/>
    <b v="1"/>
    <n v="10"/>
    <n v="14.6666666666667"/>
    <m/>
    <n v="8.8000000000000007"/>
    <n v="3.2560000000000002E-3"/>
    <n v="8.8000000000000007"/>
    <n v="3.2560000000000002E-3"/>
    <m/>
  </r>
  <r>
    <s v="5806.2"/>
    <x v="0"/>
    <x v="7"/>
    <x v="0"/>
    <s v="20A"/>
    <s v="Whole Plate"/>
    <s v="Oscillatoria sp"/>
    <b v="1"/>
    <n v="10"/>
    <n v="44"/>
    <m/>
    <n v="8.8000000000000007"/>
    <n v="2.3799600000000001E-2"/>
    <n v="8.8000000000000007"/>
    <n v="2.3799600000000001E-2"/>
    <m/>
  </r>
  <r>
    <s v="5806.3"/>
    <x v="0"/>
    <x v="7"/>
    <x v="0"/>
    <s v="20A"/>
    <s v="Whole Plate"/>
    <s v="Pseudanabaena limnetica (cylinder)"/>
    <b v="1"/>
    <n v="10"/>
    <n v="8.8461538461538503"/>
    <m/>
    <n v="11.5"/>
    <n v="9.0850000000000002E-4"/>
    <n v="11.5"/>
    <n v="9.0850000000000002E-4"/>
    <m/>
  </r>
  <r>
    <s v="5806.4"/>
    <x v="0"/>
    <x v="7"/>
    <x v="0"/>
    <s v="20A"/>
    <s v="Whole Plate"/>
    <s v="Dolichospermum circinale"/>
    <b v="1"/>
    <n v="10"/>
    <n v="33.5"/>
    <m/>
    <n v="13.4"/>
    <n v="7.7135759999999998E-3"/>
    <n v="13.4"/>
    <n v="7.7135759999999998E-3"/>
    <m/>
  </r>
  <r>
    <s v="5807.1"/>
    <x v="4"/>
    <x v="8"/>
    <x v="0"/>
    <s v="20A"/>
    <s v="Whole Plate"/>
    <s v="Microcystis sp"/>
    <b v="1"/>
    <n v="10"/>
    <n v="22"/>
    <m/>
    <n v="11"/>
    <n v="7.8978428561999995E-4"/>
    <n v="11"/>
    <n v="7.8978428561999995E-4"/>
    <s v="Microcystis spp._x000a_"/>
  </r>
  <r>
    <s v="5807.2"/>
    <x v="4"/>
    <x v="8"/>
    <x v="0"/>
    <s v="20A"/>
    <s v="Whole Plate"/>
    <s v="Anabaena torulosa"/>
    <b v="1"/>
    <n v="10"/>
    <n v="14.7272727272727"/>
    <m/>
    <n v="16.2"/>
    <n v="3.5802E-3"/>
    <n v="16.2"/>
    <n v="3.5802E-3"/>
    <m/>
  </r>
  <r>
    <s v="5807.3"/>
    <x v="4"/>
    <x v="8"/>
    <x v="0"/>
    <s v="20A"/>
    <s v="Whole Plate"/>
    <s v="Pseudanabaena limnetica (cylinder)"/>
    <b v="1"/>
    <n v="10"/>
    <n v="13"/>
    <m/>
    <n v="5.2"/>
    <n v="4.1080000000000001E-4"/>
    <n v="5.2"/>
    <n v="4.1080000000000001E-4"/>
    <m/>
  </r>
  <r>
    <s v="5807.4"/>
    <x v="4"/>
    <x v="8"/>
    <x v="0"/>
    <s v="20A"/>
    <s v="Whole Plate"/>
    <s v="Dolichospermum lemmermannii"/>
    <b v="1"/>
    <n v="10"/>
    <n v="24.5"/>
    <m/>
    <n v="9.8000000000000007"/>
    <n v="1.078E-3"/>
    <n v="9.8000000000000007"/>
    <n v="1.078E-3"/>
    <m/>
  </r>
  <r>
    <s v="5807.5"/>
    <x v="4"/>
    <x v="8"/>
    <x v="0"/>
    <s v="20A"/>
    <s v="Whole Plate"/>
    <s v="Microcystis flos-aquae"/>
    <b v="1"/>
    <n v="10"/>
    <n v="108"/>
    <m/>
    <n v="21.6"/>
    <n v="4.752E-4"/>
    <n v="21.6"/>
    <n v="4.752E-4"/>
    <s v="Microcystis spp._x000a_"/>
  </r>
  <r>
    <s v="5807.6"/>
    <x v="4"/>
    <x v="8"/>
    <x v="0"/>
    <s v="20A"/>
    <s v="Whole Plate"/>
    <s v="Aphanocapsa holsatica"/>
    <b v="0"/>
    <n v="10"/>
    <n v="120"/>
    <m/>
    <n v="12"/>
    <n v="6.0000000000000002E-6"/>
    <n v="0"/>
    <n v="0"/>
    <m/>
  </r>
  <r>
    <s v="5808.1"/>
    <x v="4"/>
    <x v="9"/>
    <x v="0"/>
    <s v="20A"/>
    <s v="Whole Plate"/>
    <s v="Microcystis sp"/>
    <b v="1"/>
    <n v="10"/>
    <n v="18.399999999999999"/>
    <m/>
    <n v="18.399999999999999"/>
    <n v="1.321093714128E-3"/>
    <n v="18.399999999999999"/>
    <n v="1.321093714128E-3"/>
    <s v="Microcystis spp._x000a_"/>
  </r>
  <r>
    <s v="5808.2"/>
    <x v="4"/>
    <x v="9"/>
    <x v="0"/>
    <s v="20A"/>
    <s v="Whole Plate"/>
    <s v="Dolichospermum lemmermannii"/>
    <b v="1"/>
    <n v="10"/>
    <n v="17.899999999999999"/>
    <n v="12"/>
    <n v="57.28"/>
    <n v="6.3007999999999996E-3"/>
    <n v="57.28"/>
    <n v="6.3007999999999996E-3"/>
    <m/>
  </r>
  <r>
    <s v="5808.3"/>
    <x v="4"/>
    <x v="9"/>
    <x v="0"/>
    <s v="20A"/>
    <s v="Whole Plate"/>
    <s v="Oscillatoria sp"/>
    <b v="1"/>
    <n v="10"/>
    <n v="28"/>
    <m/>
    <n v="2.8"/>
    <n v="7.5725999999999996E-3"/>
    <n v="2.8"/>
    <n v="7.5725999999999996E-3"/>
    <m/>
  </r>
  <r>
    <s v="5808.4"/>
    <x v="4"/>
    <x v="9"/>
    <x v="0"/>
    <s v="20A"/>
    <s v="Whole Plate"/>
    <s v="Dolichospermum planctonicum "/>
    <b v="1"/>
    <n v="10"/>
    <n v="18"/>
    <m/>
    <n v="5.4"/>
    <n v="1.9980000000000002E-3"/>
    <n v="5.4"/>
    <n v="1.9980000000000002E-3"/>
    <m/>
  </r>
  <r>
    <s v="5808.5"/>
    <x v="4"/>
    <x v="9"/>
    <x v="0"/>
    <s v="20A"/>
    <s v="Whole Plate"/>
    <s v="Pseudanabaena limnetica (cylinder)"/>
    <b v="1"/>
    <n v="10"/>
    <n v="15.8571428571429"/>
    <m/>
    <n v="11.1"/>
    <n v="8.7690000000000001E-4"/>
    <n v="11.1"/>
    <n v="8.7690000000000001E-4"/>
    <m/>
  </r>
  <r>
    <s v="5808.6"/>
    <x v="4"/>
    <x v="9"/>
    <x v="0"/>
    <s v="20A"/>
    <s v="Whole Plate"/>
    <s v="Anabaena torulosa"/>
    <b v="1"/>
    <n v="10"/>
    <n v="24"/>
    <m/>
    <n v="4.8"/>
    <n v="1.0608E-3"/>
    <n v="4.8"/>
    <n v="1.0608E-3"/>
    <m/>
  </r>
  <r>
    <s v="5808.7"/>
    <x v="4"/>
    <x v="9"/>
    <x v="0"/>
    <s v="20A"/>
    <s v="Whole Plate"/>
    <s v="Merismopedia sp"/>
    <b v="0"/>
    <n v="10"/>
    <n v="32"/>
    <m/>
    <n v="3.2"/>
    <n v="7.0400000000000004E-5"/>
    <n v="0"/>
    <n v="0"/>
    <m/>
  </r>
  <r>
    <s v="5809.1"/>
    <x v="2"/>
    <x v="10"/>
    <x v="0"/>
    <s v="20A"/>
    <s v="Whole Plate"/>
    <s v="Limnococcus limneticus_x000a_"/>
    <b v="0"/>
    <n v="10"/>
    <n v="28.6666666666667"/>
    <m/>
    <n v="17.2"/>
    <n v="7.7400000000000004E-3"/>
    <n v="0"/>
    <n v="0"/>
    <m/>
  </r>
  <r>
    <s v="5809.2"/>
    <x v="2"/>
    <x v="10"/>
    <x v="0"/>
    <s v="20A"/>
    <s v="Whole Plate"/>
    <s v="Dolichospermum sp"/>
    <b v="1"/>
    <n v="10"/>
    <n v="20.350000000000001"/>
    <n v="47"/>
    <n v="136.345"/>
    <n v="2.5905549999999999E-2"/>
    <n v="136.345"/>
    <n v="2.5905549999999999E-2"/>
    <m/>
  </r>
  <r>
    <s v="5809.3"/>
    <x v="2"/>
    <x v="10"/>
    <x v="0"/>
    <s v="20A"/>
    <s v="Whole Plate"/>
    <s v="Woronichinia naegeliana"/>
    <b v="1"/>
    <n v="10"/>
    <n v="178"/>
    <m/>
    <n v="17.8"/>
    <n v="0"/>
    <n v="17.8"/>
    <n v="0"/>
    <m/>
  </r>
  <r>
    <s v="5809.4"/>
    <x v="2"/>
    <x v="10"/>
    <x v="0"/>
    <s v="20A"/>
    <s v="Whole Plate"/>
    <s v="Anabaena torulosa"/>
    <b v="1"/>
    <n v="10"/>
    <n v="22"/>
    <m/>
    <n v="2.2000000000000002"/>
    <n v="4.862E-4"/>
    <n v="2.2000000000000002"/>
    <n v="4.862E-4"/>
    <m/>
  </r>
  <r>
    <s v="5810.1"/>
    <x v="2"/>
    <x v="11"/>
    <x v="0"/>
    <s v="20A"/>
    <s v="Whole Plate"/>
    <s v="Dolichospermum sp"/>
    <b v="1"/>
    <n v="10"/>
    <n v="16.7"/>
    <n v="25"/>
    <n v="75.150000000000006"/>
    <n v="1.42785E-2"/>
    <n v="75.150000000000006"/>
    <n v="1.42785E-2"/>
    <m/>
  </r>
  <r>
    <s v="5810.2"/>
    <x v="2"/>
    <x v="11"/>
    <x v="0"/>
    <s v="20A"/>
    <s v="Whole Plate"/>
    <s v="Dolichospermum planctonicum "/>
    <b v="1"/>
    <n v="10"/>
    <n v="14.6"/>
    <m/>
    <n v="7.3"/>
    <n v="2.7009999999999998E-3"/>
    <n v="7.3"/>
    <n v="2.7009999999999998E-3"/>
    <m/>
  </r>
  <r>
    <s v="5810.3"/>
    <x v="2"/>
    <x v="11"/>
    <x v="0"/>
    <s v="20A"/>
    <s v="Whole Plate"/>
    <s v="Dolichospermum spiroides"/>
    <b v="1"/>
    <n v="10"/>
    <n v="20"/>
    <m/>
    <n v="2"/>
    <n v="5.1999999999999995E-4"/>
    <n v="2"/>
    <n v="5.1999999999999995E-4"/>
    <m/>
  </r>
  <r>
    <s v="5810.4"/>
    <x v="2"/>
    <x v="11"/>
    <x v="0"/>
    <s v="20A"/>
    <s v="Whole Plate"/>
    <s v="Anabaena torulosa"/>
    <b v="1"/>
    <n v="10"/>
    <n v="20"/>
    <m/>
    <n v="2"/>
    <n v="4.4200000000000001E-4"/>
    <n v="2"/>
    <n v="4.4200000000000001E-4"/>
    <m/>
  </r>
  <r>
    <s v="5811.1"/>
    <x v="2"/>
    <x v="12"/>
    <x v="0"/>
    <s v="20A"/>
    <s v="Whole Plate"/>
    <s v="Dolichospermum sp"/>
    <b v="1"/>
    <n v="10"/>
    <n v="20.399999999999999"/>
    <n v="45"/>
    <n v="132.6"/>
    <n v="2.5194000000000001E-2"/>
    <n v="132.6"/>
    <n v="2.5194000000000001E-2"/>
    <m/>
  </r>
  <r>
    <s v="5811.2"/>
    <x v="2"/>
    <x v="12"/>
    <x v="0"/>
    <s v="20A"/>
    <s v="Whole Plate"/>
    <s v="Dolichospermum planctonicum "/>
    <b v="1"/>
    <n v="10"/>
    <n v="30"/>
    <m/>
    <n v="15"/>
    <n v="5.5500000000000002E-3"/>
    <n v="15"/>
    <n v="5.5500000000000002E-3"/>
    <m/>
  </r>
  <r>
    <s v="5811.3"/>
    <x v="2"/>
    <x v="12"/>
    <x v="0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5811.4"/>
    <x v="2"/>
    <x v="12"/>
    <x v="0"/>
    <s v="20A"/>
    <s v="Whole Plate"/>
    <s v="Phormidium sp"/>
    <b v="1"/>
    <n v="10"/>
    <n v="18"/>
    <m/>
    <n v="1.8"/>
    <n v="1.6801199999999999E-4"/>
    <n v="1.8"/>
    <n v="1.6801199999999999E-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43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6"/>
    </i>
    <i r="1">
      <x v="7"/>
    </i>
    <i>
      <x v="1"/>
      <x v="2"/>
    </i>
    <i>
      <x v="2"/>
      <x v="3"/>
    </i>
    <i r="1">
      <x v="5"/>
    </i>
    <i r="1">
      <x v="10"/>
    </i>
    <i r="1">
      <x v="11"/>
    </i>
    <i r="1">
      <x v="12"/>
    </i>
    <i>
      <x v="3"/>
      <x v="4"/>
    </i>
    <i>
      <x v="4"/>
      <x v="8"/>
    </i>
    <i r="1">
      <x v="9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formats count="12">
    <format dxfId="18">
      <pivotArea outline="0" fieldPosition="0">
        <references count="1">
          <reference field="1" count="1" selected="0">
            <x v="4"/>
          </reference>
        </references>
      </pivotArea>
    </format>
    <format dxfId="17">
      <pivotArea outline="0" fieldPosition="0">
        <references count="2">
          <reference field="1" count="1" selected="0">
            <x v="2"/>
          </reference>
          <reference field="2" count="3" selected="0">
            <x v="5"/>
            <x v="10"/>
            <x v="11"/>
          </reference>
        </references>
      </pivotArea>
    </format>
    <format dxfId="16">
      <pivotArea outline="0" fieldPosition="0">
        <references count="2">
          <reference field="1" count="1" selected="0">
            <x v="2"/>
          </reference>
          <reference field="2" count="1" selected="0">
            <x v="3"/>
          </reference>
        </references>
      </pivotArea>
    </format>
    <format dxfId="15">
      <pivotArea outline="0" fieldPosition="0">
        <references count="2">
          <reference field="1" count="1" selected="0">
            <x v="0"/>
          </reference>
          <reference field="2" count="2" selected="0">
            <x v="6"/>
            <x v="7"/>
          </reference>
        </references>
      </pivotArea>
    </format>
    <format dxfId="14">
      <pivotArea outline="0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13">
      <pivotArea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  <reference field="3" count="0" selected="0"/>
        </references>
      </pivotArea>
    </format>
    <format dxfId="12">
      <pivotArea outline="0" fieldPosition="0">
        <references count="2">
          <reference field="1" count="1" selected="0">
            <x v="0"/>
          </reference>
          <reference field="2" count="1" selected="0">
            <x v="1"/>
          </reference>
        </references>
      </pivotArea>
    </format>
    <format dxfId="11">
      <pivotArea outline="0" fieldPosition="0">
        <references count="2">
          <reference field="1" count="1" selected="0">
            <x v="1"/>
          </reference>
          <reference field="2" count="1" selected="0">
            <x v="2"/>
          </reference>
        </references>
      </pivotArea>
    </format>
    <format dxfId="10">
      <pivotArea outline="0" fieldPosition="0">
        <references count="2">
          <reference field="1" count="1" selected="0">
            <x v="3"/>
          </reference>
          <reference field="2" count="1" selected="0">
            <x v="4"/>
          </reference>
        </references>
      </pivotArea>
    </format>
    <format dxfId="9">
      <pivotArea outline="0" fieldPosition="0">
        <references count="2">
          <reference field="1" count="1" selected="0">
            <x v="2"/>
          </reference>
          <reference field="2" count="1" selected="0">
            <x v="12"/>
          </reference>
        </references>
      </pivotArea>
    </format>
    <format dxfId="2">
      <pivotArea outline="0" fieldPosition="0"/>
    </format>
    <format dxfId="0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CellsPermL" cacheId="37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7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7">
    <i>
      <x/>
      <x/>
    </i>
    <i>
      <x v="1"/>
      <x v="1"/>
    </i>
    <i r="1">
      <x v="3"/>
    </i>
    <i r="1">
      <x v="6"/>
    </i>
    <i>
      <x v="2"/>
      <x v="2"/>
    </i>
    <i>
      <x v="3"/>
      <x v="4"/>
    </i>
    <i r="1">
      <x v="5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AlertWarning" cacheId="30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6"/>
    </i>
    <i r="1">
      <x v="7"/>
    </i>
    <i>
      <x v="1"/>
      <x v="2"/>
    </i>
    <i>
      <x v="2"/>
      <x v="3"/>
    </i>
    <i r="1">
      <x v="5"/>
    </i>
    <i r="1">
      <x v="10"/>
    </i>
    <i r="1">
      <x v="11"/>
    </i>
    <i r="1">
      <x v="12"/>
    </i>
    <i>
      <x v="3"/>
      <x v="4"/>
    </i>
    <i>
      <x v="4"/>
      <x v="8"/>
    </i>
    <i r="1">
      <x v="9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65" totalsRowShown="0">
  <autoFilter ref="A1:P65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9" totalsRowShown="0">
  <autoFilter ref="A1:P9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32.200000000000003</v>
      </c>
      <c r="K2">
        <v>2</v>
      </c>
      <c r="L2">
        <v>2225.5074722222198</v>
      </c>
      <c r="M2">
        <v>1.28109112131</v>
      </c>
      <c r="N2">
        <v>2225.5074722222198</v>
      </c>
      <c r="O2">
        <v>1.28109112131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17.05</v>
      </c>
      <c r="K3">
        <v>5</v>
      </c>
      <c r="L3">
        <v>1339.1058159722199</v>
      </c>
      <c r="M3">
        <v>0.49546915190972102</v>
      </c>
      <c r="N3">
        <v>1339.1058159722199</v>
      </c>
      <c r="O3">
        <v>0.49546915190972102</v>
      </c>
    </row>
    <row r="4" spans="1:16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27</v>
      </c>
      <c r="L4">
        <v>169.64625000000001</v>
      </c>
      <c r="M4">
        <v>4.4108025000000002E-2</v>
      </c>
      <c r="N4">
        <v>169.64625000000001</v>
      </c>
      <c r="O4">
        <v>4.4108025000000002E-2</v>
      </c>
    </row>
    <row r="5" spans="1:16" ht="29" x14ac:dyDescent="0.35">
      <c r="A5" t="s">
        <v>27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50</v>
      </c>
      <c r="L5">
        <v>157.079861111111</v>
      </c>
      <c r="M5">
        <v>1.12781096266298E-2</v>
      </c>
      <c r="N5">
        <v>157.079861111111</v>
      </c>
      <c r="O5">
        <v>1.12781096266298E-2</v>
      </c>
      <c r="P5" s="1" t="s">
        <v>29</v>
      </c>
    </row>
    <row r="6" spans="1:16" x14ac:dyDescent="0.35">
      <c r="A6" t="s">
        <v>30</v>
      </c>
      <c r="B6" t="s">
        <v>17</v>
      </c>
      <c r="C6" t="s">
        <v>31</v>
      </c>
      <c r="D6" t="s">
        <v>19</v>
      </c>
      <c r="E6" t="s">
        <v>20</v>
      </c>
      <c r="F6" t="s">
        <v>21</v>
      </c>
      <c r="G6" t="s">
        <v>32</v>
      </c>
      <c r="H6" t="b">
        <v>1</v>
      </c>
      <c r="I6">
        <v>10</v>
      </c>
      <c r="J6">
        <v>7.3333333333333304</v>
      </c>
      <c r="L6">
        <v>69.115138888888893</v>
      </c>
      <c r="M6">
        <v>1.3131876388888899E-2</v>
      </c>
      <c r="N6">
        <v>69.115138888888893</v>
      </c>
      <c r="O6">
        <v>1.3131876388888899E-2</v>
      </c>
    </row>
    <row r="7" spans="1:16" x14ac:dyDescent="0.35">
      <c r="A7" t="s">
        <v>33</v>
      </c>
      <c r="B7" t="s">
        <v>17</v>
      </c>
      <c r="C7" t="s">
        <v>31</v>
      </c>
      <c r="D7" t="s">
        <v>19</v>
      </c>
      <c r="E7" t="s">
        <v>20</v>
      </c>
      <c r="F7" t="s">
        <v>21</v>
      </c>
      <c r="G7" t="s">
        <v>26</v>
      </c>
      <c r="H7" t="b">
        <v>1</v>
      </c>
      <c r="I7">
        <v>10</v>
      </c>
      <c r="J7">
        <v>31</v>
      </c>
      <c r="L7">
        <v>194.779027777778</v>
      </c>
      <c r="M7">
        <v>5.0642547222222299E-2</v>
      </c>
      <c r="N7">
        <v>194.779027777778</v>
      </c>
      <c r="O7">
        <v>5.0642547222222299E-2</v>
      </c>
    </row>
    <row r="8" spans="1:16" x14ac:dyDescent="0.35">
      <c r="A8" t="s">
        <v>34</v>
      </c>
      <c r="B8" t="s">
        <v>17</v>
      </c>
      <c r="C8" t="s">
        <v>31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14.6666666666667</v>
      </c>
      <c r="L8">
        <v>276.46055555555603</v>
      </c>
      <c r="M8">
        <v>2.1840383888888901E-2</v>
      </c>
      <c r="N8">
        <v>276.46055555555603</v>
      </c>
      <c r="O8">
        <v>2.1840383888888901E-2</v>
      </c>
    </row>
    <row r="9" spans="1:16" x14ac:dyDescent="0.35">
      <c r="A9" t="s">
        <v>36</v>
      </c>
      <c r="B9" t="s">
        <v>17</v>
      </c>
      <c r="C9" t="s">
        <v>31</v>
      </c>
      <c r="D9" t="s">
        <v>19</v>
      </c>
      <c r="E9" t="s">
        <v>20</v>
      </c>
      <c r="F9" t="s">
        <v>21</v>
      </c>
      <c r="G9" t="s">
        <v>22</v>
      </c>
      <c r="H9" t="b">
        <v>1</v>
      </c>
      <c r="I9">
        <v>10</v>
      </c>
      <c r="J9">
        <v>43.8</v>
      </c>
      <c r="L9">
        <v>688.00979166666696</v>
      </c>
      <c r="M9">
        <v>0.39604595647500002</v>
      </c>
      <c r="N9">
        <v>688.00979166666696</v>
      </c>
      <c r="O9">
        <v>0.39604595647500002</v>
      </c>
    </row>
    <row r="10" spans="1:16" x14ac:dyDescent="0.35">
      <c r="A10" t="s">
        <v>37</v>
      </c>
      <c r="B10" t="s">
        <v>17</v>
      </c>
      <c r="C10" t="s">
        <v>31</v>
      </c>
      <c r="D10" t="s">
        <v>19</v>
      </c>
      <c r="E10" t="s">
        <v>20</v>
      </c>
      <c r="F10" t="s">
        <v>21</v>
      </c>
      <c r="G10" t="s">
        <v>38</v>
      </c>
      <c r="H10" t="b">
        <v>1</v>
      </c>
      <c r="I10">
        <v>10</v>
      </c>
      <c r="J10">
        <v>192</v>
      </c>
      <c r="L10">
        <v>603.18666666666695</v>
      </c>
      <c r="M10">
        <v>5.6301443466666698E-2</v>
      </c>
      <c r="N10">
        <v>603.18666666666695</v>
      </c>
      <c r="O10">
        <v>5.6301443466666698E-2</v>
      </c>
    </row>
    <row r="11" spans="1:16" x14ac:dyDescent="0.35">
      <c r="A11" t="s">
        <v>39</v>
      </c>
      <c r="B11" t="s">
        <v>40</v>
      </c>
      <c r="C11" t="s">
        <v>41</v>
      </c>
      <c r="D11" t="s">
        <v>19</v>
      </c>
      <c r="E11" t="s">
        <v>20</v>
      </c>
      <c r="F11" t="s">
        <v>21</v>
      </c>
      <c r="G11" t="s">
        <v>22</v>
      </c>
      <c r="H11" t="b">
        <v>1</v>
      </c>
      <c r="I11">
        <v>10</v>
      </c>
      <c r="J11">
        <v>30.4</v>
      </c>
      <c r="K11">
        <v>244</v>
      </c>
      <c r="L11">
        <v>25213.202666666701</v>
      </c>
      <c r="M11">
        <v>14.513727983040001</v>
      </c>
      <c r="N11">
        <v>25213.202666666701</v>
      </c>
      <c r="O11">
        <v>14.513727983040001</v>
      </c>
    </row>
    <row r="12" spans="1:16" x14ac:dyDescent="0.35">
      <c r="A12" t="s">
        <v>42</v>
      </c>
      <c r="B12" t="s">
        <v>40</v>
      </c>
      <c r="C12" t="s">
        <v>41</v>
      </c>
      <c r="D12" t="s">
        <v>19</v>
      </c>
      <c r="E12" t="s">
        <v>20</v>
      </c>
      <c r="F12" t="s">
        <v>21</v>
      </c>
      <c r="G12" t="s">
        <v>24</v>
      </c>
      <c r="H12" t="b">
        <v>1</v>
      </c>
      <c r="I12">
        <v>10</v>
      </c>
      <c r="J12">
        <v>17.6666666666667</v>
      </c>
      <c r="L12">
        <v>333.00930555555499</v>
      </c>
      <c r="M12">
        <v>0.123213443055556</v>
      </c>
      <c r="N12">
        <v>333.00930555555601</v>
      </c>
      <c r="O12">
        <v>0.123213443055556</v>
      </c>
    </row>
    <row r="13" spans="1:16" x14ac:dyDescent="0.35">
      <c r="A13" t="s">
        <v>43</v>
      </c>
      <c r="B13" t="s">
        <v>40</v>
      </c>
      <c r="C13" t="s">
        <v>41</v>
      </c>
      <c r="D13" t="s">
        <v>19</v>
      </c>
      <c r="E13" t="s">
        <v>20</v>
      </c>
      <c r="F13" t="s">
        <v>21</v>
      </c>
      <c r="G13" t="s">
        <v>44</v>
      </c>
      <c r="H13" t="b">
        <v>0</v>
      </c>
      <c r="I13">
        <v>10</v>
      </c>
      <c r="J13">
        <v>152</v>
      </c>
      <c r="L13">
        <v>955.04555555555498</v>
      </c>
      <c r="M13">
        <v>2.1488524999999999E-3</v>
      </c>
      <c r="N13">
        <v>0</v>
      </c>
      <c r="O13">
        <v>0</v>
      </c>
    </row>
    <row r="14" spans="1:16" x14ac:dyDescent="0.35">
      <c r="A14" t="s">
        <v>45</v>
      </c>
      <c r="B14" t="s">
        <v>40</v>
      </c>
      <c r="C14" t="s">
        <v>41</v>
      </c>
      <c r="D14" t="s">
        <v>19</v>
      </c>
      <c r="E14" t="s">
        <v>20</v>
      </c>
      <c r="F14" t="s">
        <v>21</v>
      </c>
      <c r="G14" t="s">
        <v>26</v>
      </c>
      <c r="H14" t="b">
        <v>1</v>
      </c>
      <c r="I14">
        <v>10</v>
      </c>
      <c r="J14">
        <v>33.4</v>
      </c>
      <c r="L14">
        <v>1049.2934722222201</v>
      </c>
      <c r="M14">
        <v>0.27281630277777702</v>
      </c>
      <c r="N14">
        <v>1049.2934722222201</v>
      </c>
      <c r="O14">
        <v>0.27281630277777702</v>
      </c>
    </row>
    <row r="15" spans="1:16" x14ac:dyDescent="0.35">
      <c r="A15" t="s">
        <v>46</v>
      </c>
      <c r="B15" t="s">
        <v>40</v>
      </c>
      <c r="C15" t="s">
        <v>41</v>
      </c>
      <c r="D15" t="s">
        <v>19</v>
      </c>
      <c r="E15" t="s">
        <v>20</v>
      </c>
      <c r="F15" t="s">
        <v>21</v>
      </c>
      <c r="G15" t="s">
        <v>35</v>
      </c>
      <c r="H15" t="b">
        <v>1</v>
      </c>
      <c r="I15">
        <v>10</v>
      </c>
      <c r="J15">
        <v>12.5</v>
      </c>
      <c r="L15">
        <v>78.5399305555555</v>
      </c>
      <c r="M15">
        <v>6.2046545138888902E-3</v>
      </c>
      <c r="N15">
        <v>78.5399305555556</v>
      </c>
      <c r="O15">
        <v>6.2046545138888902E-3</v>
      </c>
    </row>
    <row r="16" spans="1:16" ht="29" x14ac:dyDescent="0.35">
      <c r="A16" t="s">
        <v>47</v>
      </c>
      <c r="B16" t="s">
        <v>48</v>
      </c>
      <c r="C16" t="s">
        <v>49</v>
      </c>
      <c r="D16" t="s">
        <v>19</v>
      </c>
      <c r="E16" t="s">
        <v>20</v>
      </c>
      <c r="F16" t="s">
        <v>21</v>
      </c>
      <c r="G16" s="1" t="s">
        <v>50</v>
      </c>
      <c r="H16" t="b">
        <v>0</v>
      </c>
      <c r="I16">
        <v>10</v>
      </c>
      <c r="J16">
        <v>30</v>
      </c>
      <c r="L16">
        <v>94.247916666666697</v>
      </c>
      <c r="M16">
        <v>4.24115625E-2</v>
      </c>
      <c r="N16">
        <v>0</v>
      </c>
      <c r="O16">
        <v>0</v>
      </c>
    </row>
    <row r="17" spans="1:16" x14ac:dyDescent="0.35">
      <c r="A17" t="s">
        <v>51</v>
      </c>
      <c r="B17" t="s">
        <v>48</v>
      </c>
      <c r="C17" t="s">
        <v>49</v>
      </c>
      <c r="D17" t="s">
        <v>19</v>
      </c>
      <c r="E17" t="s">
        <v>20</v>
      </c>
      <c r="F17" t="s">
        <v>21</v>
      </c>
      <c r="G17" t="s">
        <v>22</v>
      </c>
      <c r="H17" t="b">
        <v>1</v>
      </c>
      <c r="I17">
        <v>10</v>
      </c>
      <c r="J17">
        <v>31.75</v>
      </c>
      <c r="L17">
        <v>797.96569444444401</v>
      </c>
      <c r="M17">
        <v>0.45934097234999999</v>
      </c>
      <c r="N17">
        <v>797.96569444444401</v>
      </c>
      <c r="O17">
        <v>0.45934097234999999</v>
      </c>
    </row>
    <row r="18" spans="1:16" x14ac:dyDescent="0.35">
      <c r="A18" t="s">
        <v>52</v>
      </c>
      <c r="B18" t="s">
        <v>48</v>
      </c>
      <c r="C18" t="s">
        <v>49</v>
      </c>
      <c r="D18" t="s">
        <v>19</v>
      </c>
      <c r="E18" t="s">
        <v>20</v>
      </c>
      <c r="F18" t="s">
        <v>21</v>
      </c>
      <c r="G18" t="s">
        <v>24</v>
      </c>
      <c r="H18" t="b">
        <v>1</v>
      </c>
      <c r="I18">
        <v>10</v>
      </c>
      <c r="J18">
        <v>29.3333333333333</v>
      </c>
      <c r="L18">
        <v>276.46055555555603</v>
      </c>
      <c r="M18">
        <v>0.102290405555556</v>
      </c>
      <c r="N18">
        <v>276.46055555555603</v>
      </c>
      <c r="O18">
        <v>0.102290405555556</v>
      </c>
    </row>
    <row r="19" spans="1:16" ht="29" x14ac:dyDescent="0.35">
      <c r="A19" t="s">
        <v>53</v>
      </c>
      <c r="B19" t="s">
        <v>48</v>
      </c>
      <c r="C19" t="s">
        <v>49</v>
      </c>
      <c r="D19" t="s">
        <v>19</v>
      </c>
      <c r="E19" t="s">
        <v>20</v>
      </c>
      <c r="F19" t="s">
        <v>21</v>
      </c>
      <c r="G19" t="s">
        <v>28</v>
      </c>
      <c r="H19" t="b">
        <v>1</v>
      </c>
      <c r="I19">
        <v>10</v>
      </c>
      <c r="J19">
        <v>47</v>
      </c>
      <c r="L19">
        <v>295.31013888888901</v>
      </c>
      <c r="M19">
        <v>2.1202846098063999E-2</v>
      </c>
      <c r="N19">
        <v>295.31013888888901</v>
      </c>
      <c r="O19">
        <v>2.1202846098063999E-2</v>
      </c>
      <c r="P19" s="1" t="s">
        <v>29</v>
      </c>
    </row>
    <row r="20" spans="1:16" x14ac:dyDescent="0.35">
      <c r="A20" t="s">
        <v>54</v>
      </c>
      <c r="B20" t="s">
        <v>55</v>
      </c>
      <c r="C20" t="s">
        <v>56</v>
      </c>
      <c r="D20" t="s">
        <v>19</v>
      </c>
      <c r="E20" t="s">
        <v>20</v>
      </c>
      <c r="F20" t="s">
        <v>21</v>
      </c>
      <c r="G20" t="s">
        <v>22</v>
      </c>
      <c r="H20" t="b">
        <v>1</v>
      </c>
      <c r="I20">
        <v>10</v>
      </c>
      <c r="J20">
        <v>28.647058823529399</v>
      </c>
      <c r="L20">
        <v>1529.9578472222199</v>
      </c>
      <c r="M20">
        <v>0.88070493517499904</v>
      </c>
      <c r="N20">
        <v>1529.9578472222199</v>
      </c>
      <c r="O20">
        <v>0.88070493517499904</v>
      </c>
    </row>
    <row r="21" spans="1:16" ht="29" x14ac:dyDescent="0.35">
      <c r="A21" t="s">
        <v>57</v>
      </c>
      <c r="B21" t="s">
        <v>55</v>
      </c>
      <c r="C21" t="s">
        <v>56</v>
      </c>
      <c r="D21" t="s">
        <v>19</v>
      </c>
      <c r="E21" t="s">
        <v>20</v>
      </c>
      <c r="F21" t="s">
        <v>21</v>
      </c>
      <c r="G21" s="1" t="s">
        <v>50</v>
      </c>
      <c r="H21" t="b">
        <v>0</v>
      </c>
      <c r="I21">
        <v>10</v>
      </c>
      <c r="J21">
        <v>15</v>
      </c>
      <c r="L21">
        <v>94.247916666666697</v>
      </c>
      <c r="M21">
        <v>4.24115625E-2</v>
      </c>
      <c r="N21">
        <v>0</v>
      </c>
      <c r="O21">
        <v>0</v>
      </c>
    </row>
    <row r="22" spans="1:16" x14ac:dyDescent="0.35">
      <c r="A22" t="s">
        <v>58</v>
      </c>
      <c r="B22" t="s">
        <v>55</v>
      </c>
      <c r="C22" t="s">
        <v>56</v>
      </c>
      <c r="D22" t="s">
        <v>19</v>
      </c>
      <c r="E22" t="s">
        <v>20</v>
      </c>
      <c r="F22" t="s">
        <v>21</v>
      </c>
      <c r="G22" t="s">
        <v>24</v>
      </c>
      <c r="H22" t="b">
        <v>1</v>
      </c>
      <c r="I22">
        <v>10</v>
      </c>
      <c r="J22">
        <v>17</v>
      </c>
      <c r="L22">
        <v>106.814305555556</v>
      </c>
      <c r="M22">
        <v>3.9521293055555698E-2</v>
      </c>
      <c r="N22">
        <v>106.814305555556</v>
      </c>
      <c r="O22">
        <v>3.9521293055555698E-2</v>
      </c>
    </row>
    <row r="23" spans="1:16" ht="29" x14ac:dyDescent="0.35">
      <c r="A23" t="s">
        <v>59</v>
      </c>
      <c r="B23" t="s">
        <v>55</v>
      </c>
      <c r="C23" t="s">
        <v>56</v>
      </c>
      <c r="D23" t="s">
        <v>19</v>
      </c>
      <c r="E23" t="s">
        <v>20</v>
      </c>
      <c r="F23" t="s">
        <v>21</v>
      </c>
      <c r="G23" t="s">
        <v>28</v>
      </c>
      <c r="H23" t="b">
        <v>1</v>
      </c>
      <c r="I23">
        <v>10</v>
      </c>
      <c r="J23">
        <v>22</v>
      </c>
      <c r="L23">
        <v>69.115138888888893</v>
      </c>
      <c r="M23">
        <v>4.9623682357171099E-3</v>
      </c>
      <c r="N23">
        <v>69.115138888888893</v>
      </c>
      <c r="O23">
        <v>4.9623682357171099E-3</v>
      </c>
      <c r="P23" s="1" t="s">
        <v>29</v>
      </c>
    </row>
    <row r="24" spans="1:16" x14ac:dyDescent="0.35">
      <c r="A24" t="s">
        <v>60</v>
      </c>
      <c r="B24" t="s">
        <v>48</v>
      </c>
      <c r="C24" t="s">
        <v>61</v>
      </c>
      <c r="D24" t="s">
        <v>19</v>
      </c>
      <c r="E24" t="s">
        <v>20</v>
      </c>
      <c r="F24" t="s">
        <v>21</v>
      </c>
      <c r="G24" t="s">
        <v>62</v>
      </c>
      <c r="H24" t="b">
        <v>1</v>
      </c>
      <c r="I24">
        <v>10</v>
      </c>
      <c r="J24">
        <v>144</v>
      </c>
      <c r="L24">
        <v>904.78</v>
      </c>
      <c r="M24">
        <v>0</v>
      </c>
      <c r="N24">
        <v>904.78</v>
      </c>
      <c r="O24">
        <v>0</v>
      </c>
    </row>
    <row r="25" spans="1:16" x14ac:dyDescent="0.35">
      <c r="A25" t="s">
        <v>63</v>
      </c>
      <c r="B25" t="s">
        <v>48</v>
      </c>
      <c r="C25" t="s">
        <v>61</v>
      </c>
      <c r="D25" t="s">
        <v>19</v>
      </c>
      <c r="E25" t="s">
        <v>20</v>
      </c>
      <c r="F25" t="s">
        <v>21</v>
      </c>
      <c r="G25" t="s">
        <v>32</v>
      </c>
      <c r="H25" t="b">
        <v>1</v>
      </c>
      <c r="I25">
        <v>10</v>
      </c>
      <c r="J25">
        <v>19.1428571428571</v>
      </c>
      <c r="L25">
        <v>420.97402777777802</v>
      </c>
      <c r="M25">
        <v>7.9985065277777795E-2</v>
      </c>
      <c r="N25">
        <v>420.97402777777802</v>
      </c>
      <c r="O25">
        <v>7.9985065277777795E-2</v>
      </c>
    </row>
    <row r="26" spans="1:16" x14ac:dyDescent="0.35">
      <c r="A26" t="s">
        <v>64</v>
      </c>
      <c r="B26" t="s">
        <v>48</v>
      </c>
      <c r="C26" t="s">
        <v>61</v>
      </c>
      <c r="D26" t="s">
        <v>19</v>
      </c>
      <c r="E26" t="s">
        <v>20</v>
      </c>
      <c r="F26" t="s">
        <v>21</v>
      </c>
      <c r="G26" t="s">
        <v>24</v>
      </c>
      <c r="H26" t="b">
        <v>1</v>
      </c>
      <c r="I26">
        <v>10</v>
      </c>
      <c r="J26">
        <v>12.25</v>
      </c>
      <c r="L26">
        <v>153.938263888889</v>
      </c>
      <c r="M26">
        <v>5.6957157638888901E-2</v>
      </c>
      <c r="N26">
        <v>153.938263888889</v>
      </c>
      <c r="O26">
        <v>5.6957157638888901E-2</v>
      </c>
    </row>
    <row r="27" spans="1:16" x14ac:dyDescent="0.35">
      <c r="A27" t="s">
        <v>65</v>
      </c>
      <c r="B27" t="s">
        <v>48</v>
      </c>
      <c r="C27" t="s">
        <v>61</v>
      </c>
      <c r="D27" t="s">
        <v>19</v>
      </c>
      <c r="E27" t="s">
        <v>20</v>
      </c>
      <c r="F27" t="s">
        <v>21</v>
      </c>
      <c r="G27" t="s">
        <v>26</v>
      </c>
      <c r="H27" t="b">
        <v>1</v>
      </c>
      <c r="I27">
        <v>10</v>
      </c>
      <c r="J27">
        <v>24</v>
      </c>
      <c r="L27">
        <v>75.398333333333298</v>
      </c>
      <c r="M27">
        <v>1.96035666666667E-2</v>
      </c>
      <c r="N27">
        <v>75.398333333333298</v>
      </c>
      <c r="O27">
        <v>1.96035666666667E-2</v>
      </c>
    </row>
    <row r="28" spans="1:16" ht="29" x14ac:dyDescent="0.35">
      <c r="A28" t="s">
        <v>66</v>
      </c>
      <c r="B28" t="s">
        <v>48</v>
      </c>
      <c r="C28" t="s">
        <v>61</v>
      </c>
      <c r="D28" t="s">
        <v>19</v>
      </c>
      <c r="E28" t="s">
        <v>20</v>
      </c>
      <c r="F28" t="s">
        <v>21</v>
      </c>
      <c r="G28" t="s">
        <v>28</v>
      </c>
      <c r="H28" t="b">
        <v>1</v>
      </c>
      <c r="I28">
        <v>10</v>
      </c>
      <c r="J28">
        <v>22</v>
      </c>
      <c r="L28">
        <v>69.115138888888893</v>
      </c>
      <c r="M28">
        <v>4.9623682357171099E-3</v>
      </c>
      <c r="N28">
        <v>69.115138888888893</v>
      </c>
      <c r="O28">
        <v>4.9623682357171099E-3</v>
      </c>
      <c r="P28" s="1" t="s">
        <v>29</v>
      </c>
    </row>
    <row r="29" spans="1:16" x14ac:dyDescent="0.35">
      <c r="A29" t="s">
        <v>67</v>
      </c>
      <c r="B29" t="s">
        <v>48</v>
      </c>
      <c r="C29" t="s">
        <v>61</v>
      </c>
      <c r="D29" t="s">
        <v>19</v>
      </c>
      <c r="E29" t="s">
        <v>20</v>
      </c>
      <c r="F29" t="s">
        <v>21</v>
      </c>
      <c r="G29" t="s">
        <v>22</v>
      </c>
      <c r="H29" t="b">
        <v>1</v>
      </c>
      <c r="I29">
        <v>10</v>
      </c>
      <c r="J29">
        <v>20.8571428571429</v>
      </c>
      <c r="L29">
        <v>458.67319444444399</v>
      </c>
      <c r="M29">
        <v>0.26403063765000001</v>
      </c>
      <c r="N29">
        <v>458.67319444444399</v>
      </c>
      <c r="O29">
        <v>0.26403063765000001</v>
      </c>
    </row>
    <row r="30" spans="1:16" x14ac:dyDescent="0.35">
      <c r="A30" t="s">
        <v>68</v>
      </c>
      <c r="B30" t="s">
        <v>48</v>
      </c>
      <c r="C30" t="s">
        <v>61</v>
      </c>
      <c r="D30" t="s">
        <v>19</v>
      </c>
      <c r="E30" t="s">
        <v>20</v>
      </c>
      <c r="F30" t="s">
        <v>21</v>
      </c>
      <c r="G30" t="s">
        <v>69</v>
      </c>
      <c r="H30" t="b">
        <v>0</v>
      </c>
      <c r="I30">
        <v>10</v>
      </c>
      <c r="J30">
        <v>44</v>
      </c>
      <c r="L30">
        <v>138.23027777777801</v>
      </c>
      <c r="M30">
        <v>1.22886716944445E-3</v>
      </c>
      <c r="N30">
        <v>0</v>
      </c>
      <c r="O30">
        <v>0</v>
      </c>
    </row>
    <row r="31" spans="1:16" x14ac:dyDescent="0.35">
      <c r="A31" t="s">
        <v>70</v>
      </c>
      <c r="B31" t="s">
        <v>17</v>
      </c>
      <c r="C31" t="s">
        <v>71</v>
      </c>
      <c r="D31" t="s">
        <v>19</v>
      </c>
      <c r="E31" t="s">
        <v>20</v>
      </c>
      <c r="F31" t="s">
        <v>72</v>
      </c>
      <c r="G31" t="s">
        <v>32</v>
      </c>
      <c r="H31" t="b">
        <v>1</v>
      </c>
      <c r="I31">
        <v>10</v>
      </c>
      <c r="J31">
        <v>13.6</v>
      </c>
      <c r="L31">
        <v>6.8</v>
      </c>
      <c r="M31">
        <v>1.292E-3</v>
      </c>
      <c r="N31">
        <v>6.8</v>
      </c>
      <c r="O31">
        <v>1.292E-3</v>
      </c>
    </row>
    <row r="32" spans="1:16" x14ac:dyDescent="0.35">
      <c r="A32" t="s">
        <v>73</v>
      </c>
      <c r="B32" t="s">
        <v>17</v>
      </c>
      <c r="C32" t="s">
        <v>71</v>
      </c>
      <c r="D32" t="s">
        <v>19</v>
      </c>
      <c r="E32" t="s">
        <v>20</v>
      </c>
      <c r="F32" t="s">
        <v>72</v>
      </c>
      <c r="G32" t="s">
        <v>22</v>
      </c>
      <c r="H32" t="b">
        <v>1</v>
      </c>
      <c r="I32">
        <v>10</v>
      </c>
      <c r="J32">
        <v>38.6666666666667</v>
      </c>
      <c r="L32">
        <v>23.2</v>
      </c>
      <c r="M32">
        <v>1.3354848000000001E-2</v>
      </c>
      <c r="N32">
        <v>23.2</v>
      </c>
      <c r="O32">
        <v>1.3354848000000001E-2</v>
      </c>
    </row>
    <row r="33" spans="1:16" x14ac:dyDescent="0.35">
      <c r="A33" t="s">
        <v>74</v>
      </c>
      <c r="B33" t="s">
        <v>17</v>
      </c>
      <c r="C33" t="s">
        <v>71</v>
      </c>
      <c r="D33" t="s">
        <v>19</v>
      </c>
      <c r="E33" t="s">
        <v>20</v>
      </c>
      <c r="F33" t="s">
        <v>72</v>
      </c>
      <c r="G33" t="s">
        <v>35</v>
      </c>
      <c r="H33" t="b">
        <v>1</v>
      </c>
      <c r="I33">
        <v>10</v>
      </c>
      <c r="J33">
        <v>15</v>
      </c>
      <c r="L33">
        <v>3</v>
      </c>
      <c r="M33">
        <v>2.3699999999999999E-4</v>
      </c>
      <c r="N33">
        <v>3</v>
      </c>
      <c r="O33">
        <v>2.3699999999999999E-4</v>
      </c>
    </row>
    <row r="34" spans="1:16" x14ac:dyDescent="0.35">
      <c r="A34" t="s">
        <v>75</v>
      </c>
      <c r="B34" t="s">
        <v>17</v>
      </c>
      <c r="C34" t="s">
        <v>71</v>
      </c>
      <c r="D34" t="s">
        <v>19</v>
      </c>
      <c r="E34" t="s">
        <v>20</v>
      </c>
      <c r="F34" t="s">
        <v>72</v>
      </c>
      <c r="G34" t="s">
        <v>76</v>
      </c>
      <c r="H34" t="b">
        <v>1</v>
      </c>
      <c r="I34">
        <v>10</v>
      </c>
      <c r="J34">
        <v>34</v>
      </c>
      <c r="L34">
        <v>3.4</v>
      </c>
      <c r="M34">
        <v>1.0675999999999999E-3</v>
      </c>
      <c r="N34">
        <v>3.4</v>
      </c>
      <c r="O34">
        <v>1.0675999999999999E-3</v>
      </c>
    </row>
    <row r="35" spans="1:16" x14ac:dyDescent="0.35">
      <c r="A35" t="s">
        <v>77</v>
      </c>
      <c r="B35" t="s">
        <v>17</v>
      </c>
      <c r="C35" t="s">
        <v>71</v>
      </c>
      <c r="D35" t="s">
        <v>19</v>
      </c>
      <c r="E35" t="s">
        <v>20</v>
      </c>
      <c r="F35" t="s">
        <v>72</v>
      </c>
      <c r="G35" t="s">
        <v>24</v>
      </c>
      <c r="H35" t="b">
        <v>1</v>
      </c>
      <c r="I35">
        <v>10</v>
      </c>
      <c r="J35">
        <v>10</v>
      </c>
      <c r="L35">
        <v>1</v>
      </c>
      <c r="M35">
        <v>3.6999999999999999E-4</v>
      </c>
      <c r="N35">
        <v>1</v>
      </c>
      <c r="O35">
        <v>3.6999999999999999E-4</v>
      </c>
    </row>
    <row r="36" spans="1:16" x14ac:dyDescent="0.35">
      <c r="A36" t="s">
        <v>78</v>
      </c>
      <c r="B36" t="s">
        <v>17</v>
      </c>
      <c r="C36" t="s">
        <v>71</v>
      </c>
      <c r="D36" t="s">
        <v>19</v>
      </c>
      <c r="E36" t="s">
        <v>20</v>
      </c>
      <c r="F36" t="s">
        <v>72</v>
      </c>
      <c r="G36" t="s">
        <v>79</v>
      </c>
      <c r="H36" t="b">
        <v>1</v>
      </c>
      <c r="I36">
        <v>10</v>
      </c>
      <c r="J36">
        <v>18</v>
      </c>
      <c r="L36">
        <v>1.8</v>
      </c>
      <c r="M36">
        <v>4.8681000000000002E-3</v>
      </c>
      <c r="N36">
        <v>1.8</v>
      </c>
      <c r="O36">
        <v>4.8681000000000002E-3</v>
      </c>
    </row>
    <row r="37" spans="1:16" x14ac:dyDescent="0.35">
      <c r="A37" t="s">
        <v>80</v>
      </c>
      <c r="B37" t="s">
        <v>17</v>
      </c>
      <c r="C37" t="s">
        <v>81</v>
      </c>
      <c r="D37" t="s">
        <v>19</v>
      </c>
      <c r="E37" t="s">
        <v>20</v>
      </c>
      <c r="F37" t="s">
        <v>72</v>
      </c>
      <c r="G37" t="s">
        <v>24</v>
      </c>
      <c r="H37" t="b">
        <v>1</v>
      </c>
      <c r="I37">
        <v>10</v>
      </c>
      <c r="J37">
        <v>14.6666666666667</v>
      </c>
      <c r="L37">
        <v>8.8000000000000007</v>
      </c>
      <c r="M37">
        <v>3.2560000000000002E-3</v>
      </c>
      <c r="N37">
        <v>8.8000000000000007</v>
      </c>
      <c r="O37">
        <v>3.2560000000000002E-3</v>
      </c>
    </row>
    <row r="38" spans="1:16" x14ac:dyDescent="0.35">
      <c r="A38" t="s">
        <v>82</v>
      </c>
      <c r="B38" t="s">
        <v>17</v>
      </c>
      <c r="C38" t="s">
        <v>81</v>
      </c>
      <c r="D38" t="s">
        <v>19</v>
      </c>
      <c r="E38" t="s">
        <v>20</v>
      </c>
      <c r="F38" t="s">
        <v>72</v>
      </c>
      <c r="G38" t="s">
        <v>79</v>
      </c>
      <c r="H38" t="b">
        <v>1</v>
      </c>
      <c r="I38">
        <v>10</v>
      </c>
      <c r="J38">
        <v>44</v>
      </c>
      <c r="L38">
        <v>8.8000000000000007</v>
      </c>
      <c r="M38">
        <v>2.3799600000000001E-2</v>
      </c>
      <c r="N38">
        <v>8.8000000000000007</v>
      </c>
      <c r="O38">
        <v>2.3799600000000001E-2</v>
      </c>
    </row>
    <row r="39" spans="1:16" x14ac:dyDescent="0.35">
      <c r="A39" t="s">
        <v>83</v>
      </c>
      <c r="B39" t="s">
        <v>17</v>
      </c>
      <c r="C39" t="s">
        <v>81</v>
      </c>
      <c r="D39" t="s">
        <v>19</v>
      </c>
      <c r="E39" t="s">
        <v>20</v>
      </c>
      <c r="F39" t="s">
        <v>72</v>
      </c>
      <c r="G39" t="s">
        <v>35</v>
      </c>
      <c r="H39" t="b">
        <v>1</v>
      </c>
      <c r="I39">
        <v>10</v>
      </c>
      <c r="J39">
        <v>8.8461538461538503</v>
      </c>
      <c r="L39">
        <v>11.5</v>
      </c>
      <c r="M39">
        <v>9.0850000000000002E-4</v>
      </c>
      <c r="N39">
        <v>11.5</v>
      </c>
      <c r="O39">
        <v>9.0850000000000002E-4</v>
      </c>
    </row>
    <row r="40" spans="1:16" x14ac:dyDescent="0.35">
      <c r="A40" t="s">
        <v>84</v>
      </c>
      <c r="B40" t="s">
        <v>17</v>
      </c>
      <c r="C40" t="s">
        <v>81</v>
      </c>
      <c r="D40" t="s">
        <v>19</v>
      </c>
      <c r="E40" t="s">
        <v>20</v>
      </c>
      <c r="F40" t="s">
        <v>72</v>
      </c>
      <c r="G40" t="s">
        <v>22</v>
      </c>
      <c r="H40" t="b">
        <v>1</v>
      </c>
      <c r="I40">
        <v>10</v>
      </c>
      <c r="J40">
        <v>33.5</v>
      </c>
      <c r="L40">
        <v>13.4</v>
      </c>
      <c r="M40">
        <v>7.7135759999999998E-3</v>
      </c>
      <c r="N40">
        <v>13.4</v>
      </c>
      <c r="O40">
        <v>7.7135759999999998E-3</v>
      </c>
    </row>
    <row r="41" spans="1:16" ht="29" x14ac:dyDescent="0.35">
      <c r="A41" t="s">
        <v>85</v>
      </c>
      <c r="B41" t="s">
        <v>86</v>
      </c>
      <c r="C41" t="s">
        <v>87</v>
      </c>
      <c r="D41" t="s">
        <v>19</v>
      </c>
      <c r="E41" t="s">
        <v>20</v>
      </c>
      <c r="F41" t="s">
        <v>72</v>
      </c>
      <c r="G41" t="s">
        <v>28</v>
      </c>
      <c r="H41" t="b">
        <v>1</v>
      </c>
      <c r="I41">
        <v>10</v>
      </c>
      <c r="J41">
        <v>22</v>
      </c>
      <c r="L41">
        <v>11</v>
      </c>
      <c r="M41">
        <v>7.8978428561999995E-4</v>
      </c>
      <c r="N41">
        <v>11</v>
      </c>
      <c r="O41">
        <v>7.8978428561999995E-4</v>
      </c>
      <c r="P41" s="1" t="s">
        <v>29</v>
      </c>
    </row>
    <row r="42" spans="1:16" x14ac:dyDescent="0.35">
      <c r="A42" t="s">
        <v>88</v>
      </c>
      <c r="B42" t="s">
        <v>86</v>
      </c>
      <c r="C42" t="s">
        <v>87</v>
      </c>
      <c r="D42" t="s">
        <v>19</v>
      </c>
      <c r="E42" t="s">
        <v>20</v>
      </c>
      <c r="F42" t="s">
        <v>72</v>
      </c>
      <c r="G42" t="s">
        <v>89</v>
      </c>
      <c r="H42" t="b">
        <v>1</v>
      </c>
      <c r="I42">
        <v>10</v>
      </c>
      <c r="J42">
        <v>14.7272727272727</v>
      </c>
      <c r="L42">
        <v>16.2</v>
      </c>
      <c r="M42">
        <v>3.5802E-3</v>
      </c>
      <c r="N42">
        <v>16.2</v>
      </c>
      <c r="O42">
        <v>3.5802E-3</v>
      </c>
    </row>
    <row r="43" spans="1:16" x14ac:dyDescent="0.35">
      <c r="A43" t="s">
        <v>90</v>
      </c>
      <c r="B43" t="s">
        <v>86</v>
      </c>
      <c r="C43" t="s">
        <v>87</v>
      </c>
      <c r="D43" t="s">
        <v>19</v>
      </c>
      <c r="E43" t="s">
        <v>20</v>
      </c>
      <c r="F43" t="s">
        <v>72</v>
      </c>
      <c r="G43" t="s">
        <v>35</v>
      </c>
      <c r="H43" t="b">
        <v>1</v>
      </c>
      <c r="I43">
        <v>10</v>
      </c>
      <c r="J43">
        <v>13</v>
      </c>
      <c r="L43">
        <v>5.2</v>
      </c>
      <c r="M43">
        <v>4.1080000000000001E-4</v>
      </c>
      <c r="N43">
        <v>5.2</v>
      </c>
      <c r="O43">
        <v>4.1080000000000001E-4</v>
      </c>
    </row>
    <row r="44" spans="1:16" x14ac:dyDescent="0.35">
      <c r="A44" t="s">
        <v>91</v>
      </c>
      <c r="B44" t="s">
        <v>86</v>
      </c>
      <c r="C44" t="s">
        <v>87</v>
      </c>
      <c r="D44" t="s">
        <v>19</v>
      </c>
      <c r="E44" t="s">
        <v>20</v>
      </c>
      <c r="F44" t="s">
        <v>72</v>
      </c>
      <c r="G44" t="s">
        <v>92</v>
      </c>
      <c r="H44" t="b">
        <v>1</v>
      </c>
      <c r="I44">
        <v>10</v>
      </c>
      <c r="J44">
        <v>24.5</v>
      </c>
      <c r="L44">
        <v>9.8000000000000007</v>
      </c>
      <c r="M44">
        <v>1.078E-3</v>
      </c>
      <c r="N44">
        <v>9.8000000000000007</v>
      </c>
      <c r="O44">
        <v>1.078E-3</v>
      </c>
    </row>
    <row r="45" spans="1:16" ht="29" x14ac:dyDescent="0.35">
      <c r="A45" t="s">
        <v>93</v>
      </c>
      <c r="B45" t="s">
        <v>86</v>
      </c>
      <c r="C45" t="s">
        <v>87</v>
      </c>
      <c r="D45" t="s">
        <v>19</v>
      </c>
      <c r="E45" t="s">
        <v>20</v>
      </c>
      <c r="F45" t="s">
        <v>72</v>
      </c>
      <c r="G45" t="s">
        <v>94</v>
      </c>
      <c r="H45" t="b">
        <v>1</v>
      </c>
      <c r="I45">
        <v>10</v>
      </c>
      <c r="J45">
        <v>108</v>
      </c>
      <c r="L45">
        <v>21.6</v>
      </c>
      <c r="M45">
        <v>4.752E-4</v>
      </c>
      <c r="N45">
        <v>21.6</v>
      </c>
      <c r="O45">
        <v>4.752E-4</v>
      </c>
      <c r="P45" s="1" t="s">
        <v>29</v>
      </c>
    </row>
    <row r="46" spans="1:16" x14ac:dyDescent="0.35">
      <c r="A46" t="s">
        <v>95</v>
      </c>
      <c r="B46" t="s">
        <v>86</v>
      </c>
      <c r="C46" t="s">
        <v>87</v>
      </c>
      <c r="D46" t="s">
        <v>19</v>
      </c>
      <c r="E46" t="s">
        <v>20</v>
      </c>
      <c r="F46" t="s">
        <v>72</v>
      </c>
      <c r="G46" t="s">
        <v>96</v>
      </c>
      <c r="H46" t="b">
        <v>0</v>
      </c>
      <c r="I46">
        <v>10</v>
      </c>
      <c r="J46">
        <v>120</v>
      </c>
      <c r="L46">
        <v>12</v>
      </c>
      <c r="M46">
        <v>6.0000000000000002E-6</v>
      </c>
      <c r="N46">
        <v>0</v>
      </c>
      <c r="O46">
        <v>0</v>
      </c>
    </row>
    <row r="47" spans="1:16" ht="29" x14ac:dyDescent="0.35">
      <c r="A47" t="s">
        <v>97</v>
      </c>
      <c r="B47" t="s">
        <v>86</v>
      </c>
      <c r="C47" t="s">
        <v>98</v>
      </c>
      <c r="D47" t="s">
        <v>19</v>
      </c>
      <c r="E47" t="s">
        <v>20</v>
      </c>
      <c r="F47" t="s">
        <v>72</v>
      </c>
      <c r="G47" t="s">
        <v>28</v>
      </c>
      <c r="H47" t="b">
        <v>1</v>
      </c>
      <c r="I47">
        <v>10</v>
      </c>
      <c r="J47">
        <v>18.399999999999999</v>
      </c>
      <c r="L47">
        <v>18.399999999999999</v>
      </c>
      <c r="M47">
        <v>1.321093714128E-3</v>
      </c>
      <c r="N47">
        <v>18.399999999999999</v>
      </c>
      <c r="O47">
        <v>1.321093714128E-3</v>
      </c>
      <c r="P47" s="1" t="s">
        <v>29</v>
      </c>
    </row>
    <row r="48" spans="1:16" x14ac:dyDescent="0.35">
      <c r="A48" t="s">
        <v>99</v>
      </c>
      <c r="B48" t="s">
        <v>86</v>
      </c>
      <c r="C48" t="s">
        <v>98</v>
      </c>
      <c r="D48" t="s">
        <v>19</v>
      </c>
      <c r="E48" t="s">
        <v>20</v>
      </c>
      <c r="F48" t="s">
        <v>72</v>
      </c>
      <c r="G48" t="s">
        <v>92</v>
      </c>
      <c r="H48" t="b">
        <v>1</v>
      </c>
      <c r="I48">
        <v>10</v>
      </c>
      <c r="J48">
        <v>17.899999999999999</v>
      </c>
      <c r="K48">
        <v>12</v>
      </c>
      <c r="L48">
        <v>57.28</v>
      </c>
      <c r="M48">
        <v>6.3007999999999996E-3</v>
      </c>
      <c r="N48">
        <v>57.28</v>
      </c>
      <c r="O48">
        <v>6.3007999999999996E-3</v>
      </c>
    </row>
    <row r="49" spans="1:16" x14ac:dyDescent="0.35">
      <c r="A49" t="s">
        <v>100</v>
      </c>
      <c r="B49" t="s">
        <v>86</v>
      </c>
      <c r="C49" t="s">
        <v>98</v>
      </c>
      <c r="D49" t="s">
        <v>19</v>
      </c>
      <c r="E49" t="s">
        <v>20</v>
      </c>
      <c r="F49" t="s">
        <v>72</v>
      </c>
      <c r="G49" t="s">
        <v>79</v>
      </c>
      <c r="H49" t="b">
        <v>1</v>
      </c>
      <c r="I49">
        <v>10</v>
      </c>
      <c r="J49">
        <v>28</v>
      </c>
      <c r="L49">
        <v>2.8</v>
      </c>
      <c r="M49">
        <v>7.5725999999999996E-3</v>
      </c>
      <c r="N49">
        <v>2.8</v>
      </c>
      <c r="O49">
        <v>7.5725999999999996E-3</v>
      </c>
    </row>
    <row r="50" spans="1:16" x14ac:dyDescent="0.35">
      <c r="A50" t="s">
        <v>101</v>
      </c>
      <c r="B50" t="s">
        <v>86</v>
      </c>
      <c r="C50" t="s">
        <v>98</v>
      </c>
      <c r="D50" t="s">
        <v>19</v>
      </c>
      <c r="E50" t="s">
        <v>20</v>
      </c>
      <c r="F50" t="s">
        <v>72</v>
      </c>
      <c r="G50" t="s">
        <v>24</v>
      </c>
      <c r="H50" t="b">
        <v>1</v>
      </c>
      <c r="I50">
        <v>10</v>
      </c>
      <c r="J50">
        <v>18</v>
      </c>
      <c r="L50">
        <v>5.4</v>
      </c>
      <c r="M50">
        <v>1.9980000000000002E-3</v>
      </c>
      <c r="N50">
        <v>5.4</v>
      </c>
      <c r="O50">
        <v>1.9980000000000002E-3</v>
      </c>
    </row>
    <row r="51" spans="1:16" x14ac:dyDescent="0.35">
      <c r="A51" t="s">
        <v>102</v>
      </c>
      <c r="B51" t="s">
        <v>86</v>
      </c>
      <c r="C51" t="s">
        <v>98</v>
      </c>
      <c r="D51" t="s">
        <v>19</v>
      </c>
      <c r="E51" t="s">
        <v>20</v>
      </c>
      <c r="F51" t="s">
        <v>72</v>
      </c>
      <c r="G51" t="s">
        <v>35</v>
      </c>
      <c r="H51" t="b">
        <v>1</v>
      </c>
      <c r="I51">
        <v>10</v>
      </c>
      <c r="J51">
        <v>15.8571428571429</v>
      </c>
      <c r="L51">
        <v>11.1</v>
      </c>
      <c r="M51">
        <v>8.7690000000000001E-4</v>
      </c>
      <c r="N51">
        <v>11.1</v>
      </c>
      <c r="O51">
        <v>8.7690000000000001E-4</v>
      </c>
    </row>
    <row r="52" spans="1:16" x14ac:dyDescent="0.35">
      <c r="A52" t="s">
        <v>103</v>
      </c>
      <c r="B52" t="s">
        <v>86</v>
      </c>
      <c r="C52" t="s">
        <v>98</v>
      </c>
      <c r="D52" t="s">
        <v>19</v>
      </c>
      <c r="E52" t="s">
        <v>20</v>
      </c>
      <c r="F52" t="s">
        <v>72</v>
      </c>
      <c r="G52" t="s">
        <v>89</v>
      </c>
      <c r="H52" t="b">
        <v>1</v>
      </c>
      <c r="I52">
        <v>10</v>
      </c>
      <c r="J52">
        <v>24</v>
      </c>
      <c r="L52">
        <v>4.8</v>
      </c>
      <c r="M52">
        <v>1.0608E-3</v>
      </c>
      <c r="N52">
        <v>4.8</v>
      </c>
      <c r="O52">
        <v>1.0608E-3</v>
      </c>
    </row>
    <row r="53" spans="1:16" x14ac:dyDescent="0.35">
      <c r="A53" t="s">
        <v>104</v>
      </c>
      <c r="B53" t="s">
        <v>86</v>
      </c>
      <c r="C53" t="s">
        <v>98</v>
      </c>
      <c r="D53" t="s">
        <v>19</v>
      </c>
      <c r="E53" t="s">
        <v>20</v>
      </c>
      <c r="F53" t="s">
        <v>72</v>
      </c>
      <c r="G53" t="s">
        <v>105</v>
      </c>
      <c r="H53" t="b">
        <v>0</v>
      </c>
      <c r="I53">
        <v>10</v>
      </c>
      <c r="J53">
        <v>32</v>
      </c>
      <c r="L53">
        <v>3.2</v>
      </c>
      <c r="M53">
        <v>7.0400000000000004E-5</v>
      </c>
      <c r="N53">
        <v>0</v>
      </c>
      <c r="O53">
        <v>0</v>
      </c>
    </row>
    <row r="54" spans="1:16" ht="29" x14ac:dyDescent="0.35">
      <c r="A54" t="s">
        <v>106</v>
      </c>
      <c r="B54" t="s">
        <v>48</v>
      </c>
      <c r="C54" t="s">
        <v>107</v>
      </c>
      <c r="D54" t="s">
        <v>19</v>
      </c>
      <c r="E54" t="s">
        <v>20</v>
      </c>
      <c r="F54" t="s">
        <v>72</v>
      </c>
      <c r="G54" s="1" t="s">
        <v>50</v>
      </c>
      <c r="H54" t="b">
        <v>0</v>
      </c>
      <c r="I54">
        <v>10</v>
      </c>
      <c r="J54">
        <v>28.6666666666667</v>
      </c>
      <c r="L54">
        <v>17.2</v>
      </c>
      <c r="M54">
        <v>7.7400000000000004E-3</v>
      </c>
      <c r="N54">
        <v>0</v>
      </c>
      <c r="O54">
        <v>0</v>
      </c>
    </row>
    <row r="55" spans="1:16" x14ac:dyDescent="0.35">
      <c r="A55" t="s">
        <v>108</v>
      </c>
      <c r="B55" t="s">
        <v>48</v>
      </c>
      <c r="C55" t="s">
        <v>107</v>
      </c>
      <c r="D55" t="s">
        <v>19</v>
      </c>
      <c r="E55" t="s">
        <v>20</v>
      </c>
      <c r="F55" t="s">
        <v>72</v>
      </c>
      <c r="G55" t="s">
        <v>32</v>
      </c>
      <c r="H55" t="b">
        <v>1</v>
      </c>
      <c r="I55">
        <v>10</v>
      </c>
      <c r="J55">
        <v>20.350000000000001</v>
      </c>
      <c r="K55">
        <v>47</v>
      </c>
      <c r="L55">
        <v>136.345</v>
      </c>
      <c r="M55">
        <v>2.5905549999999999E-2</v>
      </c>
      <c r="N55">
        <v>136.345</v>
      </c>
      <c r="O55">
        <v>2.5905549999999999E-2</v>
      </c>
    </row>
    <row r="56" spans="1:16" x14ac:dyDescent="0.35">
      <c r="A56" t="s">
        <v>109</v>
      </c>
      <c r="B56" t="s">
        <v>48</v>
      </c>
      <c r="C56" t="s">
        <v>107</v>
      </c>
      <c r="D56" t="s">
        <v>19</v>
      </c>
      <c r="E56" t="s">
        <v>20</v>
      </c>
      <c r="F56" t="s">
        <v>72</v>
      </c>
      <c r="G56" t="s">
        <v>62</v>
      </c>
      <c r="H56" t="b">
        <v>1</v>
      </c>
      <c r="I56">
        <v>10</v>
      </c>
      <c r="J56">
        <v>178</v>
      </c>
      <c r="L56">
        <v>17.8</v>
      </c>
      <c r="M56">
        <v>0</v>
      </c>
      <c r="N56">
        <v>17.8</v>
      </c>
      <c r="O56">
        <v>0</v>
      </c>
    </row>
    <row r="57" spans="1:16" x14ac:dyDescent="0.35">
      <c r="A57" t="s">
        <v>110</v>
      </c>
      <c r="B57" t="s">
        <v>48</v>
      </c>
      <c r="C57" t="s">
        <v>107</v>
      </c>
      <c r="D57" t="s">
        <v>19</v>
      </c>
      <c r="E57" t="s">
        <v>20</v>
      </c>
      <c r="F57" t="s">
        <v>72</v>
      </c>
      <c r="G57" t="s">
        <v>89</v>
      </c>
      <c r="H57" t="b">
        <v>1</v>
      </c>
      <c r="I57">
        <v>10</v>
      </c>
      <c r="J57">
        <v>22</v>
      </c>
      <c r="L57">
        <v>2.2000000000000002</v>
      </c>
      <c r="M57">
        <v>4.862E-4</v>
      </c>
      <c r="N57">
        <v>2.2000000000000002</v>
      </c>
      <c r="O57">
        <v>4.862E-4</v>
      </c>
    </row>
    <row r="58" spans="1:16" x14ac:dyDescent="0.35">
      <c r="A58" t="s">
        <v>111</v>
      </c>
      <c r="B58" t="s">
        <v>48</v>
      </c>
      <c r="C58" t="s">
        <v>112</v>
      </c>
      <c r="D58" t="s">
        <v>19</v>
      </c>
      <c r="E58" t="s">
        <v>20</v>
      </c>
      <c r="F58" t="s">
        <v>72</v>
      </c>
      <c r="G58" t="s">
        <v>32</v>
      </c>
      <c r="H58" t="b">
        <v>1</v>
      </c>
      <c r="I58">
        <v>10</v>
      </c>
      <c r="J58">
        <v>16.7</v>
      </c>
      <c r="K58">
        <v>25</v>
      </c>
      <c r="L58">
        <v>75.150000000000006</v>
      </c>
      <c r="M58">
        <v>1.42785E-2</v>
      </c>
      <c r="N58">
        <v>75.150000000000006</v>
      </c>
      <c r="O58">
        <v>1.42785E-2</v>
      </c>
    </row>
    <row r="59" spans="1:16" x14ac:dyDescent="0.35">
      <c r="A59" t="s">
        <v>113</v>
      </c>
      <c r="B59" t="s">
        <v>48</v>
      </c>
      <c r="C59" t="s">
        <v>112</v>
      </c>
      <c r="D59" t="s">
        <v>19</v>
      </c>
      <c r="E59" t="s">
        <v>20</v>
      </c>
      <c r="F59" t="s">
        <v>72</v>
      </c>
      <c r="G59" t="s">
        <v>24</v>
      </c>
      <c r="H59" t="b">
        <v>1</v>
      </c>
      <c r="I59">
        <v>10</v>
      </c>
      <c r="J59">
        <v>14.6</v>
      </c>
      <c r="L59">
        <v>7.3</v>
      </c>
      <c r="M59">
        <v>2.7009999999999998E-3</v>
      </c>
      <c r="N59">
        <v>7.3</v>
      </c>
      <c r="O59">
        <v>2.7009999999999998E-3</v>
      </c>
    </row>
    <row r="60" spans="1:16" x14ac:dyDescent="0.35">
      <c r="A60" t="s">
        <v>114</v>
      </c>
      <c r="B60" t="s">
        <v>48</v>
      </c>
      <c r="C60" t="s">
        <v>112</v>
      </c>
      <c r="D60" t="s">
        <v>19</v>
      </c>
      <c r="E60" t="s">
        <v>20</v>
      </c>
      <c r="F60" t="s">
        <v>72</v>
      </c>
      <c r="G60" t="s">
        <v>26</v>
      </c>
      <c r="H60" t="b">
        <v>1</v>
      </c>
      <c r="I60">
        <v>10</v>
      </c>
      <c r="J60">
        <v>20</v>
      </c>
      <c r="L60">
        <v>2</v>
      </c>
      <c r="M60">
        <v>5.1999999999999995E-4</v>
      </c>
      <c r="N60">
        <v>2</v>
      </c>
      <c r="O60">
        <v>5.1999999999999995E-4</v>
      </c>
    </row>
    <row r="61" spans="1:16" x14ac:dyDescent="0.35">
      <c r="A61" t="s">
        <v>115</v>
      </c>
      <c r="B61" t="s">
        <v>48</v>
      </c>
      <c r="C61" t="s">
        <v>112</v>
      </c>
      <c r="D61" t="s">
        <v>19</v>
      </c>
      <c r="E61" t="s">
        <v>20</v>
      </c>
      <c r="F61" t="s">
        <v>72</v>
      </c>
      <c r="G61" t="s">
        <v>89</v>
      </c>
      <c r="H61" t="b">
        <v>1</v>
      </c>
      <c r="I61">
        <v>10</v>
      </c>
      <c r="J61">
        <v>20</v>
      </c>
      <c r="L61">
        <v>2</v>
      </c>
      <c r="M61">
        <v>4.4200000000000001E-4</v>
      </c>
      <c r="N61">
        <v>2</v>
      </c>
      <c r="O61">
        <v>4.4200000000000001E-4</v>
      </c>
    </row>
    <row r="62" spans="1:16" x14ac:dyDescent="0.35">
      <c r="A62" t="s">
        <v>116</v>
      </c>
      <c r="B62" t="s">
        <v>48</v>
      </c>
      <c r="C62" t="s">
        <v>117</v>
      </c>
      <c r="D62" t="s">
        <v>19</v>
      </c>
      <c r="E62" t="s">
        <v>20</v>
      </c>
      <c r="F62" t="s">
        <v>72</v>
      </c>
      <c r="G62" t="s">
        <v>32</v>
      </c>
      <c r="H62" t="b">
        <v>1</v>
      </c>
      <c r="I62">
        <v>10</v>
      </c>
      <c r="J62">
        <v>20.399999999999999</v>
      </c>
      <c r="K62">
        <v>45</v>
      </c>
      <c r="L62">
        <v>132.6</v>
      </c>
      <c r="M62">
        <v>2.5194000000000001E-2</v>
      </c>
      <c r="N62">
        <v>132.6</v>
      </c>
      <c r="O62">
        <v>2.5194000000000001E-2</v>
      </c>
    </row>
    <row r="63" spans="1:16" x14ac:dyDescent="0.35">
      <c r="A63" t="s">
        <v>118</v>
      </c>
      <c r="B63" t="s">
        <v>48</v>
      </c>
      <c r="C63" t="s">
        <v>117</v>
      </c>
      <c r="D63" t="s">
        <v>19</v>
      </c>
      <c r="E63" t="s">
        <v>20</v>
      </c>
      <c r="F63" t="s">
        <v>72</v>
      </c>
      <c r="G63" t="s">
        <v>24</v>
      </c>
      <c r="H63" t="b">
        <v>1</v>
      </c>
      <c r="I63">
        <v>10</v>
      </c>
      <c r="J63">
        <v>30</v>
      </c>
      <c r="L63">
        <v>15</v>
      </c>
      <c r="M63">
        <v>5.5500000000000002E-3</v>
      </c>
      <c r="N63">
        <v>15</v>
      </c>
      <c r="O63">
        <v>5.5500000000000002E-3</v>
      </c>
    </row>
    <row r="64" spans="1:16" ht="29" x14ac:dyDescent="0.35">
      <c r="A64" t="s">
        <v>119</v>
      </c>
      <c r="B64" t="s">
        <v>48</v>
      </c>
      <c r="C64" t="s">
        <v>117</v>
      </c>
      <c r="D64" t="s">
        <v>19</v>
      </c>
      <c r="E64" t="s">
        <v>20</v>
      </c>
      <c r="F64" t="s">
        <v>72</v>
      </c>
      <c r="G64" t="s">
        <v>120</v>
      </c>
      <c r="H64" t="b">
        <v>1</v>
      </c>
      <c r="I64">
        <v>10</v>
      </c>
      <c r="J64">
        <v>42</v>
      </c>
      <c r="L64">
        <v>4.2</v>
      </c>
      <c r="M64">
        <v>7.9938600000000002E-4</v>
      </c>
      <c r="N64">
        <v>4.2</v>
      </c>
      <c r="O64">
        <v>7.9938600000000002E-4</v>
      </c>
      <c r="P64" s="1" t="s">
        <v>29</v>
      </c>
    </row>
    <row r="65" spans="1:15" x14ac:dyDescent="0.35">
      <c r="A65" t="s">
        <v>121</v>
      </c>
      <c r="B65" t="s">
        <v>48</v>
      </c>
      <c r="C65" t="s">
        <v>117</v>
      </c>
      <c r="D65" t="s">
        <v>19</v>
      </c>
      <c r="E65" t="s">
        <v>20</v>
      </c>
      <c r="F65" t="s">
        <v>72</v>
      </c>
      <c r="G65" t="s">
        <v>38</v>
      </c>
      <c r="H65" t="b">
        <v>1</v>
      </c>
      <c r="I65">
        <v>10</v>
      </c>
      <c r="J65">
        <v>18</v>
      </c>
      <c r="L65">
        <v>1.8</v>
      </c>
      <c r="M65">
        <v>1.6801199999999999E-4</v>
      </c>
      <c r="N65">
        <v>1.8</v>
      </c>
      <c r="O65">
        <v>1.6801199999999999E-4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1.5429687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28</v>
      </c>
      <c r="H2" t="b">
        <v>1</v>
      </c>
      <c r="I2">
        <v>10</v>
      </c>
      <c r="J2">
        <v>50</v>
      </c>
      <c r="L2">
        <v>157.079861111111</v>
      </c>
      <c r="M2">
        <v>1.12781096266298E-2</v>
      </c>
      <c r="N2">
        <v>157.079861111111</v>
      </c>
      <c r="O2">
        <v>1.12781096266298E-2</v>
      </c>
      <c r="P2" s="1" t="s">
        <v>29</v>
      </c>
    </row>
    <row r="3" spans="1:16" ht="29" x14ac:dyDescent="0.35">
      <c r="A3" t="s">
        <v>53</v>
      </c>
      <c r="B3" t="s">
        <v>48</v>
      </c>
      <c r="C3" t="s">
        <v>49</v>
      </c>
      <c r="D3" t="s">
        <v>19</v>
      </c>
      <c r="E3" t="s">
        <v>20</v>
      </c>
      <c r="F3" t="s">
        <v>21</v>
      </c>
      <c r="G3" t="s">
        <v>28</v>
      </c>
      <c r="H3" t="b">
        <v>1</v>
      </c>
      <c r="I3">
        <v>10</v>
      </c>
      <c r="J3">
        <v>47</v>
      </c>
      <c r="L3">
        <v>295.31013888888901</v>
      </c>
      <c r="M3">
        <v>2.1202846098063999E-2</v>
      </c>
      <c r="N3">
        <v>295.31013888888901</v>
      </c>
      <c r="O3">
        <v>2.1202846098063999E-2</v>
      </c>
      <c r="P3" s="1" t="s">
        <v>29</v>
      </c>
    </row>
    <row r="4" spans="1:16" ht="29" x14ac:dyDescent="0.35">
      <c r="A4" t="s">
        <v>59</v>
      </c>
      <c r="B4" t="s">
        <v>55</v>
      </c>
      <c r="C4" t="s">
        <v>56</v>
      </c>
      <c r="D4" t="s">
        <v>19</v>
      </c>
      <c r="E4" t="s">
        <v>20</v>
      </c>
      <c r="F4" t="s">
        <v>21</v>
      </c>
      <c r="G4" t="s">
        <v>28</v>
      </c>
      <c r="H4" t="b">
        <v>1</v>
      </c>
      <c r="I4">
        <v>10</v>
      </c>
      <c r="J4">
        <v>22</v>
      </c>
      <c r="L4">
        <v>69.115138888888893</v>
      </c>
      <c r="M4">
        <v>4.9623682357171099E-3</v>
      </c>
      <c r="N4">
        <v>69.115138888888893</v>
      </c>
      <c r="O4">
        <v>4.9623682357171099E-3</v>
      </c>
      <c r="P4" s="1" t="s">
        <v>29</v>
      </c>
    </row>
    <row r="5" spans="1:16" ht="29" x14ac:dyDescent="0.35">
      <c r="A5" t="s">
        <v>66</v>
      </c>
      <c r="B5" t="s">
        <v>48</v>
      </c>
      <c r="C5" t="s">
        <v>61</v>
      </c>
      <c r="D5" t="s">
        <v>19</v>
      </c>
      <c r="E5" t="s">
        <v>20</v>
      </c>
      <c r="F5" t="s">
        <v>21</v>
      </c>
      <c r="G5" t="s">
        <v>28</v>
      </c>
      <c r="H5" t="b">
        <v>1</v>
      </c>
      <c r="I5">
        <v>10</v>
      </c>
      <c r="J5">
        <v>22</v>
      </c>
      <c r="L5">
        <v>69.115138888888893</v>
      </c>
      <c r="M5">
        <v>4.9623682357171099E-3</v>
      </c>
      <c r="N5">
        <v>69.115138888888893</v>
      </c>
      <c r="O5">
        <v>4.9623682357171099E-3</v>
      </c>
      <c r="P5" s="1" t="s">
        <v>29</v>
      </c>
    </row>
    <row r="6" spans="1:16" ht="29" x14ac:dyDescent="0.35">
      <c r="A6" t="s">
        <v>85</v>
      </c>
      <c r="B6" t="s">
        <v>86</v>
      </c>
      <c r="C6" t="s">
        <v>87</v>
      </c>
      <c r="D6" t="s">
        <v>19</v>
      </c>
      <c r="E6" t="s">
        <v>20</v>
      </c>
      <c r="F6" t="s">
        <v>72</v>
      </c>
      <c r="G6" t="s">
        <v>28</v>
      </c>
      <c r="H6" t="b">
        <v>1</v>
      </c>
      <c r="I6">
        <v>10</v>
      </c>
      <c r="J6">
        <v>22</v>
      </c>
      <c r="L6">
        <v>11</v>
      </c>
      <c r="M6">
        <v>7.8978428561999995E-4</v>
      </c>
      <c r="N6">
        <v>11</v>
      </c>
      <c r="O6">
        <v>7.8978428561999995E-4</v>
      </c>
      <c r="P6" s="1" t="s">
        <v>29</v>
      </c>
    </row>
    <row r="7" spans="1:16" ht="29" x14ac:dyDescent="0.35">
      <c r="A7" t="s">
        <v>93</v>
      </c>
      <c r="B7" t="s">
        <v>86</v>
      </c>
      <c r="C7" t="s">
        <v>87</v>
      </c>
      <c r="D7" t="s">
        <v>19</v>
      </c>
      <c r="E7" t="s">
        <v>20</v>
      </c>
      <c r="F7" t="s">
        <v>72</v>
      </c>
      <c r="G7" t="s">
        <v>94</v>
      </c>
      <c r="H7" t="b">
        <v>1</v>
      </c>
      <c r="I7">
        <v>10</v>
      </c>
      <c r="J7">
        <v>108</v>
      </c>
      <c r="L7">
        <v>21.6</v>
      </c>
      <c r="M7">
        <v>4.752E-4</v>
      </c>
      <c r="N7">
        <v>21.6</v>
      </c>
      <c r="O7">
        <v>4.752E-4</v>
      </c>
      <c r="P7" s="1" t="s">
        <v>29</v>
      </c>
    </row>
    <row r="8" spans="1:16" ht="29" x14ac:dyDescent="0.35">
      <c r="A8" t="s">
        <v>97</v>
      </c>
      <c r="B8" t="s">
        <v>86</v>
      </c>
      <c r="C8" t="s">
        <v>98</v>
      </c>
      <c r="D8" t="s">
        <v>19</v>
      </c>
      <c r="E8" t="s">
        <v>20</v>
      </c>
      <c r="F8" t="s">
        <v>72</v>
      </c>
      <c r="G8" t="s">
        <v>28</v>
      </c>
      <c r="H8" t="b">
        <v>1</v>
      </c>
      <c r="I8">
        <v>10</v>
      </c>
      <c r="J8">
        <v>18.399999999999999</v>
      </c>
      <c r="L8">
        <v>18.399999999999999</v>
      </c>
      <c r="M8">
        <v>1.321093714128E-3</v>
      </c>
      <c r="N8">
        <v>18.399999999999999</v>
      </c>
      <c r="O8">
        <v>1.321093714128E-3</v>
      </c>
      <c r="P8" s="1" t="s">
        <v>29</v>
      </c>
    </row>
    <row r="9" spans="1:16" ht="29" x14ac:dyDescent="0.35">
      <c r="A9" t="s">
        <v>119</v>
      </c>
      <c r="B9" t="s">
        <v>48</v>
      </c>
      <c r="C9" t="s">
        <v>117</v>
      </c>
      <c r="D9" t="s">
        <v>19</v>
      </c>
      <c r="E9" t="s">
        <v>20</v>
      </c>
      <c r="F9" t="s">
        <v>72</v>
      </c>
      <c r="G9" t="s">
        <v>120</v>
      </c>
      <c r="H9" t="b">
        <v>1</v>
      </c>
      <c r="I9">
        <v>10</v>
      </c>
      <c r="J9">
        <v>42</v>
      </c>
      <c r="L9">
        <v>4.2</v>
      </c>
      <c r="M9">
        <v>7.9938600000000002E-4</v>
      </c>
      <c r="N9">
        <v>4.2</v>
      </c>
      <c r="O9">
        <v>7.9938600000000002E-4</v>
      </c>
      <c r="P9" s="1" t="s">
        <v>29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topLeftCell="A6" workbookViewId="0">
      <selection activeCell="F18" sqref="F18"/>
    </sheetView>
  </sheetViews>
  <sheetFormatPr defaultRowHeight="14.5" x14ac:dyDescent="0.35"/>
  <cols>
    <col min="1" max="1" width="24" customWidth="1"/>
    <col min="2" max="2" width="32.08984375" customWidth="1"/>
    <col min="3" max="3" width="21.1796875" customWidth="1"/>
    <col min="4" max="4" width="23.90625" customWidth="1"/>
  </cols>
  <sheetData>
    <row r="1" spans="1:4" x14ac:dyDescent="0.35">
      <c r="A1" s="2" t="s">
        <v>122</v>
      </c>
      <c r="B1" s="2" t="s">
        <v>123</v>
      </c>
    </row>
    <row r="2" spans="1:4" x14ac:dyDescent="0.35">
      <c r="A2" s="3" t="s">
        <v>124</v>
      </c>
      <c r="B2" s="3" t="s">
        <v>124</v>
      </c>
    </row>
    <row r="3" spans="1:4" x14ac:dyDescent="0.35">
      <c r="A3" s="4" t="s">
        <v>125</v>
      </c>
      <c r="B3" s="4" t="s">
        <v>126</v>
      </c>
    </row>
    <row r="4" spans="1:4" x14ac:dyDescent="0.35">
      <c r="A4" s="5" t="s">
        <v>127</v>
      </c>
      <c r="B4" s="5" t="s">
        <v>128</v>
      </c>
    </row>
    <row r="8" spans="1:4" x14ac:dyDescent="0.35">
      <c r="C8" s="6" t="s">
        <v>142</v>
      </c>
      <c r="D8" s="6" t="s">
        <v>143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 s="7">
        <v>1.831946407846351</v>
      </c>
      <c r="D11" s="8">
        <v>1.831946407846351</v>
      </c>
    </row>
    <row r="12" spans="1:4" x14ac:dyDescent="0.35">
      <c r="B12" t="s">
        <v>31</v>
      </c>
      <c r="C12" s="7">
        <v>0.53796220744166678</v>
      </c>
      <c r="D12" s="7">
        <v>0.53796220744166678</v>
      </c>
    </row>
    <row r="13" spans="1:4" x14ac:dyDescent="0.35">
      <c r="B13" t="s">
        <v>71</v>
      </c>
      <c r="C13" s="9">
        <v>2.1189547999999999E-2</v>
      </c>
      <c r="D13" s="9">
        <v>2.1189547999999999E-2</v>
      </c>
    </row>
    <row r="14" spans="1:4" x14ac:dyDescent="0.35">
      <c r="B14" t="s">
        <v>81</v>
      </c>
      <c r="C14" s="9">
        <v>3.5677675999999998E-2</v>
      </c>
      <c r="D14" s="9">
        <v>3.5677675999999998E-2</v>
      </c>
    </row>
    <row r="15" spans="1:4" x14ac:dyDescent="0.35">
      <c r="A15" t="s">
        <v>40</v>
      </c>
      <c r="B15" t="s">
        <v>41</v>
      </c>
      <c r="C15" s="8">
        <v>14.918111235887222</v>
      </c>
      <c r="D15" s="8">
        <v>14.915962383387223</v>
      </c>
    </row>
    <row r="16" spans="1:4" x14ac:dyDescent="0.35">
      <c r="A16" t="s">
        <v>48</v>
      </c>
      <c r="B16" t="s">
        <v>49</v>
      </c>
      <c r="C16" s="7">
        <v>0.62524578650362006</v>
      </c>
      <c r="D16" s="7">
        <v>0.58283422400361995</v>
      </c>
    </row>
    <row r="17" spans="1:4" x14ac:dyDescent="0.35">
      <c r="B17" t="s">
        <v>61</v>
      </c>
      <c r="C17" s="9">
        <v>0.42676766263849492</v>
      </c>
      <c r="D17" s="9">
        <v>0.42553879546905049</v>
      </c>
    </row>
    <row r="18" spans="1:4" x14ac:dyDescent="0.35">
      <c r="B18" t="s">
        <v>107</v>
      </c>
      <c r="C18" s="9">
        <v>3.4131749999999995E-2</v>
      </c>
      <c r="D18" s="9">
        <v>2.6391749999999999E-2</v>
      </c>
    </row>
    <row r="19" spans="1:4" x14ac:dyDescent="0.35">
      <c r="B19" t="s">
        <v>112</v>
      </c>
      <c r="C19" s="9">
        <v>1.7941499999999999E-2</v>
      </c>
      <c r="D19" s="9">
        <v>1.7941499999999999E-2</v>
      </c>
    </row>
    <row r="20" spans="1:4" x14ac:dyDescent="0.35">
      <c r="B20" t="s">
        <v>117</v>
      </c>
      <c r="C20" s="9">
        <v>3.1711398000000002E-2</v>
      </c>
      <c r="D20" s="9">
        <v>3.1711398000000002E-2</v>
      </c>
    </row>
    <row r="21" spans="1:4" x14ac:dyDescent="0.35">
      <c r="A21" t="s">
        <v>55</v>
      </c>
      <c r="B21" t="s">
        <v>56</v>
      </c>
      <c r="C21" s="7">
        <v>0.96760015896627194</v>
      </c>
      <c r="D21" s="7">
        <v>0.92518859646627194</v>
      </c>
    </row>
    <row r="22" spans="1:4" x14ac:dyDescent="0.35">
      <c r="A22" t="s">
        <v>86</v>
      </c>
      <c r="B22" t="s">
        <v>87</v>
      </c>
      <c r="C22" s="9">
        <v>6.3399842856200006E-3</v>
      </c>
      <c r="D22" s="9">
        <v>6.3339842856200007E-3</v>
      </c>
    </row>
    <row r="23" spans="1:4" x14ac:dyDescent="0.35">
      <c r="B23" t="s">
        <v>98</v>
      </c>
      <c r="C23" s="9">
        <v>1.9200593714128002E-2</v>
      </c>
      <c r="D23" s="9">
        <v>1.9130193714128E-2</v>
      </c>
    </row>
  </sheetData>
  <pageMargins left="0.75" right="0.75" top="0.75" bottom="0.5" header="0.5" footer="0.75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E18" sqref="E18"/>
    </sheetView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129</v>
      </c>
      <c r="B1" s="2" t="s">
        <v>130</v>
      </c>
      <c r="C1" s="2" t="s">
        <v>131</v>
      </c>
      <c r="D1" s="2" t="s">
        <v>132</v>
      </c>
    </row>
    <row r="2" spans="1:4" x14ac:dyDescent="0.35">
      <c r="A2" s="3" t="s">
        <v>133</v>
      </c>
      <c r="B2" s="3" t="s">
        <v>133</v>
      </c>
      <c r="C2" s="3" t="s">
        <v>133</v>
      </c>
      <c r="D2" s="3" t="s">
        <v>133</v>
      </c>
    </row>
    <row r="3" spans="1:4" x14ac:dyDescent="0.35">
      <c r="A3" s="4" t="s">
        <v>134</v>
      </c>
      <c r="B3" s="4" t="s">
        <v>135</v>
      </c>
      <c r="C3" s="4" t="s">
        <v>136</v>
      </c>
      <c r="D3" s="4" t="s">
        <v>137</v>
      </c>
    </row>
    <row r="4" spans="1:4" x14ac:dyDescent="0.35">
      <c r="A4" s="5" t="s">
        <v>138</v>
      </c>
      <c r="B4" s="5" t="s">
        <v>139</v>
      </c>
      <c r="C4" s="5" t="s">
        <v>140</v>
      </c>
      <c r="D4" s="5" t="s">
        <v>141</v>
      </c>
    </row>
    <row r="8" spans="1:4" x14ac:dyDescent="0.35">
      <c r="A8" s="6" t="s">
        <v>11</v>
      </c>
      <c r="C8" s="6" t="s">
        <v>142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29</v>
      </c>
    </row>
    <row r="11" spans="1:4" x14ac:dyDescent="0.35">
      <c r="A11" t="s">
        <v>17</v>
      </c>
      <c r="B11" t="s">
        <v>18</v>
      </c>
      <c r="C11">
        <v>157.079861111111</v>
      </c>
    </row>
    <row r="12" spans="1:4" x14ac:dyDescent="0.35">
      <c r="A12" t="s">
        <v>48</v>
      </c>
      <c r="B12" t="s">
        <v>49</v>
      </c>
      <c r="C12">
        <v>295.31013888888901</v>
      </c>
    </row>
    <row r="13" spans="1:4" x14ac:dyDescent="0.35">
      <c r="B13" t="s">
        <v>61</v>
      </c>
      <c r="C13">
        <v>69.115138888888893</v>
      </c>
    </row>
    <row r="14" spans="1:4" x14ac:dyDescent="0.35">
      <c r="B14" t="s">
        <v>117</v>
      </c>
      <c r="C14">
        <v>4.2</v>
      </c>
    </row>
    <row r="15" spans="1:4" x14ac:dyDescent="0.35">
      <c r="A15" t="s">
        <v>55</v>
      </c>
      <c r="B15" t="s">
        <v>56</v>
      </c>
      <c r="C15">
        <v>69.115138888888893</v>
      </c>
    </row>
    <row r="16" spans="1:4" x14ac:dyDescent="0.35">
      <c r="A16" t="s">
        <v>86</v>
      </c>
      <c r="B16" t="s">
        <v>87</v>
      </c>
      <c r="C16">
        <v>32.6</v>
      </c>
    </row>
    <row r="17" spans="1:3" x14ac:dyDescent="0.35">
      <c r="B17" t="s">
        <v>98</v>
      </c>
      <c r="C17">
        <v>18.399999999999999</v>
      </c>
    </row>
    <row r="30" spans="1:3" x14ac:dyDescent="0.35">
      <c r="A30" s="2" t="s">
        <v>122</v>
      </c>
    </row>
    <row r="31" spans="1:3" x14ac:dyDescent="0.35">
      <c r="A31" s="3" t="s">
        <v>124</v>
      </c>
    </row>
    <row r="32" spans="1:3" x14ac:dyDescent="0.35">
      <c r="A32" s="4" t="s">
        <v>125</v>
      </c>
    </row>
    <row r="33" spans="1:3" x14ac:dyDescent="0.35">
      <c r="A33" s="5" t="s">
        <v>127</v>
      </c>
    </row>
    <row r="37" spans="1:3" x14ac:dyDescent="0.35">
      <c r="A37" s="6" t="s">
        <v>12</v>
      </c>
      <c r="C37" s="6" t="s">
        <v>142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1.831946407846351</v>
      </c>
    </row>
    <row r="40" spans="1:3" x14ac:dyDescent="0.35">
      <c r="B40" t="s">
        <v>31</v>
      </c>
      <c r="C40">
        <v>0.53796220744166678</v>
      </c>
    </row>
    <row r="41" spans="1:3" x14ac:dyDescent="0.35">
      <c r="B41" t="s">
        <v>71</v>
      </c>
      <c r="C41">
        <v>2.1189547999999999E-2</v>
      </c>
    </row>
    <row r="42" spans="1:3" x14ac:dyDescent="0.35">
      <c r="B42" t="s">
        <v>81</v>
      </c>
      <c r="C42">
        <v>3.5677675999999998E-2</v>
      </c>
    </row>
    <row r="43" spans="1:3" x14ac:dyDescent="0.35">
      <c r="A43" t="s">
        <v>40</v>
      </c>
      <c r="B43" t="s">
        <v>41</v>
      </c>
      <c r="C43">
        <v>14.918111235887222</v>
      </c>
    </row>
    <row r="44" spans="1:3" x14ac:dyDescent="0.35">
      <c r="A44" t="s">
        <v>48</v>
      </c>
      <c r="B44" t="s">
        <v>49</v>
      </c>
      <c r="C44">
        <v>0.62524578650362006</v>
      </c>
    </row>
    <row r="45" spans="1:3" x14ac:dyDescent="0.35">
      <c r="B45" t="s">
        <v>61</v>
      </c>
      <c r="C45">
        <v>0.42676766263849492</v>
      </c>
    </row>
    <row r="46" spans="1:3" x14ac:dyDescent="0.35">
      <c r="B46" t="s">
        <v>107</v>
      </c>
      <c r="C46">
        <v>3.4131749999999995E-2</v>
      </c>
    </row>
    <row r="47" spans="1:3" x14ac:dyDescent="0.35">
      <c r="B47" t="s">
        <v>112</v>
      </c>
      <c r="C47">
        <v>1.7941499999999999E-2</v>
      </c>
    </row>
    <row r="48" spans="1:3" x14ac:dyDescent="0.35">
      <c r="B48" t="s">
        <v>117</v>
      </c>
      <c r="C48">
        <v>3.1711398000000002E-2</v>
      </c>
    </row>
    <row r="49" spans="1:3" x14ac:dyDescent="0.35">
      <c r="A49" t="s">
        <v>55</v>
      </c>
      <c r="B49" t="s">
        <v>56</v>
      </c>
      <c r="C49">
        <v>0.96760015896627194</v>
      </c>
    </row>
    <row r="50" spans="1:3" x14ac:dyDescent="0.35">
      <c r="A50" t="s">
        <v>86</v>
      </c>
      <c r="B50" t="s">
        <v>87</v>
      </c>
      <c r="C50">
        <v>6.3399842856200006E-3</v>
      </c>
    </row>
    <row r="51" spans="1:3" x14ac:dyDescent="0.35">
      <c r="B51" t="s">
        <v>98</v>
      </c>
      <c r="C51">
        <v>1.9200593714128002E-2</v>
      </c>
    </row>
  </sheetData>
  <pageMargins left="0.75" right="0.75" top="0.75" bottom="0.5" header="0.5" footer="0.7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2025-12-31T00:27:35Z</dcterms:created>
  <dcterms:modified xsi:type="dcterms:W3CDTF">2025-12-31T19:27:25Z</dcterms:modified>
</cp:coreProperties>
</file>