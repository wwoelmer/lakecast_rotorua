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naR\Downloads\"/>
    </mc:Choice>
  </mc:AlternateContent>
  <xr:revisionPtr revIDLastSave="0" documentId="8_{202269B8-9BA7-4398-8E18-A26430D35638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Lakes Data" sheetId="2" r:id="rId1"/>
    <sheet name="Toxin Data" sheetId="3" r:id="rId2"/>
    <sheet name="Warnings" sheetId="4" r:id="rId3"/>
    <sheet name="Warnings New" sheetId="5" r:id="rId4"/>
  </sheets>
  <calcPr calcId="0"/>
  <pivotCaches>
    <pivotCache cacheId="30" r:id="rId5"/>
    <pivotCache cacheId="37" r:id="rId6"/>
    <pivotCache cacheId="43" r:id="rId7"/>
  </pivotCaches>
</workbook>
</file>

<file path=xl/sharedStrings.xml><?xml version="1.0" encoding="utf-8"?>
<sst xmlns="http://schemas.openxmlformats.org/spreadsheetml/2006/main" count="997" uniqueCount="178">
  <si>
    <t>SampleId</t>
  </si>
  <si>
    <t>Location</t>
  </si>
  <si>
    <t>Site</t>
  </si>
  <si>
    <t>SampleDate</t>
  </si>
  <si>
    <t>MicroscopeType</t>
  </si>
  <si>
    <t>WholePlate</t>
  </si>
  <si>
    <t>Species</t>
  </si>
  <si>
    <t>IsSpeciesToxic</t>
  </si>
  <si>
    <t>VolumeInMillilitres</t>
  </si>
  <si>
    <t>Average</t>
  </si>
  <si>
    <t>NumberOfColonies</t>
  </si>
  <si>
    <t>CellsPerMl</t>
  </si>
  <si>
    <t>TotalBioVolume</t>
  </si>
  <si>
    <t>PotentiallyToxicCellMl</t>
  </si>
  <si>
    <t>PotentiallyToxicBioVolume</t>
  </si>
  <si>
    <t>ToxinCluster</t>
  </si>
  <si>
    <t>5539.1</t>
  </si>
  <si>
    <t>Kaituna</t>
  </si>
  <si>
    <t>Trout Pool</t>
  </si>
  <si>
    <t>24/03/2025</t>
  </si>
  <si>
    <t>20A</t>
  </si>
  <si>
    <t>Whole Plate</t>
  </si>
  <si>
    <t>Microcystis wesenbergii</t>
  </si>
  <si>
    <t xml:space="preserve">Microcystis spp.
</t>
  </si>
  <si>
    <t>5539.2</t>
  </si>
  <si>
    <t>Dolichospermum circinale</t>
  </si>
  <si>
    <t>5539.3</t>
  </si>
  <si>
    <t>Aphanocapsa holsatica</t>
  </si>
  <si>
    <t>5539.4</t>
  </si>
  <si>
    <t>Aphanocapsa delicatissima</t>
  </si>
  <si>
    <t>5539.5</t>
  </si>
  <si>
    <t>Phormidium sp</t>
  </si>
  <si>
    <t>5539.6</t>
  </si>
  <si>
    <t>Dolichospermum planctonicum </t>
  </si>
  <si>
    <t>5539.7</t>
  </si>
  <si>
    <t>Microcystis sp. (large)</t>
  </si>
  <si>
    <t>5539.8</t>
  </si>
  <si>
    <t>Dolichospermum lemmermannii</t>
  </si>
  <si>
    <t>5539.9</t>
  </si>
  <si>
    <t>Pseudanabaena mucicola (rod)</t>
  </si>
  <si>
    <t>5540.1</t>
  </si>
  <si>
    <t>Rotoehu</t>
  </si>
  <si>
    <t>Kennedy Bay</t>
  </si>
  <si>
    <t>160</t>
  </si>
  <si>
    <t>Microcystis aeruginosa</t>
  </si>
  <si>
    <t>5540.2</t>
  </si>
  <si>
    <t>5540.3</t>
  </si>
  <si>
    <t>5540.4</t>
  </si>
  <si>
    <t>Pseudanabaena limnetica (cylinder)</t>
  </si>
  <si>
    <t>5540.5</t>
  </si>
  <si>
    <t>Oscillatoria sp</t>
  </si>
  <si>
    <t>5541.1</t>
  </si>
  <si>
    <t>Otautu</t>
  </si>
  <si>
    <t>50</t>
  </si>
  <si>
    <t>5541.2</t>
  </si>
  <si>
    <t>5541.3</t>
  </si>
  <si>
    <t>Coelosphaerium kuetzingianum</t>
  </si>
  <si>
    <t>5541.4</t>
  </si>
  <si>
    <t>Dolichospermum sp</t>
  </si>
  <si>
    <t>5541.5</t>
  </si>
  <si>
    <t>5536.1</t>
  </si>
  <si>
    <t>Rotoiti</t>
  </si>
  <si>
    <t>Hinehopu</t>
  </si>
  <si>
    <t>5536.2</t>
  </si>
  <si>
    <t>5536.3</t>
  </si>
  <si>
    <t>5536.4</t>
  </si>
  <si>
    <t>5536.5</t>
  </si>
  <si>
    <t>5536.6</t>
  </si>
  <si>
    <t>5536.7</t>
  </si>
  <si>
    <t>5536.8</t>
  </si>
  <si>
    <t>5536.9</t>
  </si>
  <si>
    <t>5536.10</t>
  </si>
  <si>
    <t>5543.1</t>
  </si>
  <si>
    <t>Okawa Bay</t>
  </si>
  <si>
    <t>5543.2</t>
  </si>
  <si>
    <t>5543.3</t>
  </si>
  <si>
    <t>5543.4</t>
  </si>
  <si>
    <t>5543.5</t>
  </si>
  <si>
    <t>5543.6</t>
  </si>
  <si>
    <t>5544.1</t>
  </si>
  <si>
    <t>Okere Arm</t>
  </si>
  <si>
    <t>5544.2</t>
  </si>
  <si>
    <t>5544.3</t>
  </si>
  <si>
    <t>5544.4</t>
  </si>
  <si>
    <t>5544.5</t>
  </si>
  <si>
    <t>5544.6</t>
  </si>
  <si>
    <t>5544.7</t>
  </si>
  <si>
    <t>Pseudanabaena galeata (cylinder)</t>
  </si>
  <si>
    <t>5544.8</t>
  </si>
  <si>
    <t>5544.9</t>
  </si>
  <si>
    <t>5544.10</t>
  </si>
  <si>
    <t>5544.11</t>
  </si>
  <si>
    <t>5544.12</t>
  </si>
  <si>
    <t>Woronichinia naegeliana</t>
  </si>
  <si>
    <t>5538.1</t>
  </si>
  <si>
    <t>Otaramarae</t>
  </si>
  <si>
    <t>5538.2</t>
  </si>
  <si>
    <t>5538.3</t>
  </si>
  <si>
    <t>5538.4</t>
  </si>
  <si>
    <t>5538.5</t>
  </si>
  <si>
    <t>5538.6</t>
  </si>
  <si>
    <t>5538.7</t>
  </si>
  <si>
    <t>5538.8</t>
  </si>
  <si>
    <t>5546.1</t>
  </si>
  <si>
    <t>Te Weta</t>
  </si>
  <si>
    <t>5546.2</t>
  </si>
  <si>
    <t>5546.3</t>
  </si>
  <si>
    <t>5546.4</t>
  </si>
  <si>
    <t>5546.5</t>
  </si>
  <si>
    <t>5546.6</t>
  </si>
  <si>
    <t>5546.7</t>
  </si>
  <si>
    <t>5546.8</t>
  </si>
  <si>
    <t>5546.9</t>
  </si>
  <si>
    <t>5546.10</t>
  </si>
  <si>
    <t>5547.1</t>
  </si>
  <si>
    <t>Rotorua</t>
  </si>
  <si>
    <t>Hamurana</t>
  </si>
  <si>
    <t>5547.2</t>
  </si>
  <si>
    <t>5547.3</t>
  </si>
  <si>
    <t>5547.4</t>
  </si>
  <si>
    <t>5547.5</t>
  </si>
  <si>
    <t>5542.1</t>
  </si>
  <si>
    <t>Holdens Bay</t>
  </si>
  <si>
    <t>5542.2</t>
  </si>
  <si>
    <t>5542.3</t>
  </si>
  <si>
    <t>5542.4</t>
  </si>
  <si>
    <t>5542.5</t>
  </si>
  <si>
    <t>5542.6</t>
  </si>
  <si>
    <t>5542.7</t>
  </si>
  <si>
    <t>5542.8</t>
  </si>
  <si>
    <t>5548.1</t>
  </si>
  <si>
    <t>Ngongotaha</t>
  </si>
  <si>
    <t>5548.2</t>
  </si>
  <si>
    <t>5548.3</t>
  </si>
  <si>
    <t>5548.4</t>
  </si>
  <si>
    <t>5548.5</t>
  </si>
  <si>
    <t>5545.1</t>
  </si>
  <si>
    <t>Ohau Channel</t>
  </si>
  <si>
    <t>Geitlerinema sp</t>
  </si>
  <si>
    <t>5545.2</t>
  </si>
  <si>
    <t>5545.3</t>
  </si>
  <si>
    <t>5545.4</t>
  </si>
  <si>
    <t>5545.5</t>
  </si>
  <si>
    <t>5545.6</t>
  </si>
  <si>
    <t>5545.7</t>
  </si>
  <si>
    <t>5545.8</t>
  </si>
  <si>
    <t>Limnothrix cf planktonica</t>
  </si>
  <si>
    <t>5537.1</t>
  </si>
  <si>
    <t>Lake Okaro</t>
  </si>
  <si>
    <t>Boat ramp</t>
  </si>
  <si>
    <t>5537.2</t>
  </si>
  <si>
    <t>5537.3</t>
  </si>
  <si>
    <t>5537.4</t>
  </si>
  <si>
    <t>5537.5</t>
  </si>
  <si>
    <t>5537.6</t>
  </si>
  <si>
    <t>5537.7</t>
  </si>
  <si>
    <t>Total Biovolume (mm3/L)</t>
  </si>
  <si>
    <t>Potential toxic Biovolume (mm3/L)</t>
  </si>
  <si>
    <t>&lt; 0.5</t>
  </si>
  <si>
    <t>0.5 - 9.99</t>
  </si>
  <si>
    <t>0.5 - 1.8</t>
  </si>
  <si>
    <t>&gt;= 10</t>
  </si>
  <si>
    <t>&gt; 1.8</t>
  </si>
  <si>
    <t>Mycrocystis spp (cells/mL)</t>
  </si>
  <si>
    <t>Cuspidothrix issatschenkoi (cells/mL)</t>
  </si>
  <si>
    <t>Raphidiopsis raciborskii (cells/mL)</t>
  </si>
  <si>
    <t>Nodularia spumigena (cells/mL)</t>
  </si>
  <si>
    <t>&lt; 500</t>
  </si>
  <si>
    <t>500 to &lt; 30000</t>
  </si>
  <si>
    <t>500 to &lt; 100000</t>
  </si>
  <si>
    <t>500 to &lt; 5000</t>
  </si>
  <si>
    <t>500 to &lt; 10000</t>
  </si>
  <si>
    <t>&gt;= 30000</t>
  </si>
  <si>
    <t>&gt;= 100000</t>
  </si>
  <si>
    <t>&gt;= 5000</t>
  </si>
  <si>
    <t>&gt;= 10000</t>
  </si>
  <si>
    <t>Dates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</si>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</sst>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ADFF2F"/>
      </patternFill>
    </fill>
    <fill>
      <patternFill patternType="solid">
        <fgColor rgb="FFFFA500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7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0" fontId="1" fillId="2" borderId="0" xfId="0" applyNumberFormat="1" applyFont="1" applyFill="1" applyAlignment="1" applyProtection="1"/>
    <xf numFmtId="0" fontId="1" fillId="3" borderId="0" xfId="0" applyNumberFormat="1" applyFont="1" applyFill="1" applyAlignment="1" applyProtection="1"/>
    <xf numFmtId="0" fontId="1" fillId="4" borderId="0" xfId="0" applyNumberFormat="1" applyFont="1" applyFill="1" applyAlignment="1" applyProtection="1"/>
    <xf numFmtId="0" fontId="1" fillId="5" borderId="0" xfId="0" applyNumberFormat="1" applyFont="1" applyFill="1" applyAlignment="1" applyProtection="1"/>
    <xf numFmtId="0" fontId="0" fillId="0" borderId="0" xfId="0" pivotButton="1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nna Raeburn" refreshedDate="45743.655804398149" refreshedVersion="8" recordCount="98" xr:uid="{00000000-000A-0000-FFFF-FFFF02000000}">
  <cacheSource type="worksheet">
    <worksheetSource ref="A1:P99" sheet="Lakes Data"/>
  </cacheSource>
  <cacheFields count="16">
    <cacheField name="SampleId" numFmtId="0">
      <sharedItems/>
    </cacheField>
    <cacheField name="Location" numFmtId="0">
      <sharedItems count="5">
        <s v="Kaituna"/>
        <s v="Rotoehu"/>
        <s v="Rotoiti"/>
        <s v="Rotorua"/>
        <s v="Lake Okaro"/>
      </sharedItems>
    </cacheField>
    <cacheField name="Site" numFmtId="0">
      <sharedItems count="13">
        <s v="Trout Pool"/>
        <s v="Kennedy Bay"/>
        <s v="Otautu"/>
        <s v="Hinehopu"/>
        <s v="Okawa Bay"/>
        <s v="Okere Arm"/>
        <s v="Otaramarae"/>
        <s v="Te Weta"/>
        <s v="Hamurana"/>
        <s v="Holdens Bay"/>
        <s v="Ngongotaha"/>
        <s v="Ohau Channel"/>
        <s v="Boat ramp"/>
      </sharedItems>
    </cacheField>
    <cacheField name="SampleDate" numFmtId="0">
      <sharedItems count="1">
        <s v="24/03/2025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minValue="4" maxValue="171"/>
    </cacheField>
    <cacheField name="NumberOfColonies" numFmtId="0">
      <sharedItems containsString="0" containsBlank="1" containsNumber="1" containsInteger="1" minValue="8" maxValue="503"/>
    </cacheField>
    <cacheField name="CellsPerMl" numFmtId="0">
      <sharedItems containsSemiMixedTypes="0" containsString="0" containsNumber="1" minValue="0.4" maxValue="105388.77439999999"/>
    </cacheField>
    <cacheField name="TotalBioVolume" numFmtId="0">
      <sharedItems containsSemiMixedTypes="0" containsString="0" containsNumber="1" minValue="0" maxValue="9.1688233728000004"/>
    </cacheField>
    <cacheField name="PotentiallyToxicCellMl" numFmtId="0">
      <sharedItems containsSemiMixedTypes="0" containsString="0" containsNumber="1" minValue="0" maxValue="105388.77439999999"/>
    </cacheField>
    <cacheField name="PotentiallyToxicBioVolume" numFmtId="0">
      <sharedItems containsSemiMixedTypes="0" containsString="0" containsNumber="1" minValue="0" maxValue="9.1688233728000004"/>
    </cacheField>
    <cacheField name="ToxinClust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nna Raeburn" refreshedDate="45743.655804513888" refreshedVersion="8" recordCount="20" xr:uid="{00000000-000A-0000-FFFF-FFFF01000000}">
  <cacheSource type="worksheet">
    <worksheetSource ref="A1:P21" sheet="Toxin Data"/>
  </cacheSource>
  <cacheFields count="16">
    <cacheField name="SampleId" numFmtId="0">
      <sharedItems/>
    </cacheField>
    <cacheField name="Location" numFmtId="0">
      <sharedItems count="4">
        <s v="Kaituna"/>
        <s v="Rotoehu"/>
        <s v="Rotoiti"/>
        <s v="Rotorua"/>
      </sharedItems>
    </cacheField>
    <cacheField name="Site" numFmtId="0">
      <sharedItems count="12">
        <s v="Trout Pool"/>
        <s v="Kennedy Bay"/>
        <s v="Otautu"/>
        <s v="Hinehopu"/>
        <s v="Okawa Bay"/>
        <s v="Okere Arm"/>
        <s v="Otaramarae"/>
        <s v="Te Weta"/>
        <s v="Hamurana"/>
        <s v="Holdens Bay"/>
        <s v="Ngongotaha"/>
        <s v="Ohau Channel"/>
      </sharedItems>
    </cacheField>
    <cacheField name="SampleDate" numFmtId="0">
      <sharedItems count="1">
        <s v="24/03/2025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minValue="12.15" maxValue="74.3333333333333"/>
    </cacheField>
    <cacheField name="NumberOfColonies" numFmtId="0">
      <sharedItems containsString="0" containsBlank="1" containsNumber="1" containsInteger="1" minValue="19" maxValue="344"/>
    </cacheField>
    <cacheField name="CellsPerMl" numFmtId="0">
      <sharedItems containsSemiMixedTypes="0" containsString="0" containsNumber="1" minValue="1.7" maxValue="105388.77439999999"/>
    </cacheField>
    <cacheField name="TotalBioVolume" numFmtId="0">
      <sharedItems containsSemiMixedTypes="0" containsString="0" containsNumber="1" minValue="1.58202E-4" maxValue="9.1688233728000004"/>
    </cacheField>
    <cacheField name="PotentiallyToxicCellMl" numFmtId="0">
      <sharedItems containsSemiMixedTypes="0" containsString="0" containsNumber="1" minValue="1.7" maxValue="105388.77439999999"/>
    </cacheField>
    <cacheField name="PotentiallyToxicBioVolume" numFmtId="0">
      <sharedItems containsSemiMixedTypes="0" containsString="0" containsNumber="1" minValue="1.58202E-4" maxValue="9.1688233728000004"/>
    </cacheField>
    <cacheField name="ToxinCluster" numFmtId="0">
      <sharedItems count="2">
        <s v="Microcystis spp._x000a_"/>
        <s v="Microcystis spp._x000d__x000a_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nna Raeburn" refreshedDate="45743.655804513888" refreshedVersion="8" recordCount="98" xr:uid="{00000000-000A-0000-FFFF-FFFF00000000}">
  <cacheSource type="worksheet">
    <worksheetSource ref="A1:P99" sheet="Lakes Data"/>
  </cacheSource>
  <cacheFields count="16">
    <cacheField name="SampleId" numFmtId="0">
      <sharedItems/>
    </cacheField>
    <cacheField name="Location" numFmtId="0">
      <sharedItems count="5">
        <s v="Kaituna"/>
        <s v="Rotoehu"/>
        <s v="Rotoiti"/>
        <s v="Rotorua"/>
        <s v="Lake Okaro"/>
      </sharedItems>
    </cacheField>
    <cacheField name="Site" numFmtId="0">
      <sharedItems count="13">
        <s v="Trout Pool"/>
        <s v="Kennedy Bay"/>
        <s v="Otautu"/>
        <s v="Hinehopu"/>
        <s v="Okawa Bay"/>
        <s v="Okere Arm"/>
        <s v="Otaramarae"/>
        <s v="Te Weta"/>
        <s v="Hamurana"/>
        <s v="Holdens Bay"/>
        <s v="Ngongotaha"/>
        <s v="Ohau Channel"/>
        <s v="Boat ramp"/>
      </sharedItems>
    </cacheField>
    <cacheField name="SampleDate" numFmtId="0">
      <sharedItems count="1">
        <s v="24/03/2025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minValue="4" maxValue="171"/>
    </cacheField>
    <cacheField name="NumberOfColonies" numFmtId="0">
      <sharedItems containsString="0" containsBlank="1" containsNumber="1" containsInteger="1" minValue="8" maxValue="503"/>
    </cacheField>
    <cacheField name="CellsPerMl" numFmtId="0">
      <sharedItems containsSemiMixedTypes="0" containsString="0" containsNumber="1" minValue="0.4" maxValue="105388.77439999999"/>
    </cacheField>
    <cacheField name="TotalBioVolume" numFmtId="0">
      <sharedItems containsSemiMixedTypes="0" containsString="0" containsNumber="1" minValue="0" maxValue="9.1688233728000004"/>
    </cacheField>
    <cacheField name="PotentiallyToxicCellMl" numFmtId="0">
      <sharedItems containsSemiMixedTypes="0" containsString="0" containsNumber="1" minValue="0" maxValue="105388.77439999999"/>
    </cacheField>
    <cacheField name="PotentiallyToxicBioVolume" numFmtId="0">
      <sharedItems containsSemiMixedTypes="0" containsString="0" containsNumber="1" minValue="0" maxValue="9.1688233728000004"/>
    </cacheField>
    <cacheField name="ToxinClust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s v="5539.1"/>
    <x v="0"/>
    <x v="0"/>
    <x v="0"/>
    <s v="20A"/>
    <s v="Whole Plate"/>
    <s v="Microcystis wesenbergii"/>
    <b v="1"/>
    <n v="10"/>
    <n v="45.25"/>
    <m/>
    <n v="36.200000000000003"/>
    <n v="6.8899460000000001E-3"/>
    <n v="36.200000000000003"/>
    <n v="6.8899460000000001E-3"/>
    <s v="Microcystis spp._x000a_"/>
  </r>
  <r>
    <s v="5539.2"/>
    <x v="0"/>
    <x v="0"/>
    <x v="0"/>
    <s v="20A"/>
    <s v="Whole Plate"/>
    <s v="Dolichospermum circinale"/>
    <b v="1"/>
    <n v="10"/>
    <n v="23.5"/>
    <m/>
    <n v="9.4"/>
    <n v="5.4110160000000003E-3"/>
    <n v="9.4"/>
    <n v="5.4110160000000003E-3"/>
    <m/>
  </r>
  <r>
    <s v="5539.3"/>
    <x v="0"/>
    <x v="0"/>
    <x v="0"/>
    <s v="20A"/>
    <s v="Whole Plate"/>
    <s v="Aphanocapsa holsatica"/>
    <b v="0"/>
    <n v="10"/>
    <n v="41.3"/>
    <n v="14"/>
    <n v="140.41999999999999"/>
    <n v="7.0209999999999994E-5"/>
    <n v="0"/>
    <n v="0"/>
    <m/>
  </r>
  <r>
    <s v="5539.4"/>
    <x v="0"/>
    <x v="0"/>
    <x v="0"/>
    <s v="20A"/>
    <s v="Whole Plate"/>
    <s v="Aphanocapsa delicatissima"/>
    <b v="0"/>
    <n v="10"/>
    <n v="69.3333333333333"/>
    <m/>
    <n v="104"/>
    <n v="1.04E-5"/>
    <n v="0"/>
    <n v="0"/>
    <m/>
  </r>
  <r>
    <s v="5539.5"/>
    <x v="0"/>
    <x v="0"/>
    <x v="0"/>
    <s v="20A"/>
    <s v="Whole Plate"/>
    <s v="Phormidium sp"/>
    <b v="1"/>
    <n v="10"/>
    <n v="19.5"/>
    <m/>
    <n v="7.8"/>
    <n v="7.2805199999999997E-4"/>
    <n v="7.8"/>
    <n v="7.2805199999999997E-4"/>
    <m/>
  </r>
  <r>
    <s v="5539.6"/>
    <x v="0"/>
    <x v="0"/>
    <x v="0"/>
    <s v="20A"/>
    <s v="Whole Plate"/>
    <s v="Dolichospermum planctonicum "/>
    <b v="1"/>
    <n v="10"/>
    <n v="20.714285714285701"/>
    <m/>
    <n v="14.5"/>
    <n v="5.365E-3"/>
    <n v="14.5"/>
    <n v="5.365E-3"/>
    <m/>
  </r>
  <r>
    <s v="5539.7"/>
    <x v="0"/>
    <x v="0"/>
    <x v="0"/>
    <s v="20A"/>
    <s v="Whole Plate"/>
    <s v="Microcystis sp. (large)"/>
    <b v="1"/>
    <n v="10"/>
    <n v="38.3333333333333"/>
    <m/>
    <n v="34.5"/>
    <n v="3.2105699999999998E-3"/>
    <n v="34.5"/>
    <n v="3.2105699999999998E-3"/>
    <s v="Microcystis spp._x000a_"/>
  </r>
  <r>
    <s v="5539.8"/>
    <x v="0"/>
    <x v="0"/>
    <x v="0"/>
    <s v="20A"/>
    <s v="Whole Plate"/>
    <s v="Dolichospermum lemmermannii"/>
    <b v="1"/>
    <n v="10"/>
    <n v="25"/>
    <m/>
    <n v="2.5"/>
    <n v="2.7500000000000002E-4"/>
    <n v="2.5"/>
    <n v="2.7500000000000002E-4"/>
    <m/>
  </r>
  <r>
    <s v="5539.9"/>
    <x v="0"/>
    <x v="0"/>
    <x v="0"/>
    <s v="20A"/>
    <s v="Whole Plate"/>
    <s v="Pseudanabaena mucicola (rod)"/>
    <b v="0"/>
    <n v="10"/>
    <n v="11.5"/>
    <m/>
    <n v="2.2999999999999998"/>
    <n v="1.058E-4"/>
    <n v="0"/>
    <n v="0"/>
    <m/>
  </r>
  <r>
    <s v="5540.1"/>
    <x v="1"/>
    <x v="1"/>
    <x v="0"/>
    <s v="20A"/>
    <s v="160"/>
    <s v="Microcystis aeruginosa"/>
    <b v="1"/>
    <n v="10"/>
    <n v="12.15"/>
    <n v="19"/>
    <n v="1488.64584375"/>
    <n v="0.12951218840625001"/>
    <n v="1488.64584375"/>
    <n v="0.12951218840625001"/>
    <s v="Microcystis spp._x000a_"/>
  </r>
  <r>
    <s v="5540.2"/>
    <x v="1"/>
    <x v="1"/>
    <x v="0"/>
    <s v="20A"/>
    <s v="160"/>
    <s v="Aphanocapsa delicatissima"/>
    <b v="0"/>
    <n v="10"/>
    <n v="86.5"/>
    <m/>
    <n v="2173.9852777777801"/>
    <n v="2.1739852777777799E-4"/>
    <n v="0"/>
    <n v="0"/>
    <m/>
  </r>
  <r>
    <s v="5540.3"/>
    <x v="1"/>
    <x v="1"/>
    <x v="0"/>
    <s v="20A"/>
    <s v="160"/>
    <s v="Dolichospermum planctonicum "/>
    <b v="1"/>
    <n v="10"/>
    <n v="21.5"/>
    <m/>
    <n v="135.08868055555601"/>
    <n v="4.9982811805555701E-2"/>
    <n v="135.08868055555601"/>
    <n v="4.9982811805555701E-2"/>
    <m/>
  </r>
  <r>
    <s v="5540.4"/>
    <x v="1"/>
    <x v="1"/>
    <x v="0"/>
    <s v="20A"/>
    <s v="160"/>
    <s v="Pseudanabaena limnetica (cylinder)"/>
    <b v="1"/>
    <n v="10"/>
    <n v="8"/>
    <m/>
    <n v="25.1327777777778"/>
    <n v="1.98548944444445E-3"/>
    <n v="25.1327777777778"/>
    <n v="1.98548944444445E-3"/>
    <m/>
  </r>
  <r>
    <s v="5540.5"/>
    <x v="1"/>
    <x v="1"/>
    <x v="0"/>
    <s v="20A"/>
    <s v="160"/>
    <s v="Oscillatoria sp"/>
    <b v="1"/>
    <n v="10"/>
    <n v="13"/>
    <m/>
    <n v="40.840763888888901"/>
    <n v="0.1104538459375"/>
    <n v="40.840763888888901"/>
    <n v="0.1104538459375"/>
    <m/>
  </r>
  <r>
    <s v="5541.1"/>
    <x v="1"/>
    <x v="2"/>
    <x v="0"/>
    <s v="20A"/>
    <s v="50"/>
    <s v="Microcystis aeruginosa"/>
    <b v="1"/>
    <n v="10"/>
    <n v="28.8"/>
    <n v="344"/>
    <n v="105388.77439999999"/>
    <n v="9.1688233728000004"/>
    <n v="105388.77439999999"/>
    <n v="9.1688233728000004"/>
    <s v="Microcystis spp._x000a_"/>
  </r>
  <r>
    <s v="5541.2"/>
    <x v="1"/>
    <x v="2"/>
    <x v="0"/>
    <s v="20A"/>
    <s v="50"/>
    <s v="Phormidium sp"/>
    <b v="1"/>
    <n v="10"/>
    <n v="25.1"/>
    <m/>
    <n v="2523.3308888888901"/>
    <n v="0.23552770516888899"/>
    <n v="2523.3308888888901"/>
    <n v="0.23552770516888899"/>
    <m/>
  </r>
  <r>
    <s v="5541.3"/>
    <x v="1"/>
    <x v="2"/>
    <x v="0"/>
    <s v="20A"/>
    <s v="50"/>
    <s v="Coelosphaerium kuetzingianum"/>
    <b v="0"/>
    <n v="10"/>
    <n v="36"/>
    <m/>
    <n v="361.91199999999998"/>
    <n v="3.2173976800000002E-3"/>
    <n v="0"/>
    <n v="0"/>
    <m/>
  </r>
  <r>
    <s v="5541.4"/>
    <x v="1"/>
    <x v="2"/>
    <x v="0"/>
    <s v="20A"/>
    <s v="50"/>
    <s v="Dolichospermum sp"/>
    <b v="1"/>
    <n v="10"/>
    <n v="17.2"/>
    <m/>
    <n v="864.56755555555503"/>
    <n v="0.16426783555555599"/>
    <n v="864.56755555555605"/>
    <n v="0.16426783555555599"/>
    <m/>
  </r>
  <r>
    <s v="5541.5"/>
    <x v="1"/>
    <x v="2"/>
    <x v="0"/>
    <s v="20A"/>
    <s v="50"/>
    <s v="Dolichospermum planctonicum "/>
    <b v="1"/>
    <n v="10"/>
    <n v="14.5"/>
    <m/>
    <n v="291.54022222222198"/>
    <n v="0.107869882222222"/>
    <n v="291.54022222222198"/>
    <n v="0.107869882222222"/>
    <m/>
  </r>
  <r>
    <s v="5536.1"/>
    <x v="2"/>
    <x v="3"/>
    <x v="0"/>
    <s v="20A"/>
    <s v="Whole Plate"/>
    <s v="Aphanocapsa holsatica"/>
    <b v="0"/>
    <n v="10"/>
    <n v="26.7"/>
    <n v="503"/>
    <n v="1396.41"/>
    <n v="6.9820500000000003E-4"/>
    <n v="0"/>
    <n v="0"/>
    <m/>
  </r>
  <r>
    <s v="5536.2"/>
    <x v="2"/>
    <x v="3"/>
    <x v="0"/>
    <s v="20A"/>
    <s v="Whole Plate"/>
    <s v="Dolichospermum circinale"/>
    <b v="1"/>
    <n v="10"/>
    <n v="23.6666666666667"/>
    <m/>
    <n v="7.1"/>
    <n v="4.0870439999999997E-3"/>
    <n v="7.1"/>
    <n v="4.0870439999999997E-3"/>
    <m/>
  </r>
  <r>
    <s v="5536.3"/>
    <x v="2"/>
    <x v="3"/>
    <x v="0"/>
    <s v="20A"/>
    <s v="Whole Plate"/>
    <s v="Aphanocapsa delicatissima"/>
    <b v="0"/>
    <n v="10"/>
    <n v="68.650000000000006"/>
    <n v="209"/>
    <n v="1572.085"/>
    <n v="1.572085E-4"/>
    <n v="0"/>
    <n v="0"/>
    <m/>
  </r>
  <r>
    <s v="5536.4"/>
    <x v="2"/>
    <x v="3"/>
    <x v="0"/>
    <s v="20A"/>
    <s v="Whole Plate"/>
    <s v="Dolichospermum planctonicum "/>
    <b v="1"/>
    <n v="10"/>
    <n v="29"/>
    <m/>
    <n v="2.9"/>
    <n v="1.073E-3"/>
    <n v="2.9"/>
    <n v="1.073E-3"/>
    <m/>
  </r>
  <r>
    <s v="5536.5"/>
    <x v="2"/>
    <x v="3"/>
    <x v="0"/>
    <s v="20A"/>
    <s v="Whole Plate"/>
    <s v="Pseudanabaena limnetica (cylinder)"/>
    <b v="1"/>
    <n v="10"/>
    <n v="9.3333333333333304"/>
    <m/>
    <n v="2.8"/>
    <n v="2.2120000000000001E-4"/>
    <n v="2.8"/>
    <n v="2.2120000000000001E-4"/>
    <m/>
  </r>
  <r>
    <s v="5536.6"/>
    <x v="2"/>
    <x v="3"/>
    <x v="0"/>
    <s v="20A"/>
    <s v="Whole Plate"/>
    <s v="Dolichospermum lemmermannii"/>
    <b v="1"/>
    <n v="10"/>
    <n v="23.75"/>
    <m/>
    <n v="9.5"/>
    <n v="1.0449999999999999E-3"/>
    <n v="9.5"/>
    <n v="1.0449999999999999E-3"/>
    <m/>
  </r>
  <r>
    <s v="5536.7"/>
    <x v="2"/>
    <x v="3"/>
    <x v="0"/>
    <s v="20A"/>
    <s v="Whole Plate"/>
    <s v="Dolichospermum sp"/>
    <b v="1"/>
    <n v="10"/>
    <n v="20"/>
    <m/>
    <n v="2"/>
    <n v="3.8000000000000002E-4"/>
    <n v="2"/>
    <n v="3.8000000000000002E-4"/>
    <m/>
  </r>
  <r>
    <s v="5536.8"/>
    <x v="2"/>
    <x v="3"/>
    <x v="0"/>
    <s v="20A"/>
    <s v="Whole Plate"/>
    <s v="Microcystis wesenbergii"/>
    <b v="1"/>
    <n v="10"/>
    <n v="27"/>
    <m/>
    <n v="8.1"/>
    <n v="1.5416729999999999E-3"/>
    <n v="8.1"/>
    <n v="1.5416729999999999E-3"/>
    <s v="Microcystis spp._x000a_"/>
  </r>
  <r>
    <s v="5536.9"/>
    <x v="2"/>
    <x v="3"/>
    <x v="0"/>
    <s v="20A"/>
    <s v="Whole Plate"/>
    <s v="Phormidium sp"/>
    <b v="1"/>
    <n v="10"/>
    <n v="48"/>
    <m/>
    <n v="4.8"/>
    <n v="4.4803200000000001E-4"/>
    <n v="4.8"/>
    <n v="4.4803200000000001E-4"/>
    <m/>
  </r>
  <r>
    <s v="5536.10"/>
    <x v="2"/>
    <x v="3"/>
    <x v="0"/>
    <s v="20A"/>
    <s v="Whole Plate"/>
    <s v="Pseudanabaena mucicola (rod)"/>
    <b v="0"/>
    <n v="10"/>
    <n v="11"/>
    <m/>
    <n v="2.2000000000000002"/>
    <n v="1.0119999999999999E-4"/>
    <n v="0"/>
    <n v="0"/>
    <m/>
  </r>
  <r>
    <s v="5543.1"/>
    <x v="2"/>
    <x v="4"/>
    <x v="0"/>
    <s v="20A"/>
    <s v="160"/>
    <s v="Microcystis sp. (large)"/>
    <b v="1"/>
    <n v="10"/>
    <n v="24.5"/>
    <m/>
    <n v="307.87652777777799"/>
    <n v="2.8650989674999999E-2"/>
    <n v="307.87652777777799"/>
    <n v="2.8650989674999999E-2"/>
    <s v="Microcystis spp._x000a_"/>
  </r>
  <r>
    <s v="5543.2"/>
    <x v="2"/>
    <x v="4"/>
    <x v="0"/>
    <s v="20A"/>
    <s v="160"/>
    <s v="Aphanocapsa holsatica"/>
    <b v="0"/>
    <n v="10"/>
    <n v="5.3333333333333304"/>
    <m/>
    <n v="50.265555555555601"/>
    <n v="2.51327777777778E-5"/>
    <n v="0"/>
    <n v="0"/>
    <m/>
  </r>
  <r>
    <s v="5543.3"/>
    <x v="2"/>
    <x v="4"/>
    <x v="0"/>
    <s v="20A"/>
    <s v="160"/>
    <s v="Dolichospermum lemmermannii"/>
    <b v="1"/>
    <n v="10"/>
    <n v="18.1428571428571"/>
    <m/>
    <n v="398.98284722222201"/>
    <n v="4.3888113194444398E-2"/>
    <n v="398.98284722222201"/>
    <n v="4.3888113194444398E-2"/>
    <m/>
  </r>
  <r>
    <s v="5543.4"/>
    <x v="2"/>
    <x v="4"/>
    <x v="0"/>
    <s v="20A"/>
    <s v="160"/>
    <s v="Aphanocapsa delicatissima"/>
    <b v="0"/>
    <n v="10"/>
    <n v="74.5"/>
    <m/>
    <n v="936.19597222222205"/>
    <n v="9.3619597222222196E-5"/>
    <n v="0"/>
    <n v="0"/>
    <m/>
  </r>
  <r>
    <s v="5543.5"/>
    <x v="2"/>
    <x v="4"/>
    <x v="0"/>
    <s v="20A"/>
    <s v="160"/>
    <s v="Pseudanabaena mucicola (rod)"/>
    <b v="0"/>
    <n v="10"/>
    <n v="7"/>
    <m/>
    <n v="43.982361111111103"/>
    <n v="2.02318861111111E-3"/>
    <n v="0"/>
    <n v="0"/>
    <m/>
  </r>
  <r>
    <s v="5543.6"/>
    <x v="2"/>
    <x v="4"/>
    <x v="0"/>
    <s v="20A"/>
    <s v="160"/>
    <s v="Microcystis wesenbergii"/>
    <b v="1"/>
    <n v="10"/>
    <n v="36"/>
    <m/>
    <n v="113.0975"/>
    <n v="2.1525847175000001E-2"/>
    <n v="113.0975"/>
    <n v="2.1525847175000001E-2"/>
    <s v="Microcystis spp._x000a_"/>
  </r>
  <r>
    <s v="5544.1"/>
    <x v="2"/>
    <x v="5"/>
    <x v="0"/>
    <s v="20A"/>
    <s v="Whole Plate"/>
    <s v="Dolichospermum circinale"/>
    <b v="1"/>
    <n v="10"/>
    <n v="71.6666666666667"/>
    <m/>
    <n v="21.5"/>
    <n v="1.237626E-2"/>
    <n v="21.5"/>
    <n v="1.237626E-2"/>
    <m/>
  </r>
  <r>
    <s v="5544.2"/>
    <x v="2"/>
    <x v="5"/>
    <x v="0"/>
    <s v="20A"/>
    <s v="Whole Plate"/>
    <s v="Dolichospermum planctonicum "/>
    <b v="1"/>
    <n v="10"/>
    <n v="30.1666666666667"/>
    <m/>
    <n v="54.3"/>
    <n v="2.0091000000000001E-2"/>
    <n v="54.3"/>
    <n v="2.0091000000000001E-2"/>
    <m/>
  </r>
  <r>
    <s v="5544.3"/>
    <x v="2"/>
    <x v="5"/>
    <x v="0"/>
    <s v="20A"/>
    <s v="Whole Plate"/>
    <s v="Phormidium sp"/>
    <b v="1"/>
    <n v="10"/>
    <n v="38.125"/>
    <m/>
    <n v="30.5"/>
    <n v="2.84687E-3"/>
    <n v="30.5"/>
    <n v="2.84687E-3"/>
    <m/>
  </r>
  <r>
    <s v="5544.4"/>
    <x v="2"/>
    <x v="5"/>
    <x v="0"/>
    <s v="20A"/>
    <s v="Whole Plate"/>
    <s v="Aphanocapsa delicatissima"/>
    <b v="0"/>
    <n v="10"/>
    <n v="116.583333333333"/>
    <m/>
    <n v="139.9"/>
    <n v="1.399E-5"/>
    <n v="0"/>
    <n v="0"/>
    <m/>
  </r>
  <r>
    <s v="5544.5"/>
    <x v="2"/>
    <x v="5"/>
    <x v="0"/>
    <s v="20A"/>
    <s v="Whole Plate"/>
    <s v="Aphanocapsa holsatica"/>
    <b v="0"/>
    <n v="10"/>
    <n v="29.7"/>
    <n v="8"/>
    <n v="83.16"/>
    <n v="4.1579999999999998E-5"/>
    <n v="0"/>
    <n v="0"/>
    <m/>
  </r>
  <r>
    <s v="5544.6"/>
    <x v="2"/>
    <x v="5"/>
    <x v="0"/>
    <s v="20A"/>
    <s v="Whole Plate"/>
    <s v="Microcystis wesenbergii"/>
    <b v="1"/>
    <n v="10"/>
    <n v="55.75"/>
    <m/>
    <n v="89.2"/>
    <n v="1.6977435999999999E-2"/>
    <n v="89.2"/>
    <n v="1.6977435999999999E-2"/>
    <s v="Microcystis spp._x000a_"/>
  </r>
  <r>
    <s v="5544.7"/>
    <x v="2"/>
    <x v="5"/>
    <x v="0"/>
    <s v="20A"/>
    <s v="Whole Plate"/>
    <s v="Pseudanabaena galeata (cylinder)"/>
    <b v="1"/>
    <n v="10"/>
    <n v="8"/>
    <m/>
    <n v="0.8"/>
    <n v="4.8000000000000001E-5"/>
    <n v="0.8"/>
    <n v="4.8000000000000001E-5"/>
    <m/>
  </r>
  <r>
    <s v="5544.8"/>
    <x v="2"/>
    <x v="5"/>
    <x v="0"/>
    <s v="20A"/>
    <s v="Whole Plate"/>
    <s v="Microcystis aeruginosa"/>
    <b v="1"/>
    <n v="10"/>
    <n v="57.6"/>
    <m/>
    <n v="28.8"/>
    <n v="2.5056000000000002E-3"/>
    <n v="28.8"/>
    <n v="2.5056000000000002E-3"/>
    <s v="Microcystis spp._x000a_"/>
  </r>
  <r>
    <s v="5544.9"/>
    <x v="2"/>
    <x v="5"/>
    <x v="0"/>
    <s v="20A"/>
    <s v="Whole Plate"/>
    <s v="Pseudanabaena mucicola (rod)"/>
    <b v="0"/>
    <n v="10"/>
    <n v="11.25"/>
    <m/>
    <n v="4.5"/>
    <n v="2.0699999999999999E-4"/>
    <n v="0"/>
    <n v="0"/>
    <m/>
  </r>
  <r>
    <s v="5544.10"/>
    <x v="2"/>
    <x v="5"/>
    <x v="0"/>
    <s v="20A"/>
    <s v="Whole Plate"/>
    <s v="Dolichospermum lemmermannii"/>
    <b v="1"/>
    <n v="10"/>
    <n v="6"/>
    <m/>
    <n v="0.6"/>
    <n v="6.6000000000000005E-5"/>
    <n v="0.6"/>
    <n v="6.6000000000000005E-5"/>
    <m/>
  </r>
  <r>
    <s v="5544.11"/>
    <x v="2"/>
    <x v="5"/>
    <x v="0"/>
    <s v="20A"/>
    <s v="Whole Plate"/>
    <s v="Pseudanabaena limnetica (cylinder)"/>
    <b v="1"/>
    <n v="10"/>
    <n v="13"/>
    <m/>
    <n v="1.3"/>
    <n v="1.027E-4"/>
    <n v="1.3"/>
    <n v="1.027E-4"/>
    <m/>
  </r>
  <r>
    <s v="5544.12"/>
    <x v="2"/>
    <x v="5"/>
    <x v="0"/>
    <s v="20A"/>
    <s v="Whole Plate"/>
    <s v="Woronichinia naegeliana"/>
    <b v="1"/>
    <n v="10"/>
    <n v="68"/>
    <m/>
    <n v="6.8"/>
    <n v="0"/>
    <n v="6.8"/>
    <n v="0"/>
    <m/>
  </r>
  <r>
    <s v="5538.1"/>
    <x v="2"/>
    <x v="6"/>
    <x v="0"/>
    <s v="20A"/>
    <s v="Whole Plate"/>
    <s v="Microcystis wesenbergii"/>
    <b v="1"/>
    <n v="10"/>
    <n v="68.692307692307693"/>
    <m/>
    <n v="89.3"/>
    <n v="1.6996469E-2"/>
    <n v="89.3"/>
    <n v="1.6996469E-2"/>
    <s v="Microcystis spp._x000a_"/>
  </r>
  <r>
    <s v="5538.2"/>
    <x v="2"/>
    <x v="6"/>
    <x v="0"/>
    <s v="20A"/>
    <s v="Whole Plate"/>
    <s v="Aphanocapsa holsatica"/>
    <b v="0"/>
    <n v="10"/>
    <n v="35.299999999999997"/>
    <n v="85"/>
    <n v="370.65"/>
    <n v="1.8532499999999999E-4"/>
    <n v="0"/>
    <n v="0"/>
    <m/>
  </r>
  <r>
    <s v="5538.3"/>
    <x v="2"/>
    <x v="6"/>
    <x v="0"/>
    <s v="20A"/>
    <s v="Whole Plate"/>
    <s v="Pseudanabaena mucicola (rod)"/>
    <b v="0"/>
    <n v="10"/>
    <n v="20.1428571428571"/>
    <m/>
    <n v="14.1"/>
    <n v="6.4860000000000004E-4"/>
    <n v="0"/>
    <n v="0"/>
    <m/>
  </r>
  <r>
    <s v="5538.4"/>
    <x v="2"/>
    <x v="6"/>
    <x v="0"/>
    <s v="20A"/>
    <s v="Whole Plate"/>
    <s v="Aphanocapsa delicatissima"/>
    <b v="0"/>
    <n v="10"/>
    <n v="87.15"/>
    <n v="27"/>
    <n v="409.60500000000002"/>
    <n v="4.0960500000000002E-5"/>
    <n v="0"/>
    <n v="0"/>
    <m/>
  </r>
  <r>
    <s v="5538.5"/>
    <x v="2"/>
    <x v="6"/>
    <x v="0"/>
    <s v="20A"/>
    <s v="Whole Plate"/>
    <s v="Dolichospermum planctonicum "/>
    <b v="1"/>
    <n v="10"/>
    <n v="8"/>
    <m/>
    <n v="0.8"/>
    <n v="2.9599999999999998E-4"/>
    <n v="0.8"/>
    <n v="2.9599999999999998E-4"/>
    <m/>
  </r>
  <r>
    <s v="5538.6"/>
    <x v="2"/>
    <x v="6"/>
    <x v="0"/>
    <s v="20A"/>
    <s v="Whole Plate"/>
    <s v="Oscillatoria sp"/>
    <b v="1"/>
    <n v="10"/>
    <n v="43.5"/>
    <m/>
    <n v="8.6999999999999993"/>
    <n v="2.3529149999999999E-2"/>
    <n v="8.6999999999999993"/>
    <n v="2.3529149999999999E-2"/>
    <m/>
  </r>
  <r>
    <s v="5538.7"/>
    <x v="2"/>
    <x v="6"/>
    <x v="0"/>
    <s v="20A"/>
    <s v="Whole Plate"/>
    <s v="Dolichospermum lemmermannii"/>
    <b v="1"/>
    <n v="10"/>
    <n v="26"/>
    <m/>
    <n v="5.2"/>
    <n v="5.7200000000000003E-4"/>
    <n v="5.2"/>
    <n v="5.7200000000000003E-4"/>
    <m/>
  </r>
  <r>
    <s v="5538.8"/>
    <x v="2"/>
    <x v="6"/>
    <x v="0"/>
    <s v="20A"/>
    <s v="Whole Plate"/>
    <s v="Dolichospermum circinale"/>
    <b v="1"/>
    <n v="10"/>
    <n v="63"/>
    <m/>
    <n v="12.6"/>
    <n v="7.253064E-3"/>
    <n v="12.6"/>
    <n v="7.253064E-3"/>
    <m/>
  </r>
  <r>
    <s v="5546.1"/>
    <x v="2"/>
    <x v="7"/>
    <x v="0"/>
    <s v="20A"/>
    <s v="Whole Plate"/>
    <s v="Aphanocapsa holsatica"/>
    <b v="0"/>
    <n v="10"/>
    <n v="29.6666666666667"/>
    <m/>
    <n v="53.4"/>
    <n v="2.6699999999999998E-5"/>
    <n v="0"/>
    <n v="0"/>
    <m/>
  </r>
  <r>
    <s v="5546.2"/>
    <x v="2"/>
    <x v="7"/>
    <x v="0"/>
    <s v="20A"/>
    <s v="Whole Plate"/>
    <s v="Dolichospermum circinale"/>
    <b v="1"/>
    <n v="10"/>
    <n v="25"/>
    <m/>
    <n v="2.5"/>
    <n v="1.4391E-3"/>
    <n v="2.5"/>
    <n v="1.4391E-3"/>
    <m/>
  </r>
  <r>
    <s v="5546.3"/>
    <x v="2"/>
    <x v="7"/>
    <x v="0"/>
    <s v="20A"/>
    <s v="Whole Plate"/>
    <s v="Dolichospermum planctonicum "/>
    <b v="1"/>
    <n v="10"/>
    <n v="31.1666666666667"/>
    <m/>
    <n v="18.7"/>
    <n v="6.9189999999999998E-3"/>
    <n v="18.7"/>
    <n v="6.9189999999999998E-3"/>
    <m/>
  </r>
  <r>
    <s v="5546.4"/>
    <x v="2"/>
    <x v="7"/>
    <x v="0"/>
    <s v="20A"/>
    <s v="Whole Plate"/>
    <s v="Microcystis wesenbergii"/>
    <b v="1"/>
    <n v="10"/>
    <n v="62.5"/>
    <m/>
    <n v="37.5"/>
    <n v="7.1373749999999996E-3"/>
    <n v="37.5"/>
    <n v="7.1373749999999996E-3"/>
    <s v="Microcystis spp._x000a_"/>
  </r>
  <r>
    <s v="5546.5"/>
    <x v="2"/>
    <x v="7"/>
    <x v="0"/>
    <s v="20A"/>
    <s v="Whole Plate"/>
    <s v="Aphanocapsa delicatissima"/>
    <b v="0"/>
    <n v="10"/>
    <n v="171"/>
    <m/>
    <n v="342"/>
    <n v="3.4199999999999998E-5"/>
    <n v="0"/>
    <n v="0"/>
    <m/>
  </r>
  <r>
    <s v="5546.6"/>
    <x v="2"/>
    <x v="7"/>
    <x v="0"/>
    <s v="20A"/>
    <s v="Whole Plate"/>
    <s v="Microcystis sp. (large)"/>
    <b v="1"/>
    <n v="10"/>
    <n v="51.857142857142897"/>
    <m/>
    <n v="36.299999999999997"/>
    <n v="3.3780780000000001E-3"/>
    <n v="36.299999999999997"/>
    <n v="3.3780780000000001E-3"/>
    <s v="Microcystis spp._x000a_"/>
  </r>
  <r>
    <s v="5546.7"/>
    <x v="2"/>
    <x v="7"/>
    <x v="0"/>
    <s v="20A"/>
    <s v="Whole Plate"/>
    <s v="Pseudanabaena mucicola (rod)"/>
    <b v="0"/>
    <n v="10"/>
    <n v="17.399999999999999"/>
    <m/>
    <n v="8.6999999999999993"/>
    <n v="4.0020000000000002E-4"/>
    <n v="0"/>
    <n v="0"/>
    <m/>
  </r>
  <r>
    <s v="5546.8"/>
    <x v="2"/>
    <x v="7"/>
    <x v="0"/>
    <s v="20A"/>
    <s v="Whole Plate"/>
    <s v="Phormidium sp"/>
    <b v="1"/>
    <n v="10"/>
    <n v="61"/>
    <m/>
    <n v="6.1"/>
    <n v="5.6937399999999999E-4"/>
    <n v="6.1"/>
    <n v="5.6937399999999999E-4"/>
    <m/>
  </r>
  <r>
    <s v="5546.9"/>
    <x v="2"/>
    <x v="7"/>
    <x v="0"/>
    <s v="20A"/>
    <s v="Whole Plate"/>
    <s v="Dolichospermum sp"/>
    <b v="1"/>
    <n v="10"/>
    <n v="11.6666666666667"/>
    <m/>
    <n v="3.5"/>
    <n v="6.6500000000000001E-4"/>
    <n v="3.5"/>
    <n v="6.6500000000000001E-4"/>
    <m/>
  </r>
  <r>
    <s v="5546.10"/>
    <x v="2"/>
    <x v="7"/>
    <x v="0"/>
    <s v="20A"/>
    <s v="Whole Plate"/>
    <s v="Dolichospermum lemmermannii"/>
    <b v="1"/>
    <n v="10"/>
    <n v="38"/>
    <m/>
    <n v="3.8"/>
    <n v="4.1800000000000002E-4"/>
    <n v="3.8"/>
    <n v="4.1800000000000002E-4"/>
    <m/>
  </r>
  <r>
    <s v="5547.1"/>
    <x v="3"/>
    <x v="8"/>
    <x v="0"/>
    <s v="20A"/>
    <s v="Whole Plate"/>
    <s v="Microcystis sp. (large)"/>
    <b v="1"/>
    <n v="10"/>
    <n v="23"/>
    <m/>
    <n v="2.2999999999999998"/>
    <n v="2.14038E-4"/>
    <n v="2.2999999999999998"/>
    <n v="2.14038E-4"/>
    <s v="Microcystis spp._x000a_"/>
  </r>
  <r>
    <s v="5547.2"/>
    <x v="3"/>
    <x v="8"/>
    <x v="0"/>
    <s v="20A"/>
    <s v="Whole Plate"/>
    <s v="Microcystis wesenbergii"/>
    <b v="1"/>
    <n v="10"/>
    <n v="31"/>
    <m/>
    <n v="9.3000000000000007"/>
    <n v="1.770069E-3"/>
    <n v="9.3000000000000007"/>
    <n v="1.770069E-3"/>
    <s v="Microcystis spp._x000a_"/>
  </r>
  <r>
    <s v="5547.3"/>
    <x v="3"/>
    <x v="8"/>
    <x v="0"/>
    <s v="20A"/>
    <s v="Whole Plate"/>
    <s v="Dolichospermum planctonicum "/>
    <b v="1"/>
    <n v="10"/>
    <n v="34.6666666666667"/>
    <m/>
    <n v="20.8"/>
    <n v="7.6959999999999997E-3"/>
    <n v="20.8"/>
    <n v="7.6959999999999997E-3"/>
    <m/>
  </r>
  <r>
    <s v="5547.4"/>
    <x v="3"/>
    <x v="8"/>
    <x v="0"/>
    <s v="20A"/>
    <s v="Whole Plate"/>
    <s v="Pseudanabaena mucicola (rod)"/>
    <b v="0"/>
    <n v="10"/>
    <n v="4"/>
    <m/>
    <n v="0.4"/>
    <n v="1.84E-5"/>
    <n v="0"/>
    <n v="0"/>
    <m/>
  </r>
  <r>
    <s v="5547.5"/>
    <x v="3"/>
    <x v="8"/>
    <x v="0"/>
    <s v="20A"/>
    <s v="Whole Plate"/>
    <s v="Dolichospermum circinale"/>
    <b v="1"/>
    <n v="10"/>
    <n v="42"/>
    <m/>
    <n v="4.2"/>
    <n v="2.4176879999999999E-3"/>
    <n v="4.2"/>
    <n v="2.4176879999999999E-3"/>
    <m/>
  </r>
  <r>
    <s v="5542.1"/>
    <x v="3"/>
    <x v="9"/>
    <x v="0"/>
    <s v="20A"/>
    <s v="Whole Plate"/>
    <s v="Dolichospermum sp"/>
    <b v="1"/>
    <n v="10"/>
    <n v="27"/>
    <m/>
    <n v="5.4"/>
    <n v="1.026E-3"/>
    <n v="5.4"/>
    <n v="1.026E-3"/>
    <m/>
  </r>
  <r>
    <s v="5542.2"/>
    <x v="3"/>
    <x v="9"/>
    <x v="0"/>
    <s v="20A"/>
    <s v="Whole Plate"/>
    <s v="Pseudanabaena limnetica (cylinder)"/>
    <b v="1"/>
    <n v="10"/>
    <n v="12.2"/>
    <m/>
    <n v="6.1"/>
    <n v="4.819E-4"/>
    <n v="6.1"/>
    <n v="4.819E-4"/>
    <m/>
  </r>
  <r>
    <s v="5542.3"/>
    <x v="3"/>
    <x v="9"/>
    <x v="0"/>
    <s v="20A"/>
    <s v="Whole Plate"/>
    <s v="Oscillatoria sp"/>
    <b v="1"/>
    <n v="10"/>
    <n v="40"/>
    <m/>
    <n v="4"/>
    <n v="1.0817999999999999E-2"/>
    <n v="4"/>
    <n v="1.0817999999999999E-2"/>
    <m/>
  </r>
  <r>
    <s v="5542.4"/>
    <x v="3"/>
    <x v="9"/>
    <x v="0"/>
    <s v="20A"/>
    <s v="Whole Plate"/>
    <s v="Pseudanabaena mucicola (rod)"/>
    <b v="0"/>
    <n v="10"/>
    <n v="23"/>
    <m/>
    <n v="4.5999999999999996"/>
    <n v="2.1159999999999999E-4"/>
    <n v="0"/>
    <n v="0"/>
    <m/>
  </r>
  <r>
    <s v="5542.5"/>
    <x v="3"/>
    <x v="9"/>
    <x v="0"/>
    <s v="20A"/>
    <s v="Whole Plate"/>
    <s v="Dolichospermum planctonicum "/>
    <b v="1"/>
    <n v="10"/>
    <n v="9.5"/>
    <m/>
    <n v="3.8"/>
    <n v="1.4059999999999999E-3"/>
    <n v="3.8"/>
    <n v="1.4059999999999999E-3"/>
    <m/>
  </r>
  <r>
    <s v="5542.6"/>
    <x v="3"/>
    <x v="9"/>
    <x v="0"/>
    <s v="20A"/>
    <s v="Whole Plate"/>
    <s v="Dolichospermum circinale"/>
    <b v="1"/>
    <n v="10"/>
    <n v="21"/>
    <m/>
    <n v="4.2"/>
    <n v="2.4176879999999999E-3"/>
    <n v="4.2"/>
    <n v="2.4176879999999999E-3"/>
    <m/>
  </r>
  <r>
    <s v="5542.7"/>
    <x v="3"/>
    <x v="9"/>
    <x v="0"/>
    <s v="20A"/>
    <s v="Whole Plate"/>
    <s v="Microcystis wesenbergii"/>
    <b v="1"/>
    <n v="10"/>
    <n v="69"/>
    <m/>
    <n v="27.6"/>
    <n v="5.2531080000000003E-3"/>
    <n v="27.6"/>
    <n v="5.2531080000000003E-3"/>
    <s v="Microcystis spp._x000a_"/>
  </r>
  <r>
    <s v="5542.8"/>
    <x v="3"/>
    <x v="9"/>
    <x v="0"/>
    <s v="20A"/>
    <s v="Whole Plate"/>
    <s v="Microcystis aeruginosa"/>
    <b v="1"/>
    <n v="10"/>
    <n v="38.6666666666667"/>
    <m/>
    <n v="11.6"/>
    <n v="1.0092E-3"/>
    <n v="11.6"/>
    <n v="1.0092E-3"/>
    <s v="Microcystis spp._x000a_"/>
  </r>
  <r>
    <s v="5548.1"/>
    <x v="3"/>
    <x v="10"/>
    <x v="0"/>
    <s v="20A"/>
    <s v="Whole Plate"/>
    <s v="Microcystis wesenbergii"/>
    <b v="1"/>
    <n v="10"/>
    <n v="69"/>
    <m/>
    <n v="48.3"/>
    <n v="9.1929390000000007E-3"/>
    <n v="48.3"/>
    <n v="9.1929390000000007E-3"/>
    <s v="Microcystis spp._x000a_"/>
  </r>
  <r>
    <s v="5548.2"/>
    <x v="3"/>
    <x v="10"/>
    <x v="0"/>
    <s v="20A"/>
    <s v="Whole Plate"/>
    <s v="Pseudanabaena mucicola (rod)"/>
    <b v="0"/>
    <n v="10"/>
    <n v="5"/>
    <m/>
    <n v="1.5"/>
    <n v="6.8999999999999997E-5"/>
    <n v="0"/>
    <n v="0"/>
    <m/>
  </r>
  <r>
    <s v="5548.3"/>
    <x v="3"/>
    <x v="10"/>
    <x v="0"/>
    <s v="20A"/>
    <s v="Whole Plate"/>
    <s v="Dolichospermum planctonicum "/>
    <b v="1"/>
    <n v="10"/>
    <n v="27.071428571428601"/>
    <m/>
    <n v="37.9"/>
    <n v="1.4023000000000001E-2"/>
    <n v="37.9"/>
    <n v="1.4023000000000001E-2"/>
    <m/>
  </r>
  <r>
    <s v="5548.4"/>
    <x v="3"/>
    <x v="10"/>
    <x v="0"/>
    <s v="20A"/>
    <s v="Whole Plate"/>
    <s v="Dolichospermum circinale"/>
    <b v="1"/>
    <n v="10"/>
    <n v="45.4"/>
    <m/>
    <n v="22.7"/>
    <n v="1.3067028E-2"/>
    <n v="22.7"/>
    <n v="1.3067028E-2"/>
    <m/>
  </r>
  <r>
    <s v="5548.5"/>
    <x v="3"/>
    <x v="10"/>
    <x v="0"/>
    <s v="20A"/>
    <s v="Whole Plate"/>
    <s v="Microcystis sp. (large)"/>
    <b v="1"/>
    <n v="10"/>
    <n v="43"/>
    <m/>
    <n v="25.8"/>
    <n v="2.400948E-3"/>
    <n v="25.8"/>
    <n v="2.400948E-3"/>
    <s v="Microcystis spp._x000a_"/>
  </r>
  <r>
    <s v="5545.1"/>
    <x v="3"/>
    <x v="11"/>
    <x v="0"/>
    <s v="20A"/>
    <s v="Whole Plate"/>
    <s v="Geitlerinema sp"/>
    <b v="0"/>
    <n v="10"/>
    <n v="12.3333333333333"/>
    <m/>
    <n v="3.7"/>
    <n v="8.14E-5"/>
    <n v="0"/>
    <n v="0"/>
    <m/>
  </r>
  <r>
    <s v="5545.2"/>
    <x v="3"/>
    <x v="11"/>
    <x v="0"/>
    <s v="20A"/>
    <s v="Whole Plate"/>
    <s v="Dolichospermum sp"/>
    <b v="1"/>
    <n v="10"/>
    <n v="16.125"/>
    <m/>
    <n v="12.9"/>
    <n v="2.4510000000000001E-3"/>
    <n v="12.9"/>
    <n v="2.4510000000000001E-3"/>
    <m/>
  </r>
  <r>
    <s v="5545.3"/>
    <x v="3"/>
    <x v="11"/>
    <x v="0"/>
    <s v="20A"/>
    <s v="Whole Plate"/>
    <s v="Microcystis wesenbergii"/>
    <b v="1"/>
    <n v="10"/>
    <n v="74.3333333333333"/>
    <m/>
    <n v="22.3"/>
    <n v="4.2443589999999996E-3"/>
    <n v="22.3"/>
    <n v="4.2443589999999996E-3"/>
    <s v="Microcystis spp._x000a_"/>
  </r>
  <r>
    <s v="5545.4"/>
    <x v="3"/>
    <x v="11"/>
    <x v="0"/>
    <s v="20A"/>
    <s v="Whole Plate"/>
    <s v="Dolichospermum planctonicum "/>
    <b v="1"/>
    <n v="10"/>
    <n v="14.3333333333333"/>
    <m/>
    <n v="8.6"/>
    <n v="3.1819999999999999E-3"/>
    <n v="8.6"/>
    <n v="3.1819999999999999E-3"/>
    <m/>
  </r>
  <r>
    <s v="5545.5"/>
    <x v="3"/>
    <x v="11"/>
    <x v="0"/>
    <s v="20A"/>
    <s v="Whole Plate"/>
    <s v="Microcystis sp. (large)"/>
    <b v="1"/>
    <n v="10"/>
    <n v="17"/>
    <m/>
    <n v="1.7"/>
    <n v="1.58202E-4"/>
    <n v="1.7"/>
    <n v="1.58202E-4"/>
    <s v="Microcystis spp._x000a_"/>
  </r>
  <r>
    <s v="5545.6"/>
    <x v="3"/>
    <x v="11"/>
    <x v="0"/>
    <s v="20A"/>
    <s v="Whole Plate"/>
    <s v="Pseudanabaena mucicola (rod)"/>
    <b v="0"/>
    <n v="10"/>
    <n v="22"/>
    <m/>
    <n v="4.4000000000000004"/>
    <n v="2.0239999999999999E-4"/>
    <n v="0"/>
    <n v="0"/>
    <m/>
  </r>
  <r>
    <s v="5545.7"/>
    <x v="3"/>
    <x v="11"/>
    <x v="0"/>
    <s v="20A"/>
    <s v="Whole Plate"/>
    <s v="Dolichospermum circinale"/>
    <b v="1"/>
    <n v="10"/>
    <n v="18.25"/>
    <m/>
    <n v="7.3"/>
    <n v="4.2021719999999997E-3"/>
    <n v="7.3"/>
    <n v="4.2021719999999997E-3"/>
    <m/>
  </r>
  <r>
    <s v="5545.8"/>
    <x v="3"/>
    <x v="11"/>
    <x v="0"/>
    <s v="20A"/>
    <s v="Whole Plate"/>
    <s v="Limnothrix cf planktonica"/>
    <b v="0"/>
    <n v="10"/>
    <n v="27"/>
    <m/>
    <n v="8.1"/>
    <n v="1.2717E-3"/>
    <n v="0"/>
    <n v="0"/>
    <m/>
  </r>
  <r>
    <s v="5537.1"/>
    <x v="4"/>
    <x v="12"/>
    <x v="0"/>
    <s v="20A"/>
    <s v="Whole Plate"/>
    <s v="Dolichospermum circinale"/>
    <b v="1"/>
    <n v="10"/>
    <n v="21.65"/>
    <n v="18"/>
    <n v="82.27"/>
    <n v="4.7357902799999997E-2"/>
    <n v="82.27"/>
    <n v="4.7357902799999997E-2"/>
    <m/>
  </r>
  <r>
    <s v="5537.2"/>
    <x v="4"/>
    <x v="12"/>
    <x v="0"/>
    <s v="20A"/>
    <s v="Whole Plate"/>
    <s v="Aphanocapsa delicatissima"/>
    <b v="0"/>
    <n v="10"/>
    <n v="58.1"/>
    <n v="56"/>
    <n v="441.56"/>
    <n v="4.4156000000000002E-5"/>
    <n v="0"/>
    <n v="0"/>
    <m/>
  </r>
  <r>
    <s v="5537.3"/>
    <x v="4"/>
    <x v="12"/>
    <x v="0"/>
    <s v="20A"/>
    <s v="Whole Plate"/>
    <s v="Dolichospermum planctonicum "/>
    <b v="1"/>
    <n v="10"/>
    <n v="36.615384615384599"/>
    <m/>
    <n v="47.6"/>
    <n v="1.7611999999999999E-2"/>
    <n v="47.6"/>
    <n v="1.7611999999999999E-2"/>
    <m/>
  </r>
  <r>
    <s v="5537.4"/>
    <x v="4"/>
    <x v="12"/>
    <x v="0"/>
    <s v="20A"/>
    <s v="Whole Plate"/>
    <s v="Woronichinia naegeliana"/>
    <b v="1"/>
    <n v="10"/>
    <n v="46"/>
    <m/>
    <n v="9.1999999999999993"/>
    <n v="0"/>
    <n v="9.1999999999999993"/>
    <n v="0"/>
    <m/>
  </r>
  <r>
    <s v="5537.5"/>
    <x v="4"/>
    <x v="12"/>
    <x v="0"/>
    <s v="20A"/>
    <s v="Whole Plate"/>
    <s v="Aphanocapsa holsatica"/>
    <b v="0"/>
    <n v="10"/>
    <n v="38"/>
    <m/>
    <n v="3.8"/>
    <n v="1.9E-6"/>
    <n v="0"/>
    <n v="0"/>
    <m/>
  </r>
  <r>
    <s v="5537.6"/>
    <x v="4"/>
    <x v="12"/>
    <x v="0"/>
    <s v="20A"/>
    <s v="Whole Plate"/>
    <s v="Dolichospermum sp"/>
    <b v="1"/>
    <n v="10"/>
    <n v="26.5"/>
    <m/>
    <n v="10.6"/>
    <n v="2.0140000000000002E-3"/>
    <n v="10.6"/>
    <n v="2.0140000000000002E-3"/>
    <m/>
  </r>
  <r>
    <s v="5537.7"/>
    <x v="4"/>
    <x v="12"/>
    <x v="0"/>
    <s v="20A"/>
    <s v="Whole Plate"/>
    <s v="Pseudanabaena limnetica (cylinder)"/>
    <b v="1"/>
    <n v="10"/>
    <n v="13.1666666666667"/>
    <m/>
    <n v="7.9"/>
    <n v="6.2410000000000005E-4"/>
    <n v="7.9"/>
    <n v="6.2410000000000005E-4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5539.1"/>
    <x v="0"/>
    <x v="0"/>
    <x v="0"/>
    <s v="20A"/>
    <s v="Whole Plate"/>
    <s v="Microcystis wesenbergii"/>
    <b v="1"/>
    <n v="10"/>
    <n v="45.25"/>
    <m/>
    <n v="36.200000000000003"/>
    <n v="6.8899460000000001E-3"/>
    <n v="36.200000000000003"/>
    <n v="6.8899460000000001E-3"/>
    <x v="0"/>
  </r>
  <r>
    <s v="5539.7"/>
    <x v="0"/>
    <x v="0"/>
    <x v="0"/>
    <s v="20A"/>
    <s v="Whole Plate"/>
    <s v="Microcystis sp. (large)"/>
    <b v="1"/>
    <n v="10"/>
    <n v="38.3333333333333"/>
    <m/>
    <n v="34.5"/>
    <n v="3.2105699999999998E-3"/>
    <n v="34.5"/>
    <n v="3.2105699999999998E-3"/>
    <x v="0"/>
  </r>
  <r>
    <s v="5540.1"/>
    <x v="1"/>
    <x v="1"/>
    <x v="0"/>
    <s v="20A"/>
    <s v="160"/>
    <s v="Microcystis aeruginosa"/>
    <b v="1"/>
    <n v="10"/>
    <n v="12.15"/>
    <n v="19"/>
    <n v="1488.64584375"/>
    <n v="0.12951218840625001"/>
    <n v="1488.64584375"/>
    <n v="0.12951218840625001"/>
    <x v="0"/>
  </r>
  <r>
    <s v="5541.1"/>
    <x v="1"/>
    <x v="2"/>
    <x v="0"/>
    <s v="20A"/>
    <s v="50"/>
    <s v="Microcystis aeruginosa"/>
    <b v="1"/>
    <n v="10"/>
    <n v="28.8"/>
    <n v="344"/>
    <n v="105388.77439999999"/>
    <n v="9.1688233728000004"/>
    <n v="105388.77439999999"/>
    <n v="9.1688233728000004"/>
    <x v="0"/>
  </r>
  <r>
    <s v="5536.8"/>
    <x v="2"/>
    <x v="3"/>
    <x v="0"/>
    <s v="20A"/>
    <s v="Whole Plate"/>
    <s v="Microcystis wesenbergii"/>
    <b v="1"/>
    <n v="10"/>
    <n v="27"/>
    <m/>
    <n v="8.1"/>
    <n v="1.5416729999999999E-3"/>
    <n v="8.1"/>
    <n v="1.5416729999999999E-3"/>
    <x v="0"/>
  </r>
  <r>
    <s v="5543.1"/>
    <x v="2"/>
    <x v="4"/>
    <x v="0"/>
    <s v="20A"/>
    <s v="160"/>
    <s v="Microcystis sp. (large)"/>
    <b v="1"/>
    <n v="10"/>
    <n v="24.5"/>
    <m/>
    <n v="307.87652777777799"/>
    <n v="2.8650989674999999E-2"/>
    <n v="307.87652777777799"/>
    <n v="2.8650989674999999E-2"/>
    <x v="0"/>
  </r>
  <r>
    <s v="5543.6"/>
    <x v="2"/>
    <x v="4"/>
    <x v="0"/>
    <s v="20A"/>
    <s v="160"/>
    <s v="Microcystis wesenbergii"/>
    <b v="1"/>
    <n v="10"/>
    <n v="36"/>
    <m/>
    <n v="113.0975"/>
    <n v="2.1525847175000001E-2"/>
    <n v="113.0975"/>
    <n v="2.1525847175000001E-2"/>
    <x v="0"/>
  </r>
  <r>
    <s v="5544.6"/>
    <x v="2"/>
    <x v="5"/>
    <x v="0"/>
    <s v="20A"/>
    <s v="Whole Plate"/>
    <s v="Microcystis wesenbergii"/>
    <b v="1"/>
    <n v="10"/>
    <n v="55.75"/>
    <m/>
    <n v="89.2"/>
    <n v="1.6977435999999999E-2"/>
    <n v="89.2"/>
    <n v="1.6977435999999999E-2"/>
    <x v="0"/>
  </r>
  <r>
    <s v="5544.8"/>
    <x v="2"/>
    <x v="5"/>
    <x v="0"/>
    <s v="20A"/>
    <s v="Whole Plate"/>
    <s v="Microcystis aeruginosa"/>
    <b v="1"/>
    <n v="10"/>
    <n v="57.6"/>
    <m/>
    <n v="28.8"/>
    <n v="2.5056000000000002E-3"/>
    <n v="28.8"/>
    <n v="2.5056000000000002E-3"/>
    <x v="0"/>
  </r>
  <r>
    <s v="5538.1"/>
    <x v="2"/>
    <x v="6"/>
    <x v="0"/>
    <s v="20A"/>
    <s v="Whole Plate"/>
    <s v="Microcystis wesenbergii"/>
    <b v="1"/>
    <n v="10"/>
    <n v="68.692307692307693"/>
    <m/>
    <n v="89.3"/>
    <n v="1.6996469E-2"/>
    <n v="89.3"/>
    <n v="1.6996469E-2"/>
    <x v="0"/>
  </r>
  <r>
    <s v="5546.4"/>
    <x v="2"/>
    <x v="7"/>
    <x v="0"/>
    <s v="20A"/>
    <s v="Whole Plate"/>
    <s v="Microcystis wesenbergii"/>
    <b v="1"/>
    <n v="10"/>
    <n v="62.5"/>
    <m/>
    <n v="37.5"/>
    <n v="7.1373749999999996E-3"/>
    <n v="37.5"/>
    <n v="7.1373749999999996E-3"/>
    <x v="0"/>
  </r>
  <r>
    <s v="5546.6"/>
    <x v="2"/>
    <x v="7"/>
    <x v="0"/>
    <s v="20A"/>
    <s v="Whole Plate"/>
    <s v="Microcystis sp. (large)"/>
    <b v="1"/>
    <n v="10"/>
    <n v="51.857142857142897"/>
    <m/>
    <n v="36.299999999999997"/>
    <n v="3.3780780000000001E-3"/>
    <n v="36.299999999999997"/>
    <n v="3.3780780000000001E-3"/>
    <x v="0"/>
  </r>
  <r>
    <s v="5547.1"/>
    <x v="3"/>
    <x v="8"/>
    <x v="0"/>
    <s v="20A"/>
    <s v="Whole Plate"/>
    <s v="Microcystis sp. (large)"/>
    <b v="1"/>
    <n v="10"/>
    <n v="23"/>
    <m/>
    <n v="2.2999999999999998"/>
    <n v="2.14038E-4"/>
    <n v="2.2999999999999998"/>
    <n v="2.14038E-4"/>
    <x v="0"/>
  </r>
  <r>
    <s v="5547.2"/>
    <x v="3"/>
    <x v="8"/>
    <x v="0"/>
    <s v="20A"/>
    <s v="Whole Plate"/>
    <s v="Microcystis wesenbergii"/>
    <b v="1"/>
    <n v="10"/>
    <n v="31"/>
    <m/>
    <n v="9.3000000000000007"/>
    <n v="1.770069E-3"/>
    <n v="9.3000000000000007"/>
    <n v="1.770069E-3"/>
    <x v="0"/>
  </r>
  <r>
    <s v="5542.7"/>
    <x v="3"/>
    <x v="9"/>
    <x v="0"/>
    <s v="20A"/>
    <s v="Whole Plate"/>
    <s v="Microcystis wesenbergii"/>
    <b v="1"/>
    <n v="10"/>
    <n v="69"/>
    <m/>
    <n v="27.6"/>
    <n v="5.2531080000000003E-3"/>
    <n v="27.6"/>
    <n v="5.2531080000000003E-3"/>
    <x v="0"/>
  </r>
  <r>
    <s v="5542.8"/>
    <x v="3"/>
    <x v="9"/>
    <x v="0"/>
    <s v="20A"/>
    <s v="Whole Plate"/>
    <s v="Microcystis aeruginosa"/>
    <b v="1"/>
    <n v="10"/>
    <n v="38.6666666666667"/>
    <m/>
    <n v="11.6"/>
    <n v="1.0092E-3"/>
    <n v="11.6"/>
    <n v="1.0092E-3"/>
    <x v="0"/>
  </r>
  <r>
    <s v="5548.1"/>
    <x v="3"/>
    <x v="10"/>
    <x v="0"/>
    <s v="20A"/>
    <s v="Whole Plate"/>
    <s v="Microcystis wesenbergii"/>
    <b v="1"/>
    <n v="10"/>
    <n v="69"/>
    <m/>
    <n v="48.3"/>
    <n v="9.1929390000000007E-3"/>
    <n v="48.3"/>
    <n v="9.1929390000000007E-3"/>
    <x v="0"/>
  </r>
  <r>
    <s v="5548.5"/>
    <x v="3"/>
    <x v="10"/>
    <x v="0"/>
    <s v="20A"/>
    <s v="Whole Plate"/>
    <s v="Microcystis sp. (large)"/>
    <b v="1"/>
    <n v="10"/>
    <n v="43"/>
    <m/>
    <n v="25.8"/>
    <n v="2.400948E-3"/>
    <n v="25.8"/>
    <n v="2.400948E-3"/>
    <x v="0"/>
  </r>
  <r>
    <s v="5545.3"/>
    <x v="3"/>
    <x v="11"/>
    <x v="0"/>
    <s v="20A"/>
    <s v="Whole Plate"/>
    <s v="Microcystis wesenbergii"/>
    <b v="1"/>
    <n v="10"/>
    <n v="74.3333333333333"/>
    <m/>
    <n v="22.3"/>
    <n v="4.2443589999999996E-3"/>
    <n v="22.3"/>
    <n v="4.2443589999999996E-3"/>
    <x v="0"/>
  </r>
  <r>
    <s v="5545.5"/>
    <x v="3"/>
    <x v="11"/>
    <x v="0"/>
    <s v="20A"/>
    <s v="Whole Plate"/>
    <s v="Microcystis sp. (large)"/>
    <b v="1"/>
    <n v="10"/>
    <n v="17"/>
    <m/>
    <n v="1.7"/>
    <n v="1.58202E-4"/>
    <n v="1.7"/>
    <n v="1.58202E-4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s v="5539.1"/>
    <x v="0"/>
    <x v="0"/>
    <x v="0"/>
    <s v="20A"/>
    <s v="Whole Plate"/>
    <s v="Microcystis wesenbergii"/>
    <b v="1"/>
    <n v="10"/>
    <n v="45.25"/>
    <m/>
    <n v="36.200000000000003"/>
    <n v="6.8899460000000001E-3"/>
    <n v="36.200000000000003"/>
    <n v="6.8899460000000001E-3"/>
    <s v="Microcystis spp._x000a_"/>
  </r>
  <r>
    <s v="5539.2"/>
    <x v="0"/>
    <x v="0"/>
    <x v="0"/>
    <s v="20A"/>
    <s v="Whole Plate"/>
    <s v="Dolichospermum circinale"/>
    <b v="1"/>
    <n v="10"/>
    <n v="23.5"/>
    <m/>
    <n v="9.4"/>
    <n v="5.4110160000000003E-3"/>
    <n v="9.4"/>
    <n v="5.4110160000000003E-3"/>
    <m/>
  </r>
  <r>
    <s v="5539.3"/>
    <x v="0"/>
    <x v="0"/>
    <x v="0"/>
    <s v="20A"/>
    <s v="Whole Plate"/>
    <s v="Aphanocapsa holsatica"/>
    <b v="0"/>
    <n v="10"/>
    <n v="41.3"/>
    <n v="14"/>
    <n v="140.41999999999999"/>
    <n v="7.0209999999999994E-5"/>
    <n v="0"/>
    <n v="0"/>
    <m/>
  </r>
  <r>
    <s v="5539.4"/>
    <x v="0"/>
    <x v="0"/>
    <x v="0"/>
    <s v="20A"/>
    <s v="Whole Plate"/>
    <s v="Aphanocapsa delicatissima"/>
    <b v="0"/>
    <n v="10"/>
    <n v="69.3333333333333"/>
    <m/>
    <n v="104"/>
    <n v="1.04E-5"/>
    <n v="0"/>
    <n v="0"/>
    <m/>
  </r>
  <r>
    <s v="5539.5"/>
    <x v="0"/>
    <x v="0"/>
    <x v="0"/>
    <s v="20A"/>
    <s v="Whole Plate"/>
    <s v="Phormidium sp"/>
    <b v="1"/>
    <n v="10"/>
    <n v="19.5"/>
    <m/>
    <n v="7.8"/>
    <n v="7.2805199999999997E-4"/>
    <n v="7.8"/>
    <n v="7.2805199999999997E-4"/>
    <m/>
  </r>
  <r>
    <s v="5539.6"/>
    <x v="0"/>
    <x v="0"/>
    <x v="0"/>
    <s v="20A"/>
    <s v="Whole Plate"/>
    <s v="Dolichospermum planctonicum "/>
    <b v="1"/>
    <n v="10"/>
    <n v="20.714285714285701"/>
    <m/>
    <n v="14.5"/>
    <n v="5.365E-3"/>
    <n v="14.5"/>
    <n v="5.365E-3"/>
    <m/>
  </r>
  <r>
    <s v="5539.7"/>
    <x v="0"/>
    <x v="0"/>
    <x v="0"/>
    <s v="20A"/>
    <s v="Whole Plate"/>
    <s v="Microcystis sp. (large)"/>
    <b v="1"/>
    <n v="10"/>
    <n v="38.3333333333333"/>
    <m/>
    <n v="34.5"/>
    <n v="3.2105699999999998E-3"/>
    <n v="34.5"/>
    <n v="3.2105699999999998E-3"/>
    <s v="Microcystis spp._x000a_"/>
  </r>
  <r>
    <s v="5539.8"/>
    <x v="0"/>
    <x v="0"/>
    <x v="0"/>
    <s v="20A"/>
    <s v="Whole Plate"/>
    <s v="Dolichospermum lemmermannii"/>
    <b v="1"/>
    <n v="10"/>
    <n v="25"/>
    <m/>
    <n v="2.5"/>
    <n v="2.7500000000000002E-4"/>
    <n v="2.5"/>
    <n v="2.7500000000000002E-4"/>
    <m/>
  </r>
  <r>
    <s v="5539.9"/>
    <x v="0"/>
    <x v="0"/>
    <x v="0"/>
    <s v="20A"/>
    <s v="Whole Plate"/>
    <s v="Pseudanabaena mucicola (rod)"/>
    <b v="0"/>
    <n v="10"/>
    <n v="11.5"/>
    <m/>
    <n v="2.2999999999999998"/>
    <n v="1.058E-4"/>
    <n v="0"/>
    <n v="0"/>
    <m/>
  </r>
  <r>
    <s v="5540.1"/>
    <x v="1"/>
    <x v="1"/>
    <x v="0"/>
    <s v="20A"/>
    <s v="160"/>
    <s v="Microcystis aeruginosa"/>
    <b v="1"/>
    <n v="10"/>
    <n v="12.15"/>
    <n v="19"/>
    <n v="1488.64584375"/>
    <n v="0.12951218840625001"/>
    <n v="1488.64584375"/>
    <n v="0.12951218840625001"/>
    <s v="Microcystis spp._x000a_"/>
  </r>
  <r>
    <s v="5540.2"/>
    <x v="1"/>
    <x v="1"/>
    <x v="0"/>
    <s v="20A"/>
    <s v="160"/>
    <s v="Aphanocapsa delicatissima"/>
    <b v="0"/>
    <n v="10"/>
    <n v="86.5"/>
    <m/>
    <n v="2173.9852777777801"/>
    <n v="2.1739852777777799E-4"/>
    <n v="0"/>
    <n v="0"/>
    <m/>
  </r>
  <r>
    <s v="5540.3"/>
    <x v="1"/>
    <x v="1"/>
    <x v="0"/>
    <s v="20A"/>
    <s v="160"/>
    <s v="Dolichospermum planctonicum "/>
    <b v="1"/>
    <n v="10"/>
    <n v="21.5"/>
    <m/>
    <n v="135.08868055555601"/>
    <n v="4.9982811805555701E-2"/>
    <n v="135.08868055555601"/>
    <n v="4.9982811805555701E-2"/>
    <m/>
  </r>
  <r>
    <s v="5540.4"/>
    <x v="1"/>
    <x v="1"/>
    <x v="0"/>
    <s v="20A"/>
    <s v="160"/>
    <s v="Pseudanabaena limnetica (cylinder)"/>
    <b v="1"/>
    <n v="10"/>
    <n v="8"/>
    <m/>
    <n v="25.1327777777778"/>
    <n v="1.98548944444445E-3"/>
    <n v="25.1327777777778"/>
    <n v="1.98548944444445E-3"/>
    <m/>
  </r>
  <r>
    <s v="5540.5"/>
    <x v="1"/>
    <x v="1"/>
    <x v="0"/>
    <s v="20A"/>
    <s v="160"/>
    <s v="Oscillatoria sp"/>
    <b v="1"/>
    <n v="10"/>
    <n v="13"/>
    <m/>
    <n v="40.840763888888901"/>
    <n v="0.1104538459375"/>
    <n v="40.840763888888901"/>
    <n v="0.1104538459375"/>
    <m/>
  </r>
  <r>
    <s v="5541.1"/>
    <x v="1"/>
    <x v="2"/>
    <x v="0"/>
    <s v="20A"/>
    <s v="50"/>
    <s v="Microcystis aeruginosa"/>
    <b v="1"/>
    <n v="10"/>
    <n v="28.8"/>
    <n v="344"/>
    <n v="105388.77439999999"/>
    <n v="9.1688233728000004"/>
    <n v="105388.77439999999"/>
    <n v="9.1688233728000004"/>
    <s v="Microcystis spp._x000a_"/>
  </r>
  <r>
    <s v="5541.2"/>
    <x v="1"/>
    <x v="2"/>
    <x v="0"/>
    <s v="20A"/>
    <s v="50"/>
    <s v="Phormidium sp"/>
    <b v="1"/>
    <n v="10"/>
    <n v="25.1"/>
    <m/>
    <n v="2523.3308888888901"/>
    <n v="0.23552770516888899"/>
    <n v="2523.3308888888901"/>
    <n v="0.23552770516888899"/>
    <m/>
  </r>
  <r>
    <s v="5541.3"/>
    <x v="1"/>
    <x v="2"/>
    <x v="0"/>
    <s v="20A"/>
    <s v="50"/>
    <s v="Coelosphaerium kuetzingianum"/>
    <b v="0"/>
    <n v="10"/>
    <n v="36"/>
    <m/>
    <n v="361.91199999999998"/>
    <n v="3.2173976800000002E-3"/>
    <n v="0"/>
    <n v="0"/>
    <m/>
  </r>
  <r>
    <s v="5541.4"/>
    <x v="1"/>
    <x v="2"/>
    <x v="0"/>
    <s v="20A"/>
    <s v="50"/>
    <s v="Dolichospermum sp"/>
    <b v="1"/>
    <n v="10"/>
    <n v="17.2"/>
    <m/>
    <n v="864.56755555555503"/>
    <n v="0.16426783555555599"/>
    <n v="864.56755555555605"/>
    <n v="0.16426783555555599"/>
    <m/>
  </r>
  <r>
    <s v="5541.5"/>
    <x v="1"/>
    <x v="2"/>
    <x v="0"/>
    <s v="20A"/>
    <s v="50"/>
    <s v="Dolichospermum planctonicum "/>
    <b v="1"/>
    <n v="10"/>
    <n v="14.5"/>
    <m/>
    <n v="291.54022222222198"/>
    <n v="0.107869882222222"/>
    <n v="291.54022222222198"/>
    <n v="0.107869882222222"/>
    <m/>
  </r>
  <r>
    <s v="5536.1"/>
    <x v="2"/>
    <x v="3"/>
    <x v="0"/>
    <s v="20A"/>
    <s v="Whole Plate"/>
    <s v="Aphanocapsa holsatica"/>
    <b v="0"/>
    <n v="10"/>
    <n v="26.7"/>
    <n v="503"/>
    <n v="1396.41"/>
    <n v="6.9820500000000003E-4"/>
    <n v="0"/>
    <n v="0"/>
    <m/>
  </r>
  <r>
    <s v="5536.2"/>
    <x v="2"/>
    <x v="3"/>
    <x v="0"/>
    <s v="20A"/>
    <s v="Whole Plate"/>
    <s v="Dolichospermum circinale"/>
    <b v="1"/>
    <n v="10"/>
    <n v="23.6666666666667"/>
    <m/>
    <n v="7.1"/>
    <n v="4.0870439999999997E-3"/>
    <n v="7.1"/>
    <n v="4.0870439999999997E-3"/>
    <m/>
  </r>
  <r>
    <s v="5536.3"/>
    <x v="2"/>
    <x v="3"/>
    <x v="0"/>
    <s v="20A"/>
    <s v="Whole Plate"/>
    <s v="Aphanocapsa delicatissima"/>
    <b v="0"/>
    <n v="10"/>
    <n v="68.650000000000006"/>
    <n v="209"/>
    <n v="1572.085"/>
    <n v="1.572085E-4"/>
    <n v="0"/>
    <n v="0"/>
    <m/>
  </r>
  <r>
    <s v="5536.4"/>
    <x v="2"/>
    <x v="3"/>
    <x v="0"/>
    <s v="20A"/>
    <s v="Whole Plate"/>
    <s v="Dolichospermum planctonicum "/>
    <b v="1"/>
    <n v="10"/>
    <n v="29"/>
    <m/>
    <n v="2.9"/>
    <n v="1.073E-3"/>
    <n v="2.9"/>
    <n v="1.073E-3"/>
    <m/>
  </r>
  <r>
    <s v="5536.5"/>
    <x v="2"/>
    <x v="3"/>
    <x v="0"/>
    <s v="20A"/>
    <s v="Whole Plate"/>
    <s v="Pseudanabaena limnetica (cylinder)"/>
    <b v="1"/>
    <n v="10"/>
    <n v="9.3333333333333304"/>
    <m/>
    <n v="2.8"/>
    <n v="2.2120000000000001E-4"/>
    <n v="2.8"/>
    <n v="2.2120000000000001E-4"/>
    <m/>
  </r>
  <r>
    <s v="5536.6"/>
    <x v="2"/>
    <x v="3"/>
    <x v="0"/>
    <s v="20A"/>
    <s v="Whole Plate"/>
    <s v="Dolichospermum lemmermannii"/>
    <b v="1"/>
    <n v="10"/>
    <n v="23.75"/>
    <m/>
    <n v="9.5"/>
    <n v="1.0449999999999999E-3"/>
    <n v="9.5"/>
    <n v="1.0449999999999999E-3"/>
    <m/>
  </r>
  <r>
    <s v="5536.7"/>
    <x v="2"/>
    <x v="3"/>
    <x v="0"/>
    <s v="20A"/>
    <s v="Whole Plate"/>
    <s v="Dolichospermum sp"/>
    <b v="1"/>
    <n v="10"/>
    <n v="20"/>
    <m/>
    <n v="2"/>
    <n v="3.8000000000000002E-4"/>
    <n v="2"/>
    <n v="3.8000000000000002E-4"/>
    <m/>
  </r>
  <r>
    <s v="5536.8"/>
    <x v="2"/>
    <x v="3"/>
    <x v="0"/>
    <s v="20A"/>
    <s v="Whole Plate"/>
    <s v="Microcystis wesenbergii"/>
    <b v="1"/>
    <n v="10"/>
    <n v="27"/>
    <m/>
    <n v="8.1"/>
    <n v="1.5416729999999999E-3"/>
    <n v="8.1"/>
    <n v="1.5416729999999999E-3"/>
    <s v="Microcystis spp._x000a_"/>
  </r>
  <r>
    <s v="5536.9"/>
    <x v="2"/>
    <x v="3"/>
    <x v="0"/>
    <s v="20A"/>
    <s v="Whole Plate"/>
    <s v="Phormidium sp"/>
    <b v="1"/>
    <n v="10"/>
    <n v="48"/>
    <m/>
    <n v="4.8"/>
    <n v="4.4803200000000001E-4"/>
    <n v="4.8"/>
    <n v="4.4803200000000001E-4"/>
    <m/>
  </r>
  <r>
    <s v="5536.10"/>
    <x v="2"/>
    <x v="3"/>
    <x v="0"/>
    <s v="20A"/>
    <s v="Whole Plate"/>
    <s v="Pseudanabaena mucicola (rod)"/>
    <b v="0"/>
    <n v="10"/>
    <n v="11"/>
    <m/>
    <n v="2.2000000000000002"/>
    <n v="1.0119999999999999E-4"/>
    <n v="0"/>
    <n v="0"/>
    <m/>
  </r>
  <r>
    <s v="5543.1"/>
    <x v="2"/>
    <x v="4"/>
    <x v="0"/>
    <s v="20A"/>
    <s v="160"/>
    <s v="Microcystis sp. (large)"/>
    <b v="1"/>
    <n v="10"/>
    <n v="24.5"/>
    <m/>
    <n v="307.87652777777799"/>
    <n v="2.8650989674999999E-2"/>
    <n v="307.87652777777799"/>
    <n v="2.8650989674999999E-2"/>
    <s v="Microcystis spp._x000a_"/>
  </r>
  <r>
    <s v="5543.2"/>
    <x v="2"/>
    <x v="4"/>
    <x v="0"/>
    <s v="20A"/>
    <s v="160"/>
    <s v="Aphanocapsa holsatica"/>
    <b v="0"/>
    <n v="10"/>
    <n v="5.3333333333333304"/>
    <m/>
    <n v="50.265555555555601"/>
    <n v="2.51327777777778E-5"/>
    <n v="0"/>
    <n v="0"/>
    <m/>
  </r>
  <r>
    <s v="5543.3"/>
    <x v="2"/>
    <x v="4"/>
    <x v="0"/>
    <s v="20A"/>
    <s v="160"/>
    <s v="Dolichospermum lemmermannii"/>
    <b v="1"/>
    <n v="10"/>
    <n v="18.1428571428571"/>
    <m/>
    <n v="398.98284722222201"/>
    <n v="4.3888113194444398E-2"/>
    <n v="398.98284722222201"/>
    <n v="4.3888113194444398E-2"/>
    <m/>
  </r>
  <r>
    <s v="5543.4"/>
    <x v="2"/>
    <x v="4"/>
    <x v="0"/>
    <s v="20A"/>
    <s v="160"/>
    <s v="Aphanocapsa delicatissima"/>
    <b v="0"/>
    <n v="10"/>
    <n v="74.5"/>
    <m/>
    <n v="936.19597222222205"/>
    <n v="9.3619597222222196E-5"/>
    <n v="0"/>
    <n v="0"/>
    <m/>
  </r>
  <r>
    <s v="5543.5"/>
    <x v="2"/>
    <x v="4"/>
    <x v="0"/>
    <s v="20A"/>
    <s v="160"/>
    <s v="Pseudanabaena mucicola (rod)"/>
    <b v="0"/>
    <n v="10"/>
    <n v="7"/>
    <m/>
    <n v="43.982361111111103"/>
    <n v="2.02318861111111E-3"/>
    <n v="0"/>
    <n v="0"/>
    <m/>
  </r>
  <r>
    <s v="5543.6"/>
    <x v="2"/>
    <x v="4"/>
    <x v="0"/>
    <s v="20A"/>
    <s v="160"/>
    <s v="Microcystis wesenbergii"/>
    <b v="1"/>
    <n v="10"/>
    <n v="36"/>
    <m/>
    <n v="113.0975"/>
    <n v="2.1525847175000001E-2"/>
    <n v="113.0975"/>
    <n v="2.1525847175000001E-2"/>
    <s v="Microcystis spp._x000a_"/>
  </r>
  <r>
    <s v="5544.1"/>
    <x v="2"/>
    <x v="5"/>
    <x v="0"/>
    <s v="20A"/>
    <s v="Whole Plate"/>
    <s v="Dolichospermum circinale"/>
    <b v="1"/>
    <n v="10"/>
    <n v="71.6666666666667"/>
    <m/>
    <n v="21.5"/>
    <n v="1.237626E-2"/>
    <n v="21.5"/>
    <n v="1.237626E-2"/>
    <m/>
  </r>
  <r>
    <s v="5544.2"/>
    <x v="2"/>
    <x v="5"/>
    <x v="0"/>
    <s v="20A"/>
    <s v="Whole Plate"/>
    <s v="Dolichospermum planctonicum "/>
    <b v="1"/>
    <n v="10"/>
    <n v="30.1666666666667"/>
    <m/>
    <n v="54.3"/>
    <n v="2.0091000000000001E-2"/>
    <n v="54.3"/>
    <n v="2.0091000000000001E-2"/>
    <m/>
  </r>
  <r>
    <s v="5544.3"/>
    <x v="2"/>
    <x v="5"/>
    <x v="0"/>
    <s v="20A"/>
    <s v="Whole Plate"/>
    <s v="Phormidium sp"/>
    <b v="1"/>
    <n v="10"/>
    <n v="38.125"/>
    <m/>
    <n v="30.5"/>
    <n v="2.84687E-3"/>
    <n v="30.5"/>
    <n v="2.84687E-3"/>
    <m/>
  </r>
  <r>
    <s v="5544.4"/>
    <x v="2"/>
    <x v="5"/>
    <x v="0"/>
    <s v="20A"/>
    <s v="Whole Plate"/>
    <s v="Aphanocapsa delicatissima"/>
    <b v="0"/>
    <n v="10"/>
    <n v="116.583333333333"/>
    <m/>
    <n v="139.9"/>
    <n v="1.399E-5"/>
    <n v="0"/>
    <n v="0"/>
    <m/>
  </r>
  <r>
    <s v="5544.5"/>
    <x v="2"/>
    <x v="5"/>
    <x v="0"/>
    <s v="20A"/>
    <s v="Whole Plate"/>
    <s v="Aphanocapsa holsatica"/>
    <b v="0"/>
    <n v="10"/>
    <n v="29.7"/>
    <n v="8"/>
    <n v="83.16"/>
    <n v="4.1579999999999998E-5"/>
    <n v="0"/>
    <n v="0"/>
    <m/>
  </r>
  <r>
    <s v="5544.6"/>
    <x v="2"/>
    <x v="5"/>
    <x v="0"/>
    <s v="20A"/>
    <s v="Whole Plate"/>
    <s v="Microcystis wesenbergii"/>
    <b v="1"/>
    <n v="10"/>
    <n v="55.75"/>
    <m/>
    <n v="89.2"/>
    <n v="1.6977435999999999E-2"/>
    <n v="89.2"/>
    <n v="1.6977435999999999E-2"/>
    <s v="Microcystis spp._x000a_"/>
  </r>
  <r>
    <s v="5544.7"/>
    <x v="2"/>
    <x v="5"/>
    <x v="0"/>
    <s v="20A"/>
    <s v="Whole Plate"/>
    <s v="Pseudanabaena galeata (cylinder)"/>
    <b v="1"/>
    <n v="10"/>
    <n v="8"/>
    <m/>
    <n v="0.8"/>
    <n v="4.8000000000000001E-5"/>
    <n v="0.8"/>
    <n v="4.8000000000000001E-5"/>
    <m/>
  </r>
  <r>
    <s v="5544.8"/>
    <x v="2"/>
    <x v="5"/>
    <x v="0"/>
    <s v="20A"/>
    <s v="Whole Plate"/>
    <s v="Microcystis aeruginosa"/>
    <b v="1"/>
    <n v="10"/>
    <n v="57.6"/>
    <m/>
    <n v="28.8"/>
    <n v="2.5056000000000002E-3"/>
    <n v="28.8"/>
    <n v="2.5056000000000002E-3"/>
    <s v="Microcystis spp._x000a_"/>
  </r>
  <r>
    <s v="5544.9"/>
    <x v="2"/>
    <x v="5"/>
    <x v="0"/>
    <s v="20A"/>
    <s v="Whole Plate"/>
    <s v="Pseudanabaena mucicola (rod)"/>
    <b v="0"/>
    <n v="10"/>
    <n v="11.25"/>
    <m/>
    <n v="4.5"/>
    <n v="2.0699999999999999E-4"/>
    <n v="0"/>
    <n v="0"/>
    <m/>
  </r>
  <r>
    <s v="5544.10"/>
    <x v="2"/>
    <x v="5"/>
    <x v="0"/>
    <s v="20A"/>
    <s v="Whole Plate"/>
    <s v="Dolichospermum lemmermannii"/>
    <b v="1"/>
    <n v="10"/>
    <n v="6"/>
    <m/>
    <n v="0.6"/>
    <n v="6.6000000000000005E-5"/>
    <n v="0.6"/>
    <n v="6.6000000000000005E-5"/>
    <m/>
  </r>
  <r>
    <s v="5544.11"/>
    <x v="2"/>
    <x v="5"/>
    <x v="0"/>
    <s v="20A"/>
    <s v="Whole Plate"/>
    <s v="Pseudanabaena limnetica (cylinder)"/>
    <b v="1"/>
    <n v="10"/>
    <n v="13"/>
    <m/>
    <n v="1.3"/>
    <n v="1.027E-4"/>
    <n v="1.3"/>
    <n v="1.027E-4"/>
    <m/>
  </r>
  <r>
    <s v="5544.12"/>
    <x v="2"/>
    <x v="5"/>
    <x v="0"/>
    <s v="20A"/>
    <s v="Whole Plate"/>
    <s v="Woronichinia naegeliana"/>
    <b v="1"/>
    <n v="10"/>
    <n v="68"/>
    <m/>
    <n v="6.8"/>
    <n v="0"/>
    <n v="6.8"/>
    <n v="0"/>
    <m/>
  </r>
  <r>
    <s v="5538.1"/>
    <x v="2"/>
    <x v="6"/>
    <x v="0"/>
    <s v="20A"/>
    <s v="Whole Plate"/>
    <s v="Microcystis wesenbergii"/>
    <b v="1"/>
    <n v="10"/>
    <n v="68.692307692307693"/>
    <m/>
    <n v="89.3"/>
    <n v="1.6996469E-2"/>
    <n v="89.3"/>
    <n v="1.6996469E-2"/>
    <s v="Microcystis spp._x000a_"/>
  </r>
  <r>
    <s v="5538.2"/>
    <x v="2"/>
    <x v="6"/>
    <x v="0"/>
    <s v="20A"/>
    <s v="Whole Plate"/>
    <s v="Aphanocapsa holsatica"/>
    <b v="0"/>
    <n v="10"/>
    <n v="35.299999999999997"/>
    <n v="85"/>
    <n v="370.65"/>
    <n v="1.8532499999999999E-4"/>
    <n v="0"/>
    <n v="0"/>
    <m/>
  </r>
  <r>
    <s v="5538.3"/>
    <x v="2"/>
    <x v="6"/>
    <x v="0"/>
    <s v="20A"/>
    <s v="Whole Plate"/>
    <s v="Pseudanabaena mucicola (rod)"/>
    <b v="0"/>
    <n v="10"/>
    <n v="20.1428571428571"/>
    <m/>
    <n v="14.1"/>
    <n v="6.4860000000000004E-4"/>
    <n v="0"/>
    <n v="0"/>
    <m/>
  </r>
  <r>
    <s v="5538.4"/>
    <x v="2"/>
    <x v="6"/>
    <x v="0"/>
    <s v="20A"/>
    <s v="Whole Plate"/>
    <s v="Aphanocapsa delicatissima"/>
    <b v="0"/>
    <n v="10"/>
    <n v="87.15"/>
    <n v="27"/>
    <n v="409.60500000000002"/>
    <n v="4.0960500000000002E-5"/>
    <n v="0"/>
    <n v="0"/>
    <m/>
  </r>
  <r>
    <s v="5538.5"/>
    <x v="2"/>
    <x v="6"/>
    <x v="0"/>
    <s v="20A"/>
    <s v="Whole Plate"/>
    <s v="Dolichospermum planctonicum "/>
    <b v="1"/>
    <n v="10"/>
    <n v="8"/>
    <m/>
    <n v="0.8"/>
    <n v="2.9599999999999998E-4"/>
    <n v="0.8"/>
    <n v="2.9599999999999998E-4"/>
    <m/>
  </r>
  <r>
    <s v="5538.6"/>
    <x v="2"/>
    <x v="6"/>
    <x v="0"/>
    <s v="20A"/>
    <s v="Whole Plate"/>
    <s v="Oscillatoria sp"/>
    <b v="1"/>
    <n v="10"/>
    <n v="43.5"/>
    <m/>
    <n v="8.6999999999999993"/>
    <n v="2.3529149999999999E-2"/>
    <n v="8.6999999999999993"/>
    <n v="2.3529149999999999E-2"/>
    <m/>
  </r>
  <r>
    <s v="5538.7"/>
    <x v="2"/>
    <x v="6"/>
    <x v="0"/>
    <s v="20A"/>
    <s v="Whole Plate"/>
    <s v="Dolichospermum lemmermannii"/>
    <b v="1"/>
    <n v="10"/>
    <n v="26"/>
    <m/>
    <n v="5.2"/>
    <n v="5.7200000000000003E-4"/>
    <n v="5.2"/>
    <n v="5.7200000000000003E-4"/>
    <m/>
  </r>
  <r>
    <s v="5538.8"/>
    <x v="2"/>
    <x v="6"/>
    <x v="0"/>
    <s v="20A"/>
    <s v="Whole Plate"/>
    <s v="Dolichospermum circinale"/>
    <b v="1"/>
    <n v="10"/>
    <n v="63"/>
    <m/>
    <n v="12.6"/>
    <n v="7.253064E-3"/>
    <n v="12.6"/>
    <n v="7.253064E-3"/>
    <m/>
  </r>
  <r>
    <s v="5546.1"/>
    <x v="2"/>
    <x v="7"/>
    <x v="0"/>
    <s v="20A"/>
    <s v="Whole Plate"/>
    <s v="Aphanocapsa holsatica"/>
    <b v="0"/>
    <n v="10"/>
    <n v="29.6666666666667"/>
    <m/>
    <n v="53.4"/>
    <n v="2.6699999999999998E-5"/>
    <n v="0"/>
    <n v="0"/>
    <m/>
  </r>
  <r>
    <s v="5546.2"/>
    <x v="2"/>
    <x v="7"/>
    <x v="0"/>
    <s v="20A"/>
    <s v="Whole Plate"/>
    <s v="Dolichospermum circinale"/>
    <b v="1"/>
    <n v="10"/>
    <n v="25"/>
    <m/>
    <n v="2.5"/>
    <n v="1.4391E-3"/>
    <n v="2.5"/>
    <n v="1.4391E-3"/>
    <m/>
  </r>
  <r>
    <s v="5546.3"/>
    <x v="2"/>
    <x v="7"/>
    <x v="0"/>
    <s v="20A"/>
    <s v="Whole Plate"/>
    <s v="Dolichospermum planctonicum "/>
    <b v="1"/>
    <n v="10"/>
    <n v="31.1666666666667"/>
    <m/>
    <n v="18.7"/>
    <n v="6.9189999999999998E-3"/>
    <n v="18.7"/>
    <n v="6.9189999999999998E-3"/>
    <m/>
  </r>
  <r>
    <s v="5546.4"/>
    <x v="2"/>
    <x v="7"/>
    <x v="0"/>
    <s v="20A"/>
    <s v="Whole Plate"/>
    <s v="Microcystis wesenbergii"/>
    <b v="1"/>
    <n v="10"/>
    <n v="62.5"/>
    <m/>
    <n v="37.5"/>
    <n v="7.1373749999999996E-3"/>
    <n v="37.5"/>
    <n v="7.1373749999999996E-3"/>
    <s v="Microcystis spp._x000a_"/>
  </r>
  <r>
    <s v="5546.5"/>
    <x v="2"/>
    <x v="7"/>
    <x v="0"/>
    <s v="20A"/>
    <s v="Whole Plate"/>
    <s v="Aphanocapsa delicatissima"/>
    <b v="0"/>
    <n v="10"/>
    <n v="171"/>
    <m/>
    <n v="342"/>
    <n v="3.4199999999999998E-5"/>
    <n v="0"/>
    <n v="0"/>
    <m/>
  </r>
  <r>
    <s v="5546.6"/>
    <x v="2"/>
    <x v="7"/>
    <x v="0"/>
    <s v="20A"/>
    <s v="Whole Plate"/>
    <s v="Microcystis sp. (large)"/>
    <b v="1"/>
    <n v="10"/>
    <n v="51.857142857142897"/>
    <m/>
    <n v="36.299999999999997"/>
    <n v="3.3780780000000001E-3"/>
    <n v="36.299999999999997"/>
    <n v="3.3780780000000001E-3"/>
    <s v="Microcystis spp._x000a_"/>
  </r>
  <r>
    <s v="5546.7"/>
    <x v="2"/>
    <x v="7"/>
    <x v="0"/>
    <s v="20A"/>
    <s v="Whole Plate"/>
    <s v="Pseudanabaena mucicola (rod)"/>
    <b v="0"/>
    <n v="10"/>
    <n v="17.399999999999999"/>
    <m/>
    <n v="8.6999999999999993"/>
    <n v="4.0020000000000002E-4"/>
    <n v="0"/>
    <n v="0"/>
    <m/>
  </r>
  <r>
    <s v="5546.8"/>
    <x v="2"/>
    <x v="7"/>
    <x v="0"/>
    <s v="20A"/>
    <s v="Whole Plate"/>
    <s v="Phormidium sp"/>
    <b v="1"/>
    <n v="10"/>
    <n v="61"/>
    <m/>
    <n v="6.1"/>
    <n v="5.6937399999999999E-4"/>
    <n v="6.1"/>
    <n v="5.6937399999999999E-4"/>
    <m/>
  </r>
  <r>
    <s v="5546.9"/>
    <x v="2"/>
    <x v="7"/>
    <x v="0"/>
    <s v="20A"/>
    <s v="Whole Plate"/>
    <s v="Dolichospermum sp"/>
    <b v="1"/>
    <n v="10"/>
    <n v="11.6666666666667"/>
    <m/>
    <n v="3.5"/>
    <n v="6.6500000000000001E-4"/>
    <n v="3.5"/>
    <n v="6.6500000000000001E-4"/>
    <m/>
  </r>
  <r>
    <s v="5546.10"/>
    <x v="2"/>
    <x v="7"/>
    <x v="0"/>
    <s v="20A"/>
    <s v="Whole Plate"/>
    <s v="Dolichospermum lemmermannii"/>
    <b v="1"/>
    <n v="10"/>
    <n v="38"/>
    <m/>
    <n v="3.8"/>
    <n v="4.1800000000000002E-4"/>
    <n v="3.8"/>
    <n v="4.1800000000000002E-4"/>
    <m/>
  </r>
  <r>
    <s v="5547.1"/>
    <x v="3"/>
    <x v="8"/>
    <x v="0"/>
    <s v="20A"/>
    <s v="Whole Plate"/>
    <s v="Microcystis sp. (large)"/>
    <b v="1"/>
    <n v="10"/>
    <n v="23"/>
    <m/>
    <n v="2.2999999999999998"/>
    <n v="2.14038E-4"/>
    <n v="2.2999999999999998"/>
    <n v="2.14038E-4"/>
    <s v="Microcystis spp._x000a_"/>
  </r>
  <r>
    <s v="5547.2"/>
    <x v="3"/>
    <x v="8"/>
    <x v="0"/>
    <s v="20A"/>
    <s v="Whole Plate"/>
    <s v="Microcystis wesenbergii"/>
    <b v="1"/>
    <n v="10"/>
    <n v="31"/>
    <m/>
    <n v="9.3000000000000007"/>
    <n v="1.770069E-3"/>
    <n v="9.3000000000000007"/>
    <n v="1.770069E-3"/>
    <s v="Microcystis spp._x000a_"/>
  </r>
  <r>
    <s v="5547.3"/>
    <x v="3"/>
    <x v="8"/>
    <x v="0"/>
    <s v="20A"/>
    <s v="Whole Plate"/>
    <s v="Dolichospermum planctonicum "/>
    <b v="1"/>
    <n v="10"/>
    <n v="34.6666666666667"/>
    <m/>
    <n v="20.8"/>
    <n v="7.6959999999999997E-3"/>
    <n v="20.8"/>
    <n v="7.6959999999999997E-3"/>
    <m/>
  </r>
  <r>
    <s v="5547.4"/>
    <x v="3"/>
    <x v="8"/>
    <x v="0"/>
    <s v="20A"/>
    <s v="Whole Plate"/>
    <s v="Pseudanabaena mucicola (rod)"/>
    <b v="0"/>
    <n v="10"/>
    <n v="4"/>
    <m/>
    <n v="0.4"/>
    <n v="1.84E-5"/>
    <n v="0"/>
    <n v="0"/>
    <m/>
  </r>
  <r>
    <s v="5547.5"/>
    <x v="3"/>
    <x v="8"/>
    <x v="0"/>
    <s v="20A"/>
    <s v="Whole Plate"/>
    <s v="Dolichospermum circinale"/>
    <b v="1"/>
    <n v="10"/>
    <n v="42"/>
    <m/>
    <n v="4.2"/>
    <n v="2.4176879999999999E-3"/>
    <n v="4.2"/>
    <n v="2.4176879999999999E-3"/>
    <m/>
  </r>
  <r>
    <s v="5542.1"/>
    <x v="3"/>
    <x v="9"/>
    <x v="0"/>
    <s v="20A"/>
    <s v="Whole Plate"/>
    <s v="Dolichospermum sp"/>
    <b v="1"/>
    <n v="10"/>
    <n v="27"/>
    <m/>
    <n v="5.4"/>
    <n v="1.026E-3"/>
    <n v="5.4"/>
    <n v="1.026E-3"/>
    <m/>
  </r>
  <r>
    <s v="5542.2"/>
    <x v="3"/>
    <x v="9"/>
    <x v="0"/>
    <s v="20A"/>
    <s v="Whole Plate"/>
    <s v="Pseudanabaena limnetica (cylinder)"/>
    <b v="1"/>
    <n v="10"/>
    <n v="12.2"/>
    <m/>
    <n v="6.1"/>
    <n v="4.819E-4"/>
    <n v="6.1"/>
    <n v="4.819E-4"/>
    <m/>
  </r>
  <r>
    <s v="5542.3"/>
    <x v="3"/>
    <x v="9"/>
    <x v="0"/>
    <s v="20A"/>
    <s v="Whole Plate"/>
    <s v="Oscillatoria sp"/>
    <b v="1"/>
    <n v="10"/>
    <n v="40"/>
    <m/>
    <n v="4"/>
    <n v="1.0817999999999999E-2"/>
    <n v="4"/>
    <n v="1.0817999999999999E-2"/>
    <m/>
  </r>
  <r>
    <s v="5542.4"/>
    <x v="3"/>
    <x v="9"/>
    <x v="0"/>
    <s v="20A"/>
    <s v="Whole Plate"/>
    <s v="Pseudanabaena mucicola (rod)"/>
    <b v="0"/>
    <n v="10"/>
    <n v="23"/>
    <m/>
    <n v="4.5999999999999996"/>
    <n v="2.1159999999999999E-4"/>
    <n v="0"/>
    <n v="0"/>
    <m/>
  </r>
  <r>
    <s v="5542.5"/>
    <x v="3"/>
    <x v="9"/>
    <x v="0"/>
    <s v="20A"/>
    <s v="Whole Plate"/>
    <s v="Dolichospermum planctonicum "/>
    <b v="1"/>
    <n v="10"/>
    <n v="9.5"/>
    <m/>
    <n v="3.8"/>
    <n v="1.4059999999999999E-3"/>
    <n v="3.8"/>
    <n v="1.4059999999999999E-3"/>
    <m/>
  </r>
  <r>
    <s v="5542.6"/>
    <x v="3"/>
    <x v="9"/>
    <x v="0"/>
    <s v="20A"/>
    <s v="Whole Plate"/>
    <s v="Dolichospermum circinale"/>
    <b v="1"/>
    <n v="10"/>
    <n v="21"/>
    <m/>
    <n v="4.2"/>
    <n v="2.4176879999999999E-3"/>
    <n v="4.2"/>
    <n v="2.4176879999999999E-3"/>
    <m/>
  </r>
  <r>
    <s v="5542.7"/>
    <x v="3"/>
    <x v="9"/>
    <x v="0"/>
    <s v="20A"/>
    <s v="Whole Plate"/>
    <s v="Microcystis wesenbergii"/>
    <b v="1"/>
    <n v="10"/>
    <n v="69"/>
    <m/>
    <n v="27.6"/>
    <n v="5.2531080000000003E-3"/>
    <n v="27.6"/>
    <n v="5.2531080000000003E-3"/>
    <s v="Microcystis spp._x000a_"/>
  </r>
  <r>
    <s v="5542.8"/>
    <x v="3"/>
    <x v="9"/>
    <x v="0"/>
    <s v="20A"/>
    <s v="Whole Plate"/>
    <s v="Microcystis aeruginosa"/>
    <b v="1"/>
    <n v="10"/>
    <n v="38.6666666666667"/>
    <m/>
    <n v="11.6"/>
    <n v="1.0092E-3"/>
    <n v="11.6"/>
    <n v="1.0092E-3"/>
    <s v="Microcystis spp._x000a_"/>
  </r>
  <r>
    <s v="5548.1"/>
    <x v="3"/>
    <x v="10"/>
    <x v="0"/>
    <s v="20A"/>
    <s v="Whole Plate"/>
    <s v="Microcystis wesenbergii"/>
    <b v="1"/>
    <n v="10"/>
    <n v="69"/>
    <m/>
    <n v="48.3"/>
    <n v="9.1929390000000007E-3"/>
    <n v="48.3"/>
    <n v="9.1929390000000007E-3"/>
    <s v="Microcystis spp._x000a_"/>
  </r>
  <r>
    <s v="5548.2"/>
    <x v="3"/>
    <x v="10"/>
    <x v="0"/>
    <s v="20A"/>
    <s v="Whole Plate"/>
    <s v="Pseudanabaena mucicola (rod)"/>
    <b v="0"/>
    <n v="10"/>
    <n v="5"/>
    <m/>
    <n v="1.5"/>
    <n v="6.8999999999999997E-5"/>
    <n v="0"/>
    <n v="0"/>
    <m/>
  </r>
  <r>
    <s v="5548.3"/>
    <x v="3"/>
    <x v="10"/>
    <x v="0"/>
    <s v="20A"/>
    <s v="Whole Plate"/>
    <s v="Dolichospermum planctonicum "/>
    <b v="1"/>
    <n v="10"/>
    <n v="27.071428571428601"/>
    <m/>
    <n v="37.9"/>
    <n v="1.4023000000000001E-2"/>
    <n v="37.9"/>
    <n v="1.4023000000000001E-2"/>
    <m/>
  </r>
  <r>
    <s v="5548.4"/>
    <x v="3"/>
    <x v="10"/>
    <x v="0"/>
    <s v="20A"/>
    <s v="Whole Plate"/>
    <s v="Dolichospermum circinale"/>
    <b v="1"/>
    <n v="10"/>
    <n v="45.4"/>
    <m/>
    <n v="22.7"/>
    <n v="1.3067028E-2"/>
    <n v="22.7"/>
    <n v="1.3067028E-2"/>
    <m/>
  </r>
  <r>
    <s v="5548.5"/>
    <x v="3"/>
    <x v="10"/>
    <x v="0"/>
    <s v="20A"/>
    <s v="Whole Plate"/>
    <s v="Microcystis sp. (large)"/>
    <b v="1"/>
    <n v="10"/>
    <n v="43"/>
    <m/>
    <n v="25.8"/>
    <n v="2.400948E-3"/>
    <n v="25.8"/>
    <n v="2.400948E-3"/>
    <s v="Microcystis spp._x000a_"/>
  </r>
  <r>
    <s v="5545.1"/>
    <x v="3"/>
    <x v="11"/>
    <x v="0"/>
    <s v="20A"/>
    <s v="Whole Plate"/>
    <s v="Geitlerinema sp"/>
    <b v="0"/>
    <n v="10"/>
    <n v="12.3333333333333"/>
    <m/>
    <n v="3.7"/>
    <n v="8.14E-5"/>
    <n v="0"/>
    <n v="0"/>
    <m/>
  </r>
  <r>
    <s v="5545.2"/>
    <x v="3"/>
    <x v="11"/>
    <x v="0"/>
    <s v="20A"/>
    <s v="Whole Plate"/>
    <s v="Dolichospermum sp"/>
    <b v="1"/>
    <n v="10"/>
    <n v="16.125"/>
    <m/>
    <n v="12.9"/>
    <n v="2.4510000000000001E-3"/>
    <n v="12.9"/>
    <n v="2.4510000000000001E-3"/>
    <m/>
  </r>
  <r>
    <s v="5545.3"/>
    <x v="3"/>
    <x v="11"/>
    <x v="0"/>
    <s v="20A"/>
    <s v="Whole Plate"/>
    <s v="Microcystis wesenbergii"/>
    <b v="1"/>
    <n v="10"/>
    <n v="74.3333333333333"/>
    <m/>
    <n v="22.3"/>
    <n v="4.2443589999999996E-3"/>
    <n v="22.3"/>
    <n v="4.2443589999999996E-3"/>
    <s v="Microcystis spp._x000a_"/>
  </r>
  <r>
    <s v="5545.4"/>
    <x v="3"/>
    <x v="11"/>
    <x v="0"/>
    <s v="20A"/>
    <s v="Whole Plate"/>
    <s v="Dolichospermum planctonicum "/>
    <b v="1"/>
    <n v="10"/>
    <n v="14.3333333333333"/>
    <m/>
    <n v="8.6"/>
    <n v="3.1819999999999999E-3"/>
    <n v="8.6"/>
    <n v="3.1819999999999999E-3"/>
    <m/>
  </r>
  <r>
    <s v="5545.5"/>
    <x v="3"/>
    <x v="11"/>
    <x v="0"/>
    <s v="20A"/>
    <s v="Whole Plate"/>
    <s v="Microcystis sp. (large)"/>
    <b v="1"/>
    <n v="10"/>
    <n v="17"/>
    <m/>
    <n v="1.7"/>
    <n v="1.58202E-4"/>
    <n v="1.7"/>
    <n v="1.58202E-4"/>
    <s v="Microcystis spp._x000a_"/>
  </r>
  <r>
    <s v="5545.6"/>
    <x v="3"/>
    <x v="11"/>
    <x v="0"/>
    <s v="20A"/>
    <s v="Whole Plate"/>
    <s v="Pseudanabaena mucicola (rod)"/>
    <b v="0"/>
    <n v="10"/>
    <n v="22"/>
    <m/>
    <n v="4.4000000000000004"/>
    <n v="2.0239999999999999E-4"/>
    <n v="0"/>
    <n v="0"/>
    <m/>
  </r>
  <r>
    <s v="5545.7"/>
    <x v="3"/>
    <x v="11"/>
    <x v="0"/>
    <s v="20A"/>
    <s v="Whole Plate"/>
    <s v="Dolichospermum circinale"/>
    <b v="1"/>
    <n v="10"/>
    <n v="18.25"/>
    <m/>
    <n v="7.3"/>
    <n v="4.2021719999999997E-3"/>
    <n v="7.3"/>
    <n v="4.2021719999999997E-3"/>
    <m/>
  </r>
  <r>
    <s v="5545.8"/>
    <x v="3"/>
    <x v="11"/>
    <x v="0"/>
    <s v="20A"/>
    <s v="Whole Plate"/>
    <s v="Limnothrix cf planktonica"/>
    <b v="0"/>
    <n v="10"/>
    <n v="27"/>
    <m/>
    <n v="8.1"/>
    <n v="1.2717E-3"/>
    <n v="0"/>
    <n v="0"/>
    <m/>
  </r>
  <r>
    <s v="5537.1"/>
    <x v="4"/>
    <x v="12"/>
    <x v="0"/>
    <s v="20A"/>
    <s v="Whole Plate"/>
    <s v="Dolichospermum circinale"/>
    <b v="1"/>
    <n v="10"/>
    <n v="21.65"/>
    <n v="18"/>
    <n v="82.27"/>
    <n v="4.7357902799999997E-2"/>
    <n v="82.27"/>
    <n v="4.7357902799999997E-2"/>
    <m/>
  </r>
  <r>
    <s v="5537.2"/>
    <x v="4"/>
    <x v="12"/>
    <x v="0"/>
    <s v="20A"/>
    <s v="Whole Plate"/>
    <s v="Aphanocapsa delicatissima"/>
    <b v="0"/>
    <n v="10"/>
    <n v="58.1"/>
    <n v="56"/>
    <n v="441.56"/>
    <n v="4.4156000000000002E-5"/>
    <n v="0"/>
    <n v="0"/>
    <m/>
  </r>
  <r>
    <s v="5537.3"/>
    <x v="4"/>
    <x v="12"/>
    <x v="0"/>
    <s v="20A"/>
    <s v="Whole Plate"/>
    <s v="Dolichospermum planctonicum "/>
    <b v="1"/>
    <n v="10"/>
    <n v="36.615384615384599"/>
    <m/>
    <n v="47.6"/>
    <n v="1.7611999999999999E-2"/>
    <n v="47.6"/>
    <n v="1.7611999999999999E-2"/>
    <m/>
  </r>
  <r>
    <s v="5537.4"/>
    <x v="4"/>
    <x v="12"/>
    <x v="0"/>
    <s v="20A"/>
    <s v="Whole Plate"/>
    <s v="Woronichinia naegeliana"/>
    <b v="1"/>
    <n v="10"/>
    <n v="46"/>
    <m/>
    <n v="9.1999999999999993"/>
    <n v="0"/>
    <n v="9.1999999999999993"/>
    <n v="0"/>
    <m/>
  </r>
  <r>
    <s v="5537.5"/>
    <x v="4"/>
    <x v="12"/>
    <x v="0"/>
    <s v="20A"/>
    <s v="Whole Plate"/>
    <s v="Aphanocapsa holsatica"/>
    <b v="0"/>
    <n v="10"/>
    <n v="38"/>
    <m/>
    <n v="3.8"/>
    <n v="1.9E-6"/>
    <n v="0"/>
    <n v="0"/>
    <m/>
  </r>
  <r>
    <s v="5537.6"/>
    <x v="4"/>
    <x v="12"/>
    <x v="0"/>
    <s v="20A"/>
    <s v="Whole Plate"/>
    <s v="Dolichospermum sp"/>
    <b v="1"/>
    <n v="10"/>
    <n v="26.5"/>
    <m/>
    <n v="10.6"/>
    <n v="2.0140000000000002E-3"/>
    <n v="10.6"/>
    <n v="2.0140000000000002E-3"/>
    <m/>
  </r>
  <r>
    <s v="5537.7"/>
    <x v="4"/>
    <x v="12"/>
    <x v="0"/>
    <s v="20A"/>
    <s v="Whole Plate"/>
    <s v="Pseudanabaena limnetica (cylinder)"/>
    <b v="1"/>
    <n v="10"/>
    <n v="13.1666666666667"/>
    <m/>
    <n v="7.9"/>
    <n v="6.2410000000000005E-4"/>
    <n v="7.9"/>
    <n v="6.2410000000000005E-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AlertWarning" cacheId="43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8:D23" firstHeaderRow="1" firstDataRow="3" firstDataCol="2"/>
  <pivotFields count="16">
    <pivotField name="SampleId" compact="0" outline="0" defaultSubtotal="0"/>
    <pivotField name="Location" axis="axisRow" compact="0" outline="0" showAll="0" defaultSubtotal="0">
      <items count="5">
        <item x="0"/>
        <item x="1"/>
        <item x="2"/>
        <item x="3"/>
        <item x="4"/>
      </items>
    </pivotField>
    <pivotField name="Site" axis="axisRow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Dates" axis="axisCol" compact="0" outline="0" showAll="0" defaultSubtotal="0">
      <items count="1">
        <item x="0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compact="0" outline="0" defaultSubtotal="0"/>
    <pivotField name="TotalBioVolume" dataField="1" compact="0" outline="0" defaultSubtotal="0"/>
    <pivotField name="PotentiallyToxicCellMl" compact="0" outline="0" defaultSubtotal="0"/>
    <pivotField name="PotentiallyToxicBioVolume" dataField="1" compact="0" outline="0" defaultSubtotal="0"/>
    <pivotField name="ToxinCluster" compact="0" outline="0" defaultSubtotal="0"/>
  </pivotFields>
  <rowFields count="2">
    <field x="1"/>
    <field x="2"/>
  </rowFields>
  <rowItems count="13">
    <i>
      <x/>
      <x/>
    </i>
    <i>
      <x v="1"/>
      <x v="1"/>
    </i>
    <i r="1">
      <x v="2"/>
    </i>
    <i>
      <x v="2"/>
      <x v="3"/>
    </i>
    <i r="1">
      <x v="4"/>
    </i>
    <i r="1">
      <x v="5"/>
    </i>
    <i r="1">
      <x v="6"/>
    </i>
    <i r="1">
      <x v="7"/>
    </i>
    <i>
      <x v="3"/>
      <x v="8"/>
    </i>
    <i r="1">
      <x v="9"/>
    </i>
    <i r="1">
      <x v="10"/>
    </i>
    <i r="1">
      <x v="11"/>
    </i>
    <i>
      <x v="4"/>
      <x v="12"/>
    </i>
  </rowItems>
  <colFields count="2">
    <field x="3"/>
    <field x="-2"/>
  </colFields>
  <colItems count="2">
    <i>
      <x/>
      <x/>
    </i>
    <i r="1" i="1">
      <x v="1"/>
    </i>
  </colItems>
  <dataFields count="2">
    <dataField name="TotalBioVolume" fld="12" baseField="0" baseItem="0"/>
    <dataField name="PotentiallyToxicBioVolume" fld="14" baseField="0" baseItem="0"/>
  </dataField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CellsPermL" cacheId="37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8:D22" firstHeaderRow="1" firstDataRow="3" firstDataCol="2"/>
  <pivotFields count="16">
    <pivotField name="SampleId" compact="0" outline="0" defaultSubtotal="0"/>
    <pivotField name="Location" axis="axisRow" compact="0" outline="0" showAll="0" defaultSubtotal="0">
      <items count="4">
        <item x="0"/>
        <item x="1"/>
        <item x="2"/>
        <item x="3"/>
      </items>
    </pivotField>
    <pivotField name="Site"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name="Dates" axis="axisCol" compact="0" outline="0" showAll="0" defaultSubtotal="0">
      <items count="1">
        <item x="0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dataField="1" compact="0" outline="0" defaultSubtotal="0"/>
    <pivotField name="TotalBioVolume" compact="0" outline="0" defaultSubtotal="0"/>
    <pivotField name="PotentiallyToxicCellMl" compact="0" outline="0" defaultSubtotal="0"/>
    <pivotField name="PotentiallyToxicBioVolume" compact="0" outline="0" defaultSubtotal="0"/>
    <pivotField name="ToxinCluster" axis="axisCol" compact="0" outline="0" showAll="0" defaultSubtotal="0">
      <items count="2">
        <item m="1" x="1"/>
        <item x="0"/>
      </items>
    </pivotField>
  </pivotFields>
  <rowFields count="2">
    <field x="1"/>
    <field x="2"/>
  </rowFields>
  <rowItems count="12">
    <i>
      <x/>
      <x/>
    </i>
    <i>
      <x v="1"/>
      <x v="1"/>
    </i>
    <i r="1">
      <x v="2"/>
    </i>
    <i>
      <x v="2"/>
      <x v="3"/>
    </i>
    <i r="1">
      <x v="4"/>
    </i>
    <i r="1">
      <x v="5"/>
    </i>
    <i r="1">
      <x v="6"/>
    </i>
    <i r="1">
      <x v="7"/>
    </i>
    <i>
      <x v="3"/>
      <x v="8"/>
    </i>
    <i r="1">
      <x v="9"/>
    </i>
    <i r="1">
      <x v="10"/>
    </i>
    <i r="1">
      <x v="11"/>
    </i>
  </rowItems>
  <colFields count="2">
    <field x="3"/>
    <field x="15"/>
  </colFields>
  <colItems count="1">
    <i>
      <x/>
      <x v="1"/>
    </i>
  </colItems>
  <dataFields count="1">
    <dataField name="CellsPerMl" fld="11" baseField="0" baseItem="0"/>
  </dataField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AlertWarning" cacheId="30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37:C51" firstHeaderRow="1" firstDataRow="2" firstDataCol="2"/>
  <pivotFields count="16">
    <pivotField name="SampleId" compact="0" outline="0" defaultSubtotal="0"/>
    <pivotField name="Location" axis="axisRow" compact="0" outline="0" showAll="0" defaultSubtotal="0">
      <items count="5">
        <item x="0"/>
        <item x="1"/>
        <item x="2"/>
        <item x="3"/>
        <item x="4"/>
      </items>
    </pivotField>
    <pivotField name="Site" axis="axisRow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Dates" axis="axisCol" compact="0" outline="0" showAll="0" defaultSubtotal="0">
      <items count="1">
        <item x="0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compact="0" outline="0" defaultSubtotal="0"/>
    <pivotField name="TotalBioVolume" dataField="1" compact="0" outline="0" defaultSubtotal="0"/>
    <pivotField name="PotentiallyToxicCellMl" compact="0" outline="0" defaultSubtotal="0"/>
    <pivotField name="PotentiallyToxicBioVolume" compact="0" outline="0" defaultSubtotal="0"/>
    <pivotField name="ToxinCluster" compact="0" outline="0" defaultSubtotal="0"/>
  </pivotFields>
  <rowFields count="2">
    <field x="1"/>
    <field x="2"/>
  </rowFields>
  <rowItems count="13">
    <i>
      <x/>
      <x/>
    </i>
    <i>
      <x v="1"/>
      <x v="1"/>
    </i>
    <i r="1">
      <x v="2"/>
    </i>
    <i>
      <x v="2"/>
      <x v="3"/>
    </i>
    <i r="1">
      <x v="4"/>
    </i>
    <i r="1">
      <x v="5"/>
    </i>
    <i r="1">
      <x v="6"/>
    </i>
    <i r="1">
      <x v="7"/>
    </i>
    <i>
      <x v="3"/>
      <x v="8"/>
    </i>
    <i r="1">
      <x v="9"/>
    </i>
    <i r="1">
      <x v="10"/>
    </i>
    <i r="1">
      <x v="11"/>
    </i>
    <i>
      <x v="4"/>
      <x v="12"/>
    </i>
  </rowItems>
  <colFields count="1">
    <field x="3"/>
  </colFields>
  <colItems count="1">
    <i>
      <x/>
    </i>
  </colItems>
  <dataFields count="1">
    <dataField name="TotalBioVolume" fld="12" baseField="0" baseItem="0"/>
  </dataField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99" totalsRowShown="0">
  <autoFilter ref="A1:P99" xr:uid="{00000000-0009-0000-0100-000001000000}"/>
  <tableColumns count="16">
    <tableColumn id="1" xr3:uid="{00000000-0010-0000-0000-000001000000}" name="SampleId"/>
    <tableColumn id="2" xr3:uid="{00000000-0010-0000-0000-000002000000}" name="Location"/>
    <tableColumn id="3" xr3:uid="{00000000-0010-0000-0000-000003000000}" name="Site"/>
    <tableColumn id="4" xr3:uid="{00000000-0010-0000-0000-000004000000}" name="SampleDate"/>
    <tableColumn id="5" xr3:uid="{00000000-0010-0000-0000-000005000000}" name="MicroscopeType"/>
    <tableColumn id="6" xr3:uid="{00000000-0010-0000-0000-000006000000}" name="WholePlate"/>
    <tableColumn id="7" xr3:uid="{00000000-0010-0000-0000-000007000000}" name="Species"/>
    <tableColumn id="8" xr3:uid="{00000000-0010-0000-0000-000008000000}" name="IsSpeciesToxic"/>
    <tableColumn id="9" xr3:uid="{00000000-0010-0000-0000-000009000000}" name="VolumeInMillilitres"/>
    <tableColumn id="10" xr3:uid="{00000000-0010-0000-0000-00000A000000}" name="Average"/>
    <tableColumn id="11" xr3:uid="{00000000-0010-0000-0000-00000B000000}" name="NumberOfColonies"/>
    <tableColumn id="12" xr3:uid="{00000000-0010-0000-0000-00000C000000}" name="CellsPerMl"/>
    <tableColumn id="13" xr3:uid="{00000000-0010-0000-0000-00000D000000}" name="TotalBioVolume"/>
    <tableColumn id="14" xr3:uid="{00000000-0010-0000-0000-00000E000000}" name="PotentiallyToxicCellMl"/>
    <tableColumn id="15" xr3:uid="{00000000-0010-0000-0000-00000F000000}" name="PotentiallyToxicBioVolume"/>
    <tableColumn id="16" xr3:uid="{00000000-0010-0000-0000-000010000000}" name="ToxinClust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1" displayName="Table11" ref="A1:P21" totalsRowShown="0">
  <autoFilter ref="A1:P21" xr:uid="{00000000-0009-0000-0100-000002000000}"/>
  <tableColumns count="16">
    <tableColumn id="1" xr3:uid="{00000000-0010-0000-0100-000001000000}" name="SampleId"/>
    <tableColumn id="2" xr3:uid="{00000000-0010-0000-0100-000002000000}" name="Location"/>
    <tableColumn id="3" xr3:uid="{00000000-0010-0000-0100-000003000000}" name="Site"/>
    <tableColumn id="4" xr3:uid="{00000000-0010-0000-0100-000004000000}" name="SampleDate"/>
    <tableColumn id="5" xr3:uid="{00000000-0010-0000-0100-000005000000}" name="MicroscopeType"/>
    <tableColumn id="6" xr3:uid="{00000000-0010-0000-0100-000006000000}" name="WholePlate"/>
    <tableColumn id="7" xr3:uid="{00000000-0010-0000-0100-000007000000}" name="Species"/>
    <tableColumn id="8" xr3:uid="{00000000-0010-0000-0100-000008000000}" name="IsSpeciesToxic"/>
    <tableColumn id="9" xr3:uid="{00000000-0010-0000-0100-000009000000}" name="VolumeInMillilitres"/>
    <tableColumn id="10" xr3:uid="{00000000-0010-0000-0100-00000A000000}" name="Average"/>
    <tableColumn id="11" xr3:uid="{00000000-0010-0000-0100-00000B000000}" name="NumberOfColonies"/>
    <tableColumn id="12" xr3:uid="{00000000-0010-0000-0100-00000C000000}" name="CellsPerMl"/>
    <tableColumn id="13" xr3:uid="{00000000-0010-0000-0100-00000D000000}" name="TotalBioVolume"/>
    <tableColumn id="14" xr3:uid="{00000000-0010-0000-0100-00000E000000}" name="PotentiallyToxicCellMl"/>
    <tableColumn id="15" xr3:uid="{00000000-0010-0000-0100-00000F000000}" name="PotentiallyToxicBioVolume"/>
    <tableColumn id="16" xr3:uid="{00000000-0010-0000-0100-000010000000}" name="ToxinClus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9"/>
  <sheetViews>
    <sheetView workbookViewId="0"/>
  </sheetViews>
  <sheetFormatPr defaultRowHeight="14.5" x14ac:dyDescent="0.35"/>
  <cols>
    <col min="1" max="1" width="12.453125" customWidth="1"/>
    <col min="2" max="2" width="11.81640625" customWidth="1"/>
    <col min="3" max="3" width="13.81640625" customWidth="1"/>
    <col min="4" max="4" width="14.81640625" customWidth="1"/>
    <col min="5" max="5" width="18.6328125" customWidth="1"/>
    <col min="6" max="6" width="14.453125" customWidth="1"/>
    <col min="7" max="7" width="32.1796875" customWidth="1"/>
    <col min="8" max="8" width="16.6328125" customWidth="1"/>
    <col min="9" max="9" width="20.7265625" customWidth="1"/>
    <col min="10" max="10" width="18.26953125" customWidth="1"/>
    <col min="11" max="11" width="20.81640625" customWidth="1"/>
    <col min="12" max="12" width="18.26953125" customWidth="1"/>
    <col min="13" max="13" width="22.54296875" customWidth="1"/>
    <col min="14" max="14" width="23.453125" customWidth="1"/>
    <col min="15" max="15" width="27.36328125" customWidth="1"/>
    <col min="16" max="16" width="15.179687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29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b">
        <v>1</v>
      </c>
      <c r="I2">
        <v>10</v>
      </c>
      <c r="J2">
        <v>45.25</v>
      </c>
      <c r="L2">
        <v>36.200000000000003</v>
      </c>
      <c r="M2">
        <v>6.8899460000000001E-3</v>
      </c>
      <c r="N2">
        <v>36.200000000000003</v>
      </c>
      <c r="O2">
        <v>6.8899460000000001E-3</v>
      </c>
      <c r="P2" s="1" t="s">
        <v>23</v>
      </c>
    </row>
    <row r="3" spans="1:16" x14ac:dyDescent="0.35">
      <c r="A3" t="s">
        <v>24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25</v>
      </c>
      <c r="H3" t="b">
        <v>1</v>
      </c>
      <c r="I3">
        <v>10</v>
      </c>
      <c r="J3">
        <v>23.5</v>
      </c>
      <c r="L3">
        <v>9.4</v>
      </c>
      <c r="M3">
        <v>5.4110160000000003E-3</v>
      </c>
      <c r="N3">
        <v>9.4</v>
      </c>
      <c r="O3">
        <v>5.4110160000000003E-3</v>
      </c>
    </row>
    <row r="4" spans="1:16" x14ac:dyDescent="0.35">
      <c r="A4" t="s">
        <v>26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27</v>
      </c>
      <c r="H4" t="b">
        <v>0</v>
      </c>
      <c r="I4">
        <v>10</v>
      </c>
      <c r="J4">
        <v>41.3</v>
      </c>
      <c r="K4">
        <v>14</v>
      </c>
      <c r="L4">
        <v>140.41999999999999</v>
      </c>
      <c r="M4">
        <v>7.0209999999999994E-5</v>
      </c>
      <c r="N4">
        <v>0</v>
      </c>
      <c r="O4">
        <v>0</v>
      </c>
    </row>
    <row r="5" spans="1:16" x14ac:dyDescent="0.35">
      <c r="A5" t="s">
        <v>28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29</v>
      </c>
      <c r="H5" t="b">
        <v>0</v>
      </c>
      <c r="I5">
        <v>10</v>
      </c>
      <c r="J5">
        <v>69.3333333333333</v>
      </c>
      <c r="L5">
        <v>104</v>
      </c>
      <c r="M5">
        <v>1.04E-5</v>
      </c>
      <c r="N5">
        <v>0</v>
      </c>
      <c r="O5">
        <v>0</v>
      </c>
    </row>
    <row r="6" spans="1:16" x14ac:dyDescent="0.35">
      <c r="A6" t="s">
        <v>30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31</v>
      </c>
      <c r="H6" t="b">
        <v>1</v>
      </c>
      <c r="I6">
        <v>10</v>
      </c>
      <c r="J6">
        <v>19.5</v>
      </c>
      <c r="L6">
        <v>7.8</v>
      </c>
      <c r="M6">
        <v>7.2805199999999997E-4</v>
      </c>
      <c r="N6">
        <v>7.8</v>
      </c>
      <c r="O6">
        <v>7.2805199999999997E-4</v>
      </c>
    </row>
    <row r="7" spans="1:16" x14ac:dyDescent="0.35">
      <c r="A7" t="s">
        <v>32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33</v>
      </c>
      <c r="H7" t="b">
        <v>1</v>
      </c>
      <c r="I7">
        <v>10</v>
      </c>
      <c r="J7">
        <v>20.714285714285701</v>
      </c>
      <c r="L7">
        <v>14.5</v>
      </c>
      <c r="M7">
        <v>5.365E-3</v>
      </c>
      <c r="N7">
        <v>14.5</v>
      </c>
      <c r="O7">
        <v>5.365E-3</v>
      </c>
    </row>
    <row r="8" spans="1:16" ht="29" x14ac:dyDescent="0.35">
      <c r="A8" t="s">
        <v>34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35</v>
      </c>
      <c r="H8" t="b">
        <v>1</v>
      </c>
      <c r="I8">
        <v>10</v>
      </c>
      <c r="J8">
        <v>38.3333333333333</v>
      </c>
      <c r="L8">
        <v>34.5</v>
      </c>
      <c r="M8">
        <v>3.2105699999999998E-3</v>
      </c>
      <c r="N8">
        <v>34.5</v>
      </c>
      <c r="O8">
        <v>3.2105699999999998E-3</v>
      </c>
      <c r="P8" s="1" t="s">
        <v>23</v>
      </c>
    </row>
    <row r="9" spans="1:16" x14ac:dyDescent="0.35">
      <c r="A9" t="s">
        <v>36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t="s">
        <v>37</v>
      </c>
      <c r="H9" t="b">
        <v>1</v>
      </c>
      <c r="I9">
        <v>10</v>
      </c>
      <c r="J9">
        <v>25</v>
      </c>
      <c r="L9">
        <v>2.5</v>
      </c>
      <c r="M9">
        <v>2.7500000000000002E-4</v>
      </c>
      <c r="N9">
        <v>2.5</v>
      </c>
      <c r="O9">
        <v>2.7500000000000002E-4</v>
      </c>
    </row>
    <row r="10" spans="1:16" x14ac:dyDescent="0.35">
      <c r="A10" t="s">
        <v>38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 t="s">
        <v>39</v>
      </c>
      <c r="H10" t="b">
        <v>0</v>
      </c>
      <c r="I10">
        <v>10</v>
      </c>
      <c r="J10">
        <v>11.5</v>
      </c>
      <c r="L10">
        <v>2.2999999999999998</v>
      </c>
      <c r="M10">
        <v>1.058E-4</v>
      </c>
      <c r="N10">
        <v>0</v>
      </c>
      <c r="O10">
        <v>0</v>
      </c>
    </row>
    <row r="11" spans="1:16" ht="29" x14ac:dyDescent="0.35">
      <c r="A11" t="s">
        <v>40</v>
      </c>
      <c r="B11" t="s">
        <v>41</v>
      </c>
      <c r="C11" t="s">
        <v>42</v>
      </c>
      <c r="D11" t="s">
        <v>19</v>
      </c>
      <c r="E11" t="s">
        <v>20</v>
      </c>
      <c r="F11" t="s">
        <v>43</v>
      </c>
      <c r="G11" t="s">
        <v>44</v>
      </c>
      <c r="H11" t="b">
        <v>1</v>
      </c>
      <c r="I11">
        <v>10</v>
      </c>
      <c r="J11">
        <v>12.15</v>
      </c>
      <c r="K11">
        <v>19</v>
      </c>
      <c r="L11">
        <v>1488.64584375</v>
      </c>
      <c r="M11">
        <v>0.12951218840625001</v>
      </c>
      <c r="N11">
        <v>1488.64584375</v>
      </c>
      <c r="O11">
        <v>0.12951218840625001</v>
      </c>
      <c r="P11" s="1" t="s">
        <v>23</v>
      </c>
    </row>
    <row r="12" spans="1:16" x14ac:dyDescent="0.35">
      <c r="A12" t="s">
        <v>45</v>
      </c>
      <c r="B12" t="s">
        <v>41</v>
      </c>
      <c r="C12" t="s">
        <v>42</v>
      </c>
      <c r="D12" t="s">
        <v>19</v>
      </c>
      <c r="E12" t="s">
        <v>20</v>
      </c>
      <c r="F12" t="s">
        <v>43</v>
      </c>
      <c r="G12" t="s">
        <v>29</v>
      </c>
      <c r="H12" t="b">
        <v>0</v>
      </c>
      <c r="I12">
        <v>10</v>
      </c>
      <c r="J12">
        <v>86.5</v>
      </c>
      <c r="L12">
        <v>2173.9852777777801</v>
      </c>
      <c r="M12">
        <v>2.1739852777777799E-4</v>
      </c>
      <c r="N12">
        <v>0</v>
      </c>
      <c r="O12">
        <v>0</v>
      </c>
    </row>
    <row r="13" spans="1:16" x14ac:dyDescent="0.35">
      <c r="A13" t="s">
        <v>46</v>
      </c>
      <c r="B13" t="s">
        <v>41</v>
      </c>
      <c r="C13" t="s">
        <v>42</v>
      </c>
      <c r="D13" t="s">
        <v>19</v>
      </c>
      <c r="E13" t="s">
        <v>20</v>
      </c>
      <c r="F13" t="s">
        <v>43</v>
      </c>
      <c r="G13" t="s">
        <v>33</v>
      </c>
      <c r="H13" t="b">
        <v>1</v>
      </c>
      <c r="I13">
        <v>10</v>
      </c>
      <c r="J13">
        <v>21.5</v>
      </c>
      <c r="L13">
        <v>135.08868055555601</v>
      </c>
      <c r="M13">
        <v>4.9982811805555701E-2</v>
      </c>
      <c r="N13">
        <v>135.08868055555601</v>
      </c>
      <c r="O13">
        <v>4.9982811805555701E-2</v>
      </c>
    </row>
    <row r="14" spans="1:16" x14ac:dyDescent="0.35">
      <c r="A14" t="s">
        <v>47</v>
      </c>
      <c r="B14" t="s">
        <v>41</v>
      </c>
      <c r="C14" t="s">
        <v>42</v>
      </c>
      <c r="D14" t="s">
        <v>19</v>
      </c>
      <c r="E14" t="s">
        <v>20</v>
      </c>
      <c r="F14" t="s">
        <v>43</v>
      </c>
      <c r="G14" t="s">
        <v>48</v>
      </c>
      <c r="H14" t="b">
        <v>1</v>
      </c>
      <c r="I14">
        <v>10</v>
      </c>
      <c r="J14">
        <v>8</v>
      </c>
      <c r="L14">
        <v>25.1327777777778</v>
      </c>
      <c r="M14">
        <v>1.98548944444445E-3</v>
      </c>
      <c r="N14">
        <v>25.1327777777778</v>
      </c>
      <c r="O14">
        <v>1.98548944444445E-3</v>
      </c>
    </row>
    <row r="15" spans="1:16" x14ac:dyDescent="0.35">
      <c r="A15" t="s">
        <v>49</v>
      </c>
      <c r="B15" t="s">
        <v>41</v>
      </c>
      <c r="C15" t="s">
        <v>42</v>
      </c>
      <c r="D15" t="s">
        <v>19</v>
      </c>
      <c r="E15" t="s">
        <v>20</v>
      </c>
      <c r="F15" t="s">
        <v>43</v>
      </c>
      <c r="G15" t="s">
        <v>50</v>
      </c>
      <c r="H15" t="b">
        <v>1</v>
      </c>
      <c r="I15">
        <v>10</v>
      </c>
      <c r="J15">
        <v>13</v>
      </c>
      <c r="L15">
        <v>40.840763888888901</v>
      </c>
      <c r="M15">
        <v>0.1104538459375</v>
      </c>
      <c r="N15">
        <v>40.840763888888901</v>
      </c>
      <c r="O15">
        <v>0.1104538459375</v>
      </c>
    </row>
    <row r="16" spans="1:16" ht="29" x14ac:dyDescent="0.35">
      <c r="A16" t="s">
        <v>51</v>
      </c>
      <c r="B16" t="s">
        <v>41</v>
      </c>
      <c r="C16" t="s">
        <v>52</v>
      </c>
      <c r="D16" t="s">
        <v>19</v>
      </c>
      <c r="E16" t="s">
        <v>20</v>
      </c>
      <c r="F16" t="s">
        <v>53</v>
      </c>
      <c r="G16" t="s">
        <v>44</v>
      </c>
      <c r="H16" t="b">
        <v>1</v>
      </c>
      <c r="I16">
        <v>10</v>
      </c>
      <c r="J16">
        <v>28.8</v>
      </c>
      <c r="K16">
        <v>344</v>
      </c>
      <c r="L16">
        <v>105388.77439999999</v>
      </c>
      <c r="M16">
        <v>9.1688233728000004</v>
      </c>
      <c r="N16">
        <v>105388.77439999999</v>
      </c>
      <c r="O16">
        <v>9.1688233728000004</v>
      </c>
      <c r="P16" s="1" t="s">
        <v>23</v>
      </c>
    </row>
    <row r="17" spans="1:16" x14ac:dyDescent="0.35">
      <c r="A17" t="s">
        <v>54</v>
      </c>
      <c r="B17" t="s">
        <v>41</v>
      </c>
      <c r="C17" t="s">
        <v>52</v>
      </c>
      <c r="D17" t="s">
        <v>19</v>
      </c>
      <c r="E17" t="s">
        <v>20</v>
      </c>
      <c r="F17" t="s">
        <v>53</v>
      </c>
      <c r="G17" t="s">
        <v>31</v>
      </c>
      <c r="H17" t="b">
        <v>1</v>
      </c>
      <c r="I17">
        <v>10</v>
      </c>
      <c r="J17">
        <v>25.1</v>
      </c>
      <c r="L17">
        <v>2523.3308888888901</v>
      </c>
      <c r="M17">
        <v>0.23552770516888899</v>
      </c>
      <c r="N17">
        <v>2523.3308888888901</v>
      </c>
      <c r="O17">
        <v>0.23552770516888899</v>
      </c>
    </row>
    <row r="18" spans="1:16" x14ac:dyDescent="0.35">
      <c r="A18" t="s">
        <v>55</v>
      </c>
      <c r="B18" t="s">
        <v>41</v>
      </c>
      <c r="C18" t="s">
        <v>52</v>
      </c>
      <c r="D18" t="s">
        <v>19</v>
      </c>
      <c r="E18" t="s">
        <v>20</v>
      </c>
      <c r="F18" t="s">
        <v>53</v>
      </c>
      <c r="G18" t="s">
        <v>56</v>
      </c>
      <c r="H18" t="b">
        <v>0</v>
      </c>
      <c r="I18">
        <v>10</v>
      </c>
      <c r="J18">
        <v>36</v>
      </c>
      <c r="L18">
        <v>361.91199999999998</v>
      </c>
      <c r="M18">
        <v>3.2173976800000002E-3</v>
      </c>
      <c r="N18">
        <v>0</v>
      </c>
      <c r="O18">
        <v>0</v>
      </c>
    </row>
    <row r="19" spans="1:16" x14ac:dyDescent="0.35">
      <c r="A19" t="s">
        <v>57</v>
      </c>
      <c r="B19" t="s">
        <v>41</v>
      </c>
      <c r="C19" t="s">
        <v>52</v>
      </c>
      <c r="D19" t="s">
        <v>19</v>
      </c>
      <c r="E19" t="s">
        <v>20</v>
      </c>
      <c r="F19" t="s">
        <v>53</v>
      </c>
      <c r="G19" t="s">
        <v>58</v>
      </c>
      <c r="H19" t="b">
        <v>1</v>
      </c>
      <c r="I19">
        <v>10</v>
      </c>
      <c r="J19">
        <v>17.2</v>
      </c>
      <c r="L19">
        <v>864.56755555555503</v>
      </c>
      <c r="M19">
        <v>0.16426783555555599</v>
      </c>
      <c r="N19">
        <v>864.56755555555605</v>
      </c>
      <c r="O19">
        <v>0.16426783555555599</v>
      </c>
    </row>
    <row r="20" spans="1:16" x14ac:dyDescent="0.35">
      <c r="A20" t="s">
        <v>59</v>
      </c>
      <c r="B20" t="s">
        <v>41</v>
      </c>
      <c r="C20" t="s">
        <v>52</v>
      </c>
      <c r="D20" t="s">
        <v>19</v>
      </c>
      <c r="E20" t="s">
        <v>20</v>
      </c>
      <c r="F20" t="s">
        <v>53</v>
      </c>
      <c r="G20" t="s">
        <v>33</v>
      </c>
      <c r="H20" t="b">
        <v>1</v>
      </c>
      <c r="I20">
        <v>10</v>
      </c>
      <c r="J20">
        <v>14.5</v>
      </c>
      <c r="L20">
        <v>291.54022222222198</v>
      </c>
      <c r="M20">
        <v>0.107869882222222</v>
      </c>
      <c r="N20">
        <v>291.54022222222198</v>
      </c>
      <c r="O20">
        <v>0.107869882222222</v>
      </c>
    </row>
    <row r="21" spans="1:16" x14ac:dyDescent="0.35">
      <c r="A21" t="s">
        <v>60</v>
      </c>
      <c r="B21" t="s">
        <v>61</v>
      </c>
      <c r="C21" t="s">
        <v>62</v>
      </c>
      <c r="D21" t="s">
        <v>19</v>
      </c>
      <c r="E21" t="s">
        <v>20</v>
      </c>
      <c r="F21" t="s">
        <v>21</v>
      </c>
      <c r="G21" t="s">
        <v>27</v>
      </c>
      <c r="H21" t="b">
        <v>0</v>
      </c>
      <c r="I21">
        <v>10</v>
      </c>
      <c r="J21">
        <v>26.7</v>
      </c>
      <c r="K21">
        <v>503</v>
      </c>
      <c r="L21">
        <v>1396.41</v>
      </c>
      <c r="M21">
        <v>6.9820500000000003E-4</v>
      </c>
      <c r="N21">
        <v>0</v>
      </c>
      <c r="O21">
        <v>0</v>
      </c>
    </row>
    <row r="22" spans="1:16" x14ac:dyDescent="0.35">
      <c r="A22" t="s">
        <v>63</v>
      </c>
      <c r="B22" t="s">
        <v>61</v>
      </c>
      <c r="C22" t="s">
        <v>62</v>
      </c>
      <c r="D22" t="s">
        <v>19</v>
      </c>
      <c r="E22" t="s">
        <v>20</v>
      </c>
      <c r="F22" t="s">
        <v>21</v>
      </c>
      <c r="G22" t="s">
        <v>25</v>
      </c>
      <c r="H22" t="b">
        <v>1</v>
      </c>
      <c r="I22">
        <v>10</v>
      </c>
      <c r="J22">
        <v>23.6666666666667</v>
      </c>
      <c r="L22">
        <v>7.1</v>
      </c>
      <c r="M22">
        <v>4.0870439999999997E-3</v>
      </c>
      <c r="N22">
        <v>7.1</v>
      </c>
      <c r="O22">
        <v>4.0870439999999997E-3</v>
      </c>
    </row>
    <row r="23" spans="1:16" x14ac:dyDescent="0.35">
      <c r="A23" t="s">
        <v>64</v>
      </c>
      <c r="B23" t="s">
        <v>61</v>
      </c>
      <c r="C23" t="s">
        <v>62</v>
      </c>
      <c r="D23" t="s">
        <v>19</v>
      </c>
      <c r="E23" t="s">
        <v>20</v>
      </c>
      <c r="F23" t="s">
        <v>21</v>
      </c>
      <c r="G23" t="s">
        <v>29</v>
      </c>
      <c r="H23" t="b">
        <v>0</v>
      </c>
      <c r="I23">
        <v>10</v>
      </c>
      <c r="J23">
        <v>68.650000000000006</v>
      </c>
      <c r="K23">
        <v>209</v>
      </c>
      <c r="L23">
        <v>1572.085</v>
      </c>
      <c r="M23">
        <v>1.572085E-4</v>
      </c>
      <c r="N23">
        <v>0</v>
      </c>
      <c r="O23">
        <v>0</v>
      </c>
    </row>
    <row r="24" spans="1:16" x14ac:dyDescent="0.35">
      <c r="A24" t="s">
        <v>65</v>
      </c>
      <c r="B24" t="s">
        <v>61</v>
      </c>
      <c r="C24" t="s">
        <v>62</v>
      </c>
      <c r="D24" t="s">
        <v>19</v>
      </c>
      <c r="E24" t="s">
        <v>20</v>
      </c>
      <c r="F24" t="s">
        <v>21</v>
      </c>
      <c r="G24" t="s">
        <v>33</v>
      </c>
      <c r="H24" t="b">
        <v>1</v>
      </c>
      <c r="I24">
        <v>10</v>
      </c>
      <c r="J24">
        <v>29</v>
      </c>
      <c r="L24">
        <v>2.9</v>
      </c>
      <c r="M24">
        <v>1.073E-3</v>
      </c>
      <c r="N24">
        <v>2.9</v>
      </c>
      <c r="O24">
        <v>1.073E-3</v>
      </c>
    </row>
    <row r="25" spans="1:16" x14ac:dyDescent="0.35">
      <c r="A25" t="s">
        <v>66</v>
      </c>
      <c r="B25" t="s">
        <v>61</v>
      </c>
      <c r="C25" t="s">
        <v>62</v>
      </c>
      <c r="D25" t="s">
        <v>19</v>
      </c>
      <c r="E25" t="s">
        <v>20</v>
      </c>
      <c r="F25" t="s">
        <v>21</v>
      </c>
      <c r="G25" t="s">
        <v>48</v>
      </c>
      <c r="H25" t="b">
        <v>1</v>
      </c>
      <c r="I25">
        <v>10</v>
      </c>
      <c r="J25">
        <v>9.3333333333333304</v>
      </c>
      <c r="L25">
        <v>2.8</v>
      </c>
      <c r="M25">
        <v>2.2120000000000001E-4</v>
      </c>
      <c r="N25">
        <v>2.8</v>
      </c>
      <c r="O25">
        <v>2.2120000000000001E-4</v>
      </c>
    </row>
    <row r="26" spans="1:16" x14ac:dyDescent="0.35">
      <c r="A26" t="s">
        <v>67</v>
      </c>
      <c r="B26" t="s">
        <v>61</v>
      </c>
      <c r="C26" t="s">
        <v>62</v>
      </c>
      <c r="D26" t="s">
        <v>19</v>
      </c>
      <c r="E26" t="s">
        <v>20</v>
      </c>
      <c r="F26" t="s">
        <v>21</v>
      </c>
      <c r="G26" t="s">
        <v>37</v>
      </c>
      <c r="H26" t="b">
        <v>1</v>
      </c>
      <c r="I26">
        <v>10</v>
      </c>
      <c r="J26">
        <v>23.75</v>
      </c>
      <c r="L26">
        <v>9.5</v>
      </c>
      <c r="M26">
        <v>1.0449999999999999E-3</v>
      </c>
      <c r="N26">
        <v>9.5</v>
      </c>
      <c r="O26">
        <v>1.0449999999999999E-3</v>
      </c>
    </row>
    <row r="27" spans="1:16" x14ac:dyDescent="0.35">
      <c r="A27" t="s">
        <v>68</v>
      </c>
      <c r="B27" t="s">
        <v>61</v>
      </c>
      <c r="C27" t="s">
        <v>62</v>
      </c>
      <c r="D27" t="s">
        <v>19</v>
      </c>
      <c r="E27" t="s">
        <v>20</v>
      </c>
      <c r="F27" t="s">
        <v>21</v>
      </c>
      <c r="G27" t="s">
        <v>58</v>
      </c>
      <c r="H27" t="b">
        <v>1</v>
      </c>
      <c r="I27">
        <v>10</v>
      </c>
      <c r="J27">
        <v>20</v>
      </c>
      <c r="L27">
        <v>2</v>
      </c>
      <c r="M27">
        <v>3.8000000000000002E-4</v>
      </c>
      <c r="N27">
        <v>2</v>
      </c>
      <c r="O27">
        <v>3.8000000000000002E-4</v>
      </c>
    </row>
    <row r="28" spans="1:16" ht="29" x14ac:dyDescent="0.35">
      <c r="A28" t="s">
        <v>69</v>
      </c>
      <c r="B28" t="s">
        <v>61</v>
      </c>
      <c r="C28" t="s">
        <v>62</v>
      </c>
      <c r="D28" t="s">
        <v>19</v>
      </c>
      <c r="E28" t="s">
        <v>20</v>
      </c>
      <c r="F28" t="s">
        <v>21</v>
      </c>
      <c r="G28" t="s">
        <v>22</v>
      </c>
      <c r="H28" t="b">
        <v>1</v>
      </c>
      <c r="I28">
        <v>10</v>
      </c>
      <c r="J28">
        <v>27</v>
      </c>
      <c r="L28">
        <v>8.1</v>
      </c>
      <c r="M28">
        <v>1.5416729999999999E-3</v>
      </c>
      <c r="N28">
        <v>8.1</v>
      </c>
      <c r="O28">
        <v>1.5416729999999999E-3</v>
      </c>
      <c r="P28" s="1" t="s">
        <v>23</v>
      </c>
    </row>
    <row r="29" spans="1:16" x14ac:dyDescent="0.35">
      <c r="A29" t="s">
        <v>70</v>
      </c>
      <c r="B29" t="s">
        <v>61</v>
      </c>
      <c r="C29" t="s">
        <v>62</v>
      </c>
      <c r="D29" t="s">
        <v>19</v>
      </c>
      <c r="E29" t="s">
        <v>20</v>
      </c>
      <c r="F29" t="s">
        <v>21</v>
      </c>
      <c r="G29" t="s">
        <v>31</v>
      </c>
      <c r="H29" t="b">
        <v>1</v>
      </c>
      <c r="I29">
        <v>10</v>
      </c>
      <c r="J29">
        <v>48</v>
      </c>
      <c r="L29">
        <v>4.8</v>
      </c>
      <c r="M29">
        <v>4.4803200000000001E-4</v>
      </c>
      <c r="N29">
        <v>4.8</v>
      </c>
      <c r="O29">
        <v>4.4803200000000001E-4</v>
      </c>
    </row>
    <row r="30" spans="1:16" x14ac:dyDescent="0.35">
      <c r="A30" t="s">
        <v>71</v>
      </c>
      <c r="B30" t="s">
        <v>61</v>
      </c>
      <c r="C30" t="s">
        <v>62</v>
      </c>
      <c r="D30" t="s">
        <v>19</v>
      </c>
      <c r="E30" t="s">
        <v>20</v>
      </c>
      <c r="F30" t="s">
        <v>21</v>
      </c>
      <c r="G30" t="s">
        <v>39</v>
      </c>
      <c r="H30" t="b">
        <v>0</v>
      </c>
      <c r="I30">
        <v>10</v>
      </c>
      <c r="J30">
        <v>11</v>
      </c>
      <c r="L30">
        <v>2.2000000000000002</v>
      </c>
      <c r="M30">
        <v>1.0119999999999999E-4</v>
      </c>
      <c r="N30">
        <v>0</v>
      </c>
      <c r="O30">
        <v>0</v>
      </c>
    </row>
    <row r="31" spans="1:16" ht="29" x14ac:dyDescent="0.35">
      <c r="A31" t="s">
        <v>72</v>
      </c>
      <c r="B31" t="s">
        <v>61</v>
      </c>
      <c r="C31" t="s">
        <v>73</v>
      </c>
      <c r="D31" t="s">
        <v>19</v>
      </c>
      <c r="E31" t="s">
        <v>20</v>
      </c>
      <c r="F31" t="s">
        <v>43</v>
      </c>
      <c r="G31" t="s">
        <v>35</v>
      </c>
      <c r="H31" t="b">
        <v>1</v>
      </c>
      <c r="I31">
        <v>10</v>
      </c>
      <c r="J31">
        <v>24.5</v>
      </c>
      <c r="L31">
        <v>307.87652777777799</v>
      </c>
      <c r="M31">
        <v>2.8650989674999999E-2</v>
      </c>
      <c r="N31">
        <v>307.87652777777799</v>
      </c>
      <c r="O31">
        <v>2.8650989674999999E-2</v>
      </c>
      <c r="P31" s="1" t="s">
        <v>23</v>
      </c>
    </row>
    <row r="32" spans="1:16" x14ac:dyDescent="0.35">
      <c r="A32" t="s">
        <v>74</v>
      </c>
      <c r="B32" t="s">
        <v>61</v>
      </c>
      <c r="C32" t="s">
        <v>73</v>
      </c>
      <c r="D32" t="s">
        <v>19</v>
      </c>
      <c r="E32" t="s">
        <v>20</v>
      </c>
      <c r="F32" t="s">
        <v>43</v>
      </c>
      <c r="G32" t="s">
        <v>27</v>
      </c>
      <c r="H32" t="b">
        <v>0</v>
      </c>
      <c r="I32">
        <v>10</v>
      </c>
      <c r="J32">
        <v>5.3333333333333304</v>
      </c>
      <c r="L32">
        <v>50.265555555555601</v>
      </c>
      <c r="M32">
        <v>2.51327777777778E-5</v>
      </c>
      <c r="N32">
        <v>0</v>
      </c>
      <c r="O32">
        <v>0</v>
      </c>
    </row>
    <row r="33" spans="1:16" x14ac:dyDescent="0.35">
      <c r="A33" t="s">
        <v>75</v>
      </c>
      <c r="B33" t="s">
        <v>61</v>
      </c>
      <c r="C33" t="s">
        <v>73</v>
      </c>
      <c r="D33" t="s">
        <v>19</v>
      </c>
      <c r="E33" t="s">
        <v>20</v>
      </c>
      <c r="F33" t="s">
        <v>43</v>
      </c>
      <c r="G33" t="s">
        <v>37</v>
      </c>
      <c r="H33" t="b">
        <v>1</v>
      </c>
      <c r="I33">
        <v>10</v>
      </c>
      <c r="J33">
        <v>18.1428571428571</v>
      </c>
      <c r="L33">
        <v>398.98284722222201</v>
      </c>
      <c r="M33">
        <v>4.3888113194444398E-2</v>
      </c>
      <c r="N33">
        <v>398.98284722222201</v>
      </c>
      <c r="O33">
        <v>4.3888113194444398E-2</v>
      </c>
    </row>
    <row r="34" spans="1:16" x14ac:dyDescent="0.35">
      <c r="A34" t="s">
        <v>76</v>
      </c>
      <c r="B34" t="s">
        <v>61</v>
      </c>
      <c r="C34" t="s">
        <v>73</v>
      </c>
      <c r="D34" t="s">
        <v>19</v>
      </c>
      <c r="E34" t="s">
        <v>20</v>
      </c>
      <c r="F34" t="s">
        <v>43</v>
      </c>
      <c r="G34" t="s">
        <v>29</v>
      </c>
      <c r="H34" t="b">
        <v>0</v>
      </c>
      <c r="I34">
        <v>10</v>
      </c>
      <c r="J34">
        <v>74.5</v>
      </c>
      <c r="L34">
        <v>936.19597222222205</v>
      </c>
      <c r="M34">
        <v>9.3619597222222196E-5</v>
      </c>
      <c r="N34">
        <v>0</v>
      </c>
      <c r="O34">
        <v>0</v>
      </c>
    </row>
    <row r="35" spans="1:16" x14ac:dyDescent="0.35">
      <c r="A35" t="s">
        <v>77</v>
      </c>
      <c r="B35" t="s">
        <v>61</v>
      </c>
      <c r="C35" t="s">
        <v>73</v>
      </c>
      <c r="D35" t="s">
        <v>19</v>
      </c>
      <c r="E35" t="s">
        <v>20</v>
      </c>
      <c r="F35" t="s">
        <v>43</v>
      </c>
      <c r="G35" t="s">
        <v>39</v>
      </c>
      <c r="H35" t="b">
        <v>0</v>
      </c>
      <c r="I35">
        <v>10</v>
      </c>
      <c r="J35">
        <v>7</v>
      </c>
      <c r="L35">
        <v>43.982361111111103</v>
      </c>
      <c r="M35">
        <v>2.02318861111111E-3</v>
      </c>
      <c r="N35">
        <v>0</v>
      </c>
      <c r="O35">
        <v>0</v>
      </c>
    </row>
    <row r="36" spans="1:16" ht="29" x14ac:dyDescent="0.35">
      <c r="A36" t="s">
        <v>78</v>
      </c>
      <c r="B36" t="s">
        <v>61</v>
      </c>
      <c r="C36" t="s">
        <v>73</v>
      </c>
      <c r="D36" t="s">
        <v>19</v>
      </c>
      <c r="E36" t="s">
        <v>20</v>
      </c>
      <c r="F36" t="s">
        <v>43</v>
      </c>
      <c r="G36" t="s">
        <v>22</v>
      </c>
      <c r="H36" t="b">
        <v>1</v>
      </c>
      <c r="I36">
        <v>10</v>
      </c>
      <c r="J36">
        <v>36</v>
      </c>
      <c r="L36">
        <v>113.0975</v>
      </c>
      <c r="M36">
        <v>2.1525847175000001E-2</v>
      </c>
      <c r="N36">
        <v>113.0975</v>
      </c>
      <c r="O36">
        <v>2.1525847175000001E-2</v>
      </c>
      <c r="P36" s="1" t="s">
        <v>23</v>
      </c>
    </row>
    <row r="37" spans="1:16" x14ac:dyDescent="0.35">
      <c r="A37" t="s">
        <v>79</v>
      </c>
      <c r="B37" t="s">
        <v>61</v>
      </c>
      <c r="C37" t="s">
        <v>80</v>
      </c>
      <c r="D37" t="s">
        <v>19</v>
      </c>
      <c r="E37" t="s">
        <v>20</v>
      </c>
      <c r="F37" t="s">
        <v>21</v>
      </c>
      <c r="G37" t="s">
        <v>25</v>
      </c>
      <c r="H37" t="b">
        <v>1</v>
      </c>
      <c r="I37">
        <v>10</v>
      </c>
      <c r="J37">
        <v>71.6666666666667</v>
      </c>
      <c r="L37">
        <v>21.5</v>
      </c>
      <c r="M37">
        <v>1.237626E-2</v>
      </c>
      <c r="N37">
        <v>21.5</v>
      </c>
      <c r="O37">
        <v>1.237626E-2</v>
      </c>
    </row>
    <row r="38" spans="1:16" x14ac:dyDescent="0.35">
      <c r="A38" t="s">
        <v>81</v>
      </c>
      <c r="B38" t="s">
        <v>61</v>
      </c>
      <c r="C38" t="s">
        <v>80</v>
      </c>
      <c r="D38" t="s">
        <v>19</v>
      </c>
      <c r="E38" t="s">
        <v>20</v>
      </c>
      <c r="F38" t="s">
        <v>21</v>
      </c>
      <c r="G38" t="s">
        <v>33</v>
      </c>
      <c r="H38" t="b">
        <v>1</v>
      </c>
      <c r="I38">
        <v>10</v>
      </c>
      <c r="J38">
        <v>30.1666666666667</v>
      </c>
      <c r="L38">
        <v>54.3</v>
      </c>
      <c r="M38">
        <v>2.0091000000000001E-2</v>
      </c>
      <c r="N38">
        <v>54.3</v>
      </c>
      <c r="O38">
        <v>2.0091000000000001E-2</v>
      </c>
    </row>
    <row r="39" spans="1:16" x14ac:dyDescent="0.35">
      <c r="A39" t="s">
        <v>82</v>
      </c>
      <c r="B39" t="s">
        <v>61</v>
      </c>
      <c r="C39" t="s">
        <v>80</v>
      </c>
      <c r="D39" t="s">
        <v>19</v>
      </c>
      <c r="E39" t="s">
        <v>20</v>
      </c>
      <c r="F39" t="s">
        <v>21</v>
      </c>
      <c r="G39" t="s">
        <v>31</v>
      </c>
      <c r="H39" t="b">
        <v>1</v>
      </c>
      <c r="I39">
        <v>10</v>
      </c>
      <c r="J39">
        <v>38.125</v>
      </c>
      <c r="L39">
        <v>30.5</v>
      </c>
      <c r="M39">
        <v>2.84687E-3</v>
      </c>
      <c r="N39">
        <v>30.5</v>
      </c>
      <c r="O39">
        <v>2.84687E-3</v>
      </c>
    </row>
    <row r="40" spans="1:16" x14ac:dyDescent="0.35">
      <c r="A40" t="s">
        <v>83</v>
      </c>
      <c r="B40" t="s">
        <v>61</v>
      </c>
      <c r="C40" t="s">
        <v>80</v>
      </c>
      <c r="D40" t="s">
        <v>19</v>
      </c>
      <c r="E40" t="s">
        <v>20</v>
      </c>
      <c r="F40" t="s">
        <v>21</v>
      </c>
      <c r="G40" t="s">
        <v>29</v>
      </c>
      <c r="H40" t="b">
        <v>0</v>
      </c>
      <c r="I40">
        <v>10</v>
      </c>
      <c r="J40">
        <v>116.583333333333</v>
      </c>
      <c r="L40">
        <v>139.9</v>
      </c>
      <c r="M40">
        <v>1.399E-5</v>
      </c>
      <c r="N40">
        <v>0</v>
      </c>
      <c r="O40">
        <v>0</v>
      </c>
    </row>
    <row r="41" spans="1:16" x14ac:dyDescent="0.35">
      <c r="A41" t="s">
        <v>84</v>
      </c>
      <c r="B41" t="s">
        <v>61</v>
      </c>
      <c r="C41" t="s">
        <v>80</v>
      </c>
      <c r="D41" t="s">
        <v>19</v>
      </c>
      <c r="E41" t="s">
        <v>20</v>
      </c>
      <c r="F41" t="s">
        <v>21</v>
      </c>
      <c r="G41" t="s">
        <v>27</v>
      </c>
      <c r="H41" t="b">
        <v>0</v>
      </c>
      <c r="I41">
        <v>10</v>
      </c>
      <c r="J41">
        <v>29.7</v>
      </c>
      <c r="K41">
        <v>8</v>
      </c>
      <c r="L41">
        <v>83.16</v>
      </c>
      <c r="M41">
        <v>4.1579999999999998E-5</v>
      </c>
      <c r="N41">
        <v>0</v>
      </c>
      <c r="O41">
        <v>0</v>
      </c>
    </row>
    <row r="42" spans="1:16" ht="29" x14ac:dyDescent="0.35">
      <c r="A42" t="s">
        <v>85</v>
      </c>
      <c r="B42" t="s">
        <v>61</v>
      </c>
      <c r="C42" t="s">
        <v>80</v>
      </c>
      <c r="D42" t="s">
        <v>19</v>
      </c>
      <c r="E42" t="s">
        <v>20</v>
      </c>
      <c r="F42" t="s">
        <v>21</v>
      </c>
      <c r="G42" t="s">
        <v>22</v>
      </c>
      <c r="H42" t="b">
        <v>1</v>
      </c>
      <c r="I42">
        <v>10</v>
      </c>
      <c r="J42">
        <v>55.75</v>
      </c>
      <c r="L42">
        <v>89.2</v>
      </c>
      <c r="M42">
        <v>1.6977435999999999E-2</v>
      </c>
      <c r="N42">
        <v>89.2</v>
      </c>
      <c r="O42">
        <v>1.6977435999999999E-2</v>
      </c>
      <c r="P42" s="1" t="s">
        <v>23</v>
      </c>
    </row>
    <row r="43" spans="1:16" x14ac:dyDescent="0.35">
      <c r="A43" t="s">
        <v>86</v>
      </c>
      <c r="B43" t="s">
        <v>61</v>
      </c>
      <c r="C43" t="s">
        <v>80</v>
      </c>
      <c r="D43" t="s">
        <v>19</v>
      </c>
      <c r="E43" t="s">
        <v>20</v>
      </c>
      <c r="F43" t="s">
        <v>21</v>
      </c>
      <c r="G43" t="s">
        <v>87</v>
      </c>
      <c r="H43" t="b">
        <v>1</v>
      </c>
      <c r="I43">
        <v>10</v>
      </c>
      <c r="J43">
        <v>8</v>
      </c>
      <c r="L43">
        <v>0.8</v>
      </c>
      <c r="M43">
        <v>4.8000000000000001E-5</v>
      </c>
      <c r="N43">
        <v>0.8</v>
      </c>
      <c r="O43">
        <v>4.8000000000000001E-5</v>
      </c>
    </row>
    <row r="44" spans="1:16" ht="29" x14ac:dyDescent="0.35">
      <c r="A44" t="s">
        <v>88</v>
      </c>
      <c r="B44" t="s">
        <v>61</v>
      </c>
      <c r="C44" t="s">
        <v>80</v>
      </c>
      <c r="D44" t="s">
        <v>19</v>
      </c>
      <c r="E44" t="s">
        <v>20</v>
      </c>
      <c r="F44" t="s">
        <v>21</v>
      </c>
      <c r="G44" t="s">
        <v>44</v>
      </c>
      <c r="H44" t="b">
        <v>1</v>
      </c>
      <c r="I44">
        <v>10</v>
      </c>
      <c r="J44">
        <v>57.6</v>
      </c>
      <c r="L44">
        <v>28.8</v>
      </c>
      <c r="M44">
        <v>2.5056000000000002E-3</v>
      </c>
      <c r="N44">
        <v>28.8</v>
      </c>
      <c r="O44">
        <v>2.5056000000000002E-3</v>
      </c>
      <c r="P44" s="1" t="s">
        <v>23</v>
      </c>
    </row>
    <row r="45" spans="1:16" x14ac:dyDescent="0.35">
      <c r="A45" t="s">
        <v>89</v>
      </c>
      <c r="B45" t="s">
        <v>61</v>
      </c>
      <c r="C45" t="s">
        <v>80</v>
      </c>
      <c r="D45" t="s">
        <v>19</v>
      </c>
      <c r="E45" t="s">
        <v>20</v>
      </c>
      <c r="F45" t="s">
        <v>21</v>
      </c>
      <c r="G45" t="s">
        <v>39</v>
      </c>
      <c r="H45" t="b">
        <v>0</v>
      </c>
      <c r="I45">
        <v>10</v>
      </c>
      <c r="J45">
        <v>11.25</v>
      </c>
      <c r="L45">
        <v>4.5</v>
      </c>
      <c r="M45">
        <v>2.0699999999999999E-4</v>
      </c>
      <c r="N45">
        <v>0</v>
      </c>
      <c r="O45">
        <v>0</v>
      </c>
    </row>
    <row r="46" spans="1:16" x14ac:dyDescent="0.35">
      <c r="A46" t="s">
        <v>90</v>
      </c>
      <c r="B46" t="s">
        <v>61</v>
      </c>
      <c r="C46" t="s">
        <v>80</v>
      </c>
      <c r="D46" t="s">
        <v>19</v>
      </c>
      <c r="E46" t="s">
        <v>20</v>
      </c>
      <c r="F46" t="s">
        <v>21</v>
      </c>
      <c r="G46" t="s">
        <v>37</v>
      </c>
      <c r="H46" t="b">
        <v>1</v>
      </c>
      <c r="I46">
        <v>10</v>
      </c>
      <c r="J46">
        <v>6</v>
      </c>
      <c r="L46">
        <v>0.6</v>
      </c>
      <c r="M46">
        <v>6.6000000000000005E-5</v>
      </c>
      <c r="N46">
        <v>0.6</v>
      </c>
      <c r="O46">
        <v>6.6000000000000005E-5</v>
      </c>
    </row>
    <row r="47" spans="1:16" x14ac:dyDescent="0.35">
      <c r="A47" t="s">
        <v>91</v>
      </c>
      <c r="B47" t="s">
        <v>61</v>
      </c>
      <c r="C47" t="s">
        <v>80</v>
      </c>
      <c r="D47" t="s">
        <v>19</v>
      </c>
      <c r="E47" t="s">
        <v>20</v>
      </c>
      <c r="F47" t="s">
        <v>21</v>
      </c>
      <c r="G47" t="s">
        <v>48</v>
      </c>
      <c r="H47" t="b">
        <v>1</v>
      </c>
      <c r="I47">
        <v>10</v>
      </c>
      <c r="J47">
        <v>13</v>
      </c>
      <c r="L47">
        <v>1.3</v>
      </c>
      <c r="M47">
        <v>1.027E-4</v>
      </c>
      <c r="N47">
        <v>1.3</v>
      </c>
      <c r="O47">
        <v>1.027E-4</v>
      </c>
    </row>
    <row r="48" spans="1:16" x14ac:dyDescent="0.35">
      <c r="A48" t="s">
        <v>92</v>
      </c>
      <c r="B48" t="s">
        <v>61</v>
      </c>
      <c r="C48" t="s">
        <v>80</v>
      </c>
      <c r="D48" t="s">
        <v>19</v>
      </c>
      <c r="E48" t="s">
        <v>20</v>
      </c>
      <c r="F48" t="s">
        <v>21</v>
      </c>
      <c r="G48" t="s">
        <v>93</v>
      </c>
      <c r="H48" t="b">
        <v>1</v>
      </c>
      <c r="I48">
        <v>10</v>
      </c>
      <c r="J48">
        <v>68</v>
      </c>
      <c r="L48">
        <v>6.8</v>
      </c>
      <c r="M48">
        <v>0</v>
      </c>
      <c r="N48">
        <v>6.8</v>
      </c>
      <c r="O48">
        <v>0</v>
      </c>
    </row>
    <row r="49" spans="1:16" ht="29" x14ac:dyDescent="0.35">
      <c r="A49" t="s">
        <v>94</v>
      </c>
      <c r="B49" t="s">
        <v>61</v>
      </c>
      <c r="C49" t="s">
        <v>95</v>
      </c>
      <c r="D49" t="s">
        <v>19</v>
      </c>
      <c r="E49" t="s">
        <v>20</v>
      </c>
      <c r="F49" t="s">
        <v>21</v>
      </c>
      <c r="G49" t="s">
        <v>22</v>
      </c>
      <c r="H49" t="b">
        <v>1</v>
      </c>
      <c r="I49">
        <v>10</v>
      </c>
      <c r="J49">
        <v>68.692307692307693</v>
      </c>
      <c r="L49">
        <v>89.3</v>
      </c>
      <c r="M49">
        <v>1.6996469E-2</v>
      </c>
      <c r="N49">
        <v>89.3</v>
      </c>
      <c r="O49">
        <v>1.6996469E-2</v>
      </c>
      <c r="P49" s="1" t="s">
        <v>23</v>
      </c>
    </row>
    <row r="50" spans="1:16" x14ac:dyDescent="0.35">
      <c r="A50" t="s">
        <v>96</v>
      </c>
      <c r="B50" t="s">
        <v>61</v>
      </c>
      <c r="C50" t="s">
        <v>95</v>
      </c>
      <c r="D50" t="s">
        <v>19</v>
      </c>
      <c r="E50" t="s">
        <v>20</v>
      </c>
      <c r="F50" t="s">
        <v>21</v>
      </c>
      <c r="G50" t="s">
        <v>27</v>
      </c>
      <c r="H50" t="b">
        <v>0</v>
      </c>
      <c r="I50">
        <v>10</v>
      </c>
      <c r="J50">
        <v>35.299999999999997</v>
      </c>
      <c r="K50">
        <v>85</v>
      </c>
      <c r="L50">
        <v>370.65</v>
      </c>
      <c r="M50">
        <v>1.8532499999999999E-4</v>
      </c>
      <c r="N50">
        <v>0</v>
      </c>
      <c r="O50">
        <v>0</v>
      </c>
    </row>
    <row r="51" spans="1:16" x14ac:dyDescent="0.35">
      <c r="A51" t="s">
        <v>97</v>
      </c>
      <c r="B51" t="s">
        <v>61</v>
      </c>
      <c r="C51" t="s">
        <v>95</v>
      </c>
      <c r="D51" t="s">
        <v>19</v>
      </c>
      <c r="E51" t="s">
        <v>20</v>
      </c>
      <c r="F51" t="s">
        <v>21</v>
      </c>
      <c r="G51" t="s">
        <v>39</v>
      </c>
      <c r="H51" t="b">
        <v>0</v>
      </c>
      <c r="I51">
        <v>10</v>
      </c>
      <c r="J51">
        <v>20.1428571428571</v>
      </c>
      <c r="L51">
        <v>14.1</v>
      </c>
      <c r="M51">
        <v>6.4860000000000004E-4</v>
      </c>
      <c r="N51">
        <v>0</v>
      </c>
      <c r="O51">
        <v>0</v>
      </c>
    </row>
    <row r="52" spans="1:16" x14ac:dyDescent="0.35">
      <c r="A52" t="s">
        <v>98</v>
      </c>
      <c r="B52" t="s">
        <v>61</v>
      </c>
      <c r="C52" t="s">
        <v>95</v>
      </c>
      <c r="D52" t="s">
        <v>19</v>
      </c>
      <c r="E52" t="s">
        <v>20</v>
      </c>
      <c r="F52" t="s">
        <v>21</v>
      </c>
      <c r="G52" t="s">
        <v>29</v>
      </c>
      <c r="H52" t="b">
        <v>0</v>
      </c>
      <c r="I52">
        <v>10</v>
      </c>
      <c r="J52">
        <v>87.15</v>
      </c>
      <c r="K52">
        <v>27</v>
      </c>
      <c r="L52">
        <v>409.60500000000002</v>
      </c>
      <c r="M52">
        <v>4.0960500000000002E-5</v>
      </c>
      <c r="N52">
        <v>0</v>
      </c>
      <c r="O52">
        <v>0</v>
      </c>
    </row>
    <row r="53" spans="1:16" x14ac:dyDescent="0.35">
      <c r="A53" t="s">
        <v>99</v>
      </c>
      <c r="B53" t="s">
        <v>61</v>
      </c>
      <c r="C53" t="s">
        <v>95</v>
      </c>
      <c r="D53" t="s">
        <v>19</v>
      </c>
      <c r="E53" t="s">
        <v>20</v>
      </c>
      <c r="F53" t="s">
        <v>21</v>
      </c>
      <c r="G53" t="s">
        <v>33</v>
      </c>
      <c r="H53" t="b">
        <v>1</v>
      </c>
      <c r="I53">
        <v>10</v>
      </c>
      <c r="J53">
        <v>8</v>
      </c>
      <c r="L53">
        <v>0.8</v>
      </c>
      <c r="M53">
        <v>2.9599999999999998E-4</v>
      </c>
      <c r="N53">
        <v>0.8</v>
      </c>
      <c r="O53">
        <v>2.9599999999999998E-4</v>
      </c>
    </row>
    <row r="54" spans="1:16" x14ac:dyDescent="0.35">
      <c r="A54" t="s">
        <v>100</v>
      </c>
      <c r="B54" t="s">
        <v>61</v>
      </c>
      <c r="C54" t="s">
        <v>95</v>
      </c>
      <c r="D54" t="s">
        <v>19</v>
      </c>
      <c r="E54" t="s">
        <v>20</v>
      </c>
      <c r="F54" t="s">
        <v>21</v>
      </c>
      <c r="G54" t="s">
        <v>50</v>
      </c>
      <c r="H54" t="b">
        <v>1</v>
      </c>
      <c r="I54">
        <v>10</v>
      </c>
      <c r="J54">
        <v>43.5</v>
      </c>
      <c r="L54">
        <v>8.6999999999999993</v>
      </c>
      <c r="M54">
        <v>2.3529149999999999E-2</v>
      </c>
      <c r="N54">
        <v>8.6999999999999993</v>
      </c>
      <c r="O54">
        <v>2.3529149999999999E-2</v>
      </c>
    </row>
    <row r="55" spans="1:16" x14ac:dyDescent="0.35">
      <c r="A55" t="s">
        <v>101</v>
      </c>
      <c r="B55" t="s">
        <v>61</v>
      </c>
      <c r="C55" t="s">
        <v>95</v>
      </c>
      <c r="D55" t="s">
        <v>19</v>
      </c>
      <c r="E55" t="s">
        <v>20</v>
      </c>
      <c r="F55" t="s">
        <v>21</v>
      </c>
      <c r="G55" t="s">
        <v>37</v>
      </c>
      <c r="H55" t="b">
        <v>1</v>
      </c>
      <c r="I55">
        <v>10</v>
      </c>
      <c r="J55">
        <v>26</v>
      </c>
      <c r="L55">
        <v>5.2</v>
      </c>
      <c r="M55">
        <v>5.7200000000000003E-4</v>
      </c>
      <c r="N55">
        <v>5.2</v>
      </c>
      <c r="O55">
        <v>5.7200000000000003E-4</v>
      </c>
    </row>
    <row r="56" spans="1:16" x14ac:dyDescent="0.35">
      <c r="A56" t="s">
        <v>102</v>
      </c>
      <c r="B56" t="s">
        <v>61</v>
      </c>
      <c r="C56" t="s">
        <v>95</v>
      </c>
      <c r="D56" t="s">
        <v>19</v>
      </c>
      <c r="E56" t="s">
        <v>20</v>
      </c>
      <c r="F56" t="s">
        <v>21</v>
      </c>
      <c r="G56" t="s">
        <v>25</v>
      </c>
      <c r="H56" t="b">
        <v>1</v>
      </c>
      <c r="I56">
        <v>10</v>
      </c>
      <c r="J56">
        <v>63</v>
      </c>
      <c r="L56">
        <v>12.6</v>
      </c>
      <c r="M56">
        <v>7.253064E-3</v>
      </c>
      <c r="N56">
        <v>12.6</v>
      </c>
      <c r="O56">
        <v>7.253064E-3</v>
      </c>
    </row>
    <row r="57" spans="1:16" x14ac:dyDescent="0.35">
      <c r="A57" t="s">
        <v>103</v>
      </c>
      <c r="B57" t="s">
        <v>61</v>
      </c>
      <c r="C57" t="s">
        <v>104</v>
      </c>
      <c r="D57" t="s">
        <v>19</v>
      </c>
      <c r="E57" t="s">
        <v>20</v>
      </c>
      <c r="F57" t="s">
        <v>21</v>
      </c>
      <c r="G57" t="s">
        <v>27</v>
      </c>
      <c r="H57" t="b">
        <v>0</v>
      </c>
      <c r="I57">
        <v>10</v>
      </c>
      <c r="J57">
        <v>29.6666666666667</v>
      </c>
      <c r="L57">
        <v>53.4</v>
      </c>
      <c r="M57">
        <v>2.6699999999999998E-5</v>
      </c>
      <c r="N57">
        <v>0</v>
      </c>
      <c r="O57">
        <v>0</v>
      </c>
    </row>
    <row r="58" spans="1:16" x14ac:dyDescent="0.35">
      <c r="A58" t="s">
        <v>105</v>
      </c>
      <c r="B58" t="s">
        <v>61</v>
      </c>
      <c r="C58" t="s">
        <v>104</v>
      </c>
      <c r="D58" t="s">
        <v>19</v>
      </c>
      <c r="E58" t="s">
        <v>20</v>
      </c>
      <c r="F58" t="s">
        <v>21</v>
      </c>
      <c r="G58" t="s">
        <v>25</v>
      </c>
      <c r="H58" t="b">
        <v>1</v>
      </c>
      <c r="I58">
        <v>10</v>
      </c>
      <c r="J58">
        <v>25</v>
      </c>
      <c r="L58">
        <v>2.5</v>
      </c>
      <c r="M58">
        <v>1.4391E-3</v>
      </c>
      <c r="N58">
        <v>2.5</v>
      </c>
      <c r="O58">
        <v>1.4391E-3</v>
      </c>
    </row>
    <row r="59" spans="1:16" x14ac:dyDescent="0.35">
      <c r="A59" t="s">
        <v>106</v>
      </c>
      <c r="B59" t="s">
        <v>61</v>
      </c>
      <c r="C59" t="s">
        <v>104</v>
      </c>
      <c r="D59" t="s">
        <v>19</v>
      </c>
      <c r="E59" t="s">
        <v>20</v>
      </c>
      <c r="F59" t="s">
        <v>21</v>
      </c>
      <c r="G59" t="s">
        <v>33</v>
      </c>
      <c r="H59" t="b">
        <v>1</v>
      </c>
      <c r="I59">
        <v>10</v>
      </c>
      <c r="J59">
        <v>31.1666666666667</v>
      </c>
      <c r="L59">
        <v>18.7</v>
      </c>
      <c r="M59">
        <v>6.9189999999999998E-3</v>
      </c>
      <c r="N59">
        <v>18.7</v>
      </c>
      <c r="O59">
        <v>6.9189999999999998E-3</v>
      </c>
    </row>
    <row r="60" spans="1:16" ht="29" x14ac:dyDescent="0.35">
      <c r="A60" t="s">
        <v>107</v>
      </c>
      <c r="B60" t="s">
        <v>61</v>
      </c>
      <c r="C60" t="s">
        <v>104</v>
      </c>
      <c r="D60" t="s">
        <v>19</v>
      </c>
      <c r="E60" t="s">
        <v>20</v>
      </c>
      <c r="F60" t="s">
        <v>21</v>
      </c>
      <c r="G60" t="s">
        <v>22</v>
      </c>
      <c r="H60" t="b">
        <v>1</v>
      </c>
      <c r="I60">
        <v>10</v>
      </c>
      <c r="J60">
        <v>62.5</v>
      </c>
      <c r="L60">
        <v>37.5</v>
      </c>
      <c r="M60">
        <v>7.1373749999999996E-3</v>
      </c>
      <c r="N60">
        <v>37.5</v>
      </c>
      <c r="O60">
        <v>7.1373749999999996E-3</v>
      </c>
      <c r="P60" s="1" t="s">
        <v>23</v>
      </c>
    </row>
    <row r="61" spans="1:16" x14ac:dyDescent="0.35">
      <c r="A61" t="s">
        <v>108</v>
      </c>
      <c r="B61" t="s">
        <v>61</v>
      </c>
      <c r="C61" t="s">
        <v>104</v>
      </c>
      <c r="D61" t="s">
        <v>19</v>
      </c>
      <c r="E61" t="s">
        <v>20</v>
      </c>
      <c r="F61" t="s">
        <v>21</v>
      </c>
      <c r="G61" t="s">
        <v>29</v>
      </c>
      <c r="H61" t="b">
        <v>0</v>
      </c>
      <c r="I61">
        <v>10</v>
      </c>
      <c r="J61">
        <v>171</v>
      </c>
      <c r="L61">
        <v>342</v>
      </c>
      <c r="M61">
        <v>3.4199999999999998E-5</v>
      </c>
      <c r="N61">
        <v>0</v>
      </c>
      <c r="O61">
        <v>0</v>
      </c>
    </row>
    <row r="62" spans="1:16" ht="29" x14ac:dyDescent="0.35">
      <c r="A62" t="s">
        <v>109</v>
      </c>
      <c r="B62" t="s">
        <v>61</v>
      </c>
      <c r="C62" t="s">
        <v>104</v>
      </c>
      <c r="D62" t="s">
        <v>19</v>
      </c>
      <c r="E62" t="s">
        <v>20</v>
      </c>
      <c r="F62" t="s">
        <v>21</v>
      </c>
      <c r="G62" t="s">
        <v>35</v>
      </c>
      <c r="H62" t="b">
        <v>1</v>
      </c>
      <c r="I62">
        <v>10</v>
      </c>
      <c r="J62">
        <v>51.857142857142897</v>
      </c>
      <c r="L62">
        <v>36.299999999999997</v>
      </c>
      <c r="M62">
        <v>3.3780780000000001E-3</v>
      </c>
      <c r="N62">
        <v>36.299999999999997</v>
      </c>
      <c r="O62">
        <v>3.3780780000000001E-3</v>
      </c>
      <c r="P62" s="1" t="s">
        <v>23</v>
      </c>
    </row>
    <row r="63" spans="1:16" x14ac:dyDescent="0.35">
      <c r="A63" t="s">
        <v>110</v>
      </c>
      <c r="B63" t="s">
        <v>61</v>
      </c>
      <c r="C63" t="s">
        <v>104</v>
      </c>
      <c r="D63" t="s">
        <v>19</v>
      </c>
      <c r="E63" t="s">
        <v>20</v>
      </c>
      <c r="F63" t="s">
        <v>21</v>
      </c>
      <c r="G63" t="s">
        <v>39</v>
      </c>
      <c r="H63" t="b">
        <v>0</v>
      </c>
      <c r="I63">
        <v>10</v>
      </c>
      <c r="J63">
        <v>17.399999999999999</v>
      </c>
      <c r="L63">
        <v>8.6999999999999993</v>
      </c>
      <c r="M63">
        <v>4.0020000000000002E-4</v>
      </c>
      <c r="N63">
        <v>0</v>
      </c>
      <c r="O63">
        <v>0</v>
      </c>
    </row>
    <row r="64" spans="1:16" x14ac:dyDescent="0.35">
      <c r="A64" t="s">
        <v>111</v>
      </c>
      <c r="B64" t="s">
        <v>61</v>
      </c>
      <c r="C64" t="s">
        <v>104</v>
      </c>
      <c r="D64" t="s">
        <v>19</v>
      </c>
      <c r="E64" t="s">
        <v>20</v>
      </c>
      <c r="F64" t="s">
        <v>21</v>
      </c>
      <c r="G64" t="s">
        <v>31</v>
      </c>
      <c r="H64" t="b">
        <v>1</v>
      </c>
      <c r="I64">
        <v>10</v>
      </c>
      <c r="J64">
        <v>61</v>
      </c>
      <c r="L64">
        <v>6.1</v>
      </c>
      <c r="M64">
        <v>5.6937399999999999E-4</v>
      </c>
      <c r="N64">
        <v>6.1</v>
      </c>
      <c r="O64">
        <v>5.6937399999999999E-4</v>
      </c>
    </row>
    <row r="65" spans="1:16" x14ac:dyDescent="0.35">
      <c r="A65" t="s">
        <v>112</v>
      </c>
      <c r="B65" t="s">
        <v>61</v>
      </c>
      <c r="C65" t="s">
        <v>104</v>
      </c>
      <c r="D65" t="s">
        <v>19</v>
      </c>
      <c r="E65" t="s">
        <v>20</v>
      </c>
      <c r="F65" t="s">
        <v>21</v>
      </c>
      <c r="G65" t="s">
        <v>58</v>
      </c>
      <c r="H65" t="b">
        <v>1</v>
      </c>
      <c r="I65">
        <v>10</v>
      </c>
      <c r="J65">
        <v>11.6666666666667</v>
      </c>
      <c r="L65">
        <v>3.5</v>
      </c>
      <c r="M65">
        <v>6.6500000000000001E-4</v>
      </c>
      <c r="N65">
        <v>3.5</v>
      </c>
      <c r="O65">
        <v>6.6500000000000001E-4</v>
      </c>
    </row>
    <row r="66" spans="1:16" x14ac:dyDescent="0.35">
      <c r="A66" t="s">
        <v>113</v>
      </c>
      <c r="B66" t="s">
        <v>61</v>
      </c>
      <c r="C66" t="s">
        <v>104</v>
      </c>
      <c r="D66" t="s">
        <v>19</v>
      </c>
      <c r="E66" t="s">
        <v>20</v>
      </c>
      <c r="F66" t="s">
        <v>21</v>
      </c>
      <c r="G66" t="s">
        <v>37</v>
      </c>
      <c r="H66" t="b">
        <v>1</v>
      </c>
      <c r="I66">
        <v>10</v>
      </c>
      <c r="J66">
        <v>38</v>
      </c>
      <c r="L66">
        <v>3.8</v>
      </c>
      <c r="M66">
        <v>4.1800000000000002E-4</v>
      </c>
      <c r="N66">
        <v>3.8</v>
      </c>
      <c r="O66">
        <v>4.1800000000000002E-4</v>
      </c>
    </row>
    <row r="67" spans="1:16" ht="29" x14ac:dyDescent="0.35">
      <c r="A67" t="s">
        <v>114</v>
      </c>
      <c r="B67" t="s">
        <v>115</v>
      </c>
      <c r="C67" t="s">
        <v>116</v>
      </c>
      <c r="D67" t="s">
        <v>19</v>
      </c>
      <c r="E67" t="s">
        <v>20</v>
      </c>
      <c r="F67" t="s">
        <v>21</v>
      </c>
      <c r="G67" t="s">
        <v>35</v>
      </c>
      <c r="H67" t="b">
        <v>1</v>
      </c>
      <c r="I67">
        <v>10</v>
      </c>
      <c r="J67">
        <v>23</v>
      </c>
      <c r="L67">
        <v>2.2999999999999998</v>
      </c>
      <c r="M67">
        <v>2.14038E-4</v>
      </c>
      <c r="N67">
        <v>2.2999999999999998</v>
      </c>
      <c r="O67">
        <v>2.14038E-4</v>
      </c>
      <c r="P67" s="1" t="s">
        <v>23</v>
      </c>
    </row>
    <row r="68" spans="1:16" ht="29" x14ac:dyDescent="0.35">
      <c r="A68" t="s">
        <v>117</v>
      </c>
      <c r="B68" t="s">
        <v>115</v>
      </c>
      <c r="C68" t="s">
        <v>116</v>
      </c>
      <c r="D68" t="s">
        <v>19</v>
      </c>
      <c r="E68" t="s">
        <v>20</v>
      </c>
      <c r="F68" t="s">
        <v>21</v>
      </c>
      <c r="G68" t="s">
        <v>22</v>
      </c>
      <c r="H68" t="b">
        <v>1</v>
      </c>
      <c r="I68">
        <v>10</v>
      </c>
      <c r="J68">
        <v>31</v>
      </c>
      <c r="L68">
        <v>9.3000000000000007</v>
      </c>
      <c r="M68">
        <v>1.770069E-3</v>
      </c>
      <c r="N68">
        <v>9.3000000000000007</v>
      </c>
      <c r="O68">
        <v>1.770069E-3</v>
      </c>
      <c r="P68" s="1" t="s">
        <v>23</v>
      </c>
    </row>
    <row r="69" spans="1:16" x14ac:dyDescent="0.35">
      <c r="A69" t="s">
        <v>118</v>
      </c>
      <c r="B69" t="s">
        <v>115</v>
      </c>
      <c r="C69" t="s">
        <v>116</v>
      </c>
      <c r="D69" t="s">
        <v>19</v>
      </c>
      <c r="E69" t="s">
        <v>20</v>
      </c>
      <c r="F69" t="s">
        <v>21</v>
      </c>
      <c r="G69" t="s">
        <v>33</v>
      </c>
      <c r="H69" t="b">
        <v>1</v>
      </c>
      <c r="I69">
        <v>10</v>
      </c>
      <c r="J69">
        <v>34.6666666666667</v>
      </c>
      <c r="L69">
        <v>20.8</v>
      </c>
      <c r="M69">
        <v>7.6959999999999997E-3</v>
      </c>
      <c r="N69">
        <v>20.8</v>
      </c>
      <c r="O69">
        <v>7.6959999999999997E-3</v>
      </c>
    </row>
    <row r="70" spans="1:16" x14ac:dyDescent="0.35">
      <c r="A70" t="s">
        <v>119</v>
      </c>
      <c r="B70" t="s">
        <v>115</v>
      </c>
      <c r="C70" t="s">
        <v>116</v>
      </c>
      <c r="D70" t="s">
        <v>19</v>
      </c>
      <c r="E70" t="s">
        <v>20</v>
      </c>
      <c r="F70" t="s">
        <v>21</v>
      </c>
      <c r="G70" t="s">
        <v>39</v>
      </c>
      <c r="H70" t="b">
        <v>0</v>
      </c>
      <c r="I70">
        <v>10</v>
      </c>
      <c r="J70">
        <v>4</v>
      </c>
      <c r="L70">
        <v>0.4</v>
      </c>
      <c r="M70">
        <v>1.84E-5</v>
      </c>
      <c r="N70">
        <v>0</v>
      </c>
      <c r="O70">
        <v>0</v>
      </c>
    </row>
    <row r="71" spans="1:16" x14ac:dyDescent="0.35">
      <c r="A71" t="s">
        <v>120</v>
      </c>
      <c r="B71" t="s">
        <v>115</v>
      </c>
      <c r="C71" t="s">
        <v>116</v>
      </c>
      <c r="D71" t="s">
        <v>19</v>
      </c>
      <c r="E71" t="s">
        <v>20</v>
      </c>
      <c r="F71" t="s">
        <v>21</v>
      </c>
      <c r="G71" t="s">
        <v>25</v>
      </c>
      <c r="H71" t="b">
        <v>1</v>
      </c>
      <c r="I71">
        <v>10</v>
      </c>
      <c r="J71">
        <v>42</v>
      </c>
      <c r="L71">
        <v>4.2</v>
      </c>
      <c r="M71">
        <v>2.4176879999999999E-3</v>
      </c>
      <c r="N71">
        <v>4.2</v>
      </c>
      <c r="O71">
        <v>2.4176879999999999E-3</v>
      </c>
    </row>
    <row r="72" spans="1:16" x14ac:dyDescent="0.35">
      <c r="A72" t="s">
        <v>121</v>
      </c>
      <c r="B72" t="s">
        <v>115</v>
      </c>
      <c r="C72" t="s">
        <v>122</v>
      </c>
      <c r="D72" t="s">
        <v>19</v>
      </c>
      <c r="E72" t="s">
        <v>20</v>
      </c>
      <c r="F72" t="s">
        <v>21</v>
      </c>
      <c r="G72" t="s">
        <v>58</v>
      </c>
      <c r="H72" t="b">
        <v>1</v>
      </c>
      <c r="I72">
        <v>10</v>
      </c>
      <c r="J72">
        <v>27</v>
      </c>
      <c r="L72">
        <v>5.4</v>
      </c>
      <c r="M72">
        <v>1.026E-3</v>
      </c>
      <c r="N72">
        <v>5.4</v>
      </c>
      <c r="O72">
        <v>1.026E-3</v>
      </c>
    </row>
    <row r="73" spans="1:16" x14ac:dyDescent="0.35">
      <c r="A73" t="s">
        <v>123</v>
      </c>
      <c r="B73" t="s">
        <v>115</v>
      </c>
      <c r="C73" t="s">
        <v>122</v>
      </c>
      <c r="D73" t="s">
        <v>19</v>
      </c>
      <c r="E73" t="s">
        <v>20</v>
      </c>
      <c r="F73" t="s">
        <v>21</v>
      </c>
      <c r="G73" t="s">
        <v>48</v>
      </c>
      <c r="H73" t="b">
        <v>1</v>
      </c>
      <c r="I73">
        <v>10</v>
      </c>
      <c r="J73">
        <v>12.2</v>
      </c>
      <c r="L73">
        <v>6.1</v>
      </c>
      <c r="M73">
        <v>4.819E-4</v>
      </c>
      <c r="N73">
        <v>6.1</v>
      </c>
      <c r="O73">
        <v>4.819E-4</v>
      </c>
    </row>
    <row r="74" spans="1:16" x14ac:dyDescent="0.35">
      <c r="A74" t="s">
        <v>124</v>
      </c>
      <c r="B74" t="s">
        <v>115</v>
      </c>
      <c r="C74" t="s">
        <v>122</v>
      </c>
      <c r="D74" t="s">
        <v>19</v>
      </c>
      <c r="E74" t="s">
        <v>20</v>
      </c>
      <c r="F74" t="s">
        <v>21</v>
      </c>
      <c r="G74" t="s">
        <v>50</v>
      </c>
      <c r="H74" t="b">
        <v>1</v>
      </c>
      <c r="I74">
        <v>10</v>
      </c>
      <c r="J74">
        <v>40</v>
      </c>
      <c r="L74">
        <v>4</v>
      </c>
      <c r="M74">
        <v>1.0817999999999999E-2</v>
      </c>
      <c r="N74">
        <v>4</v>
      </c>
      <c r="O74">
        <v>1.0817999999999999E-2</v>
      </c>
    </row>
    <row r="75" spans="1:16" x14ac:dyDescent="0.35">
      <c r="A75" t="s">
        <v>125</v>
      </c>
      <c r="B75" t="s">
        <v>115</v>
      </c>
      <c r="C75" t="s">
        <v>122</v>
      </c>
      <c r="D75" t="s">
        <v>19</v>
      </c>
      <c r="E75" t="s">
        <v>20</v>
      </c>
      <c r="F75" t="s">
        <v>21</v>
      </c>
      <c r="G75" t="s">
        <v>39</v>
      </c>
      <c r="H75" t="b">
        <v>0</v>
      </c>
      <c r="I75">
        <v>10</v>
      </c>
      <c r="J75">
        <v>23</v>
      </c>
      <c r="L75">
        <v>4.5999999999999996</v>
      </c>
      <c r="M75">
        <v>2.1159999999999999E-4</v>
      </c>
      <c r="N75">
        <v>0</v>
      </c>
      <c r="O75">
        <v>0</v>
      </c>
    </row>
    <row r="76" spans="1:16" x14ac:dyDescent="0.35">
      <c r="A76" t="s">
        <v>126</v>
      </c>
      <c r="B76" t="s">
        <v>115</v>
      </c>
      <c r="C76" t="s">
        <v>122</v>
      </c>
      <c r="D76" t="s">
        <v>19</v>
      </c>
      <c r="E76" t="s">
        <v>20</v>
      </c>
      <c r="F76" t="s">
        <v>21</v>
      </c>
      <c r="G76" t="s">
        <v>33</v>
      </c>
      <c r="H76" t="b">
        <v>1</v>
      </c>
      <c r="I76">
        <v>10</v>
      </c>
      <c r="J76">
        <v>9.5</v>
      </c>
      <c r="L76">
        <v>3.8</v>
      </c>
      <c r="M76">
        <v>1.4059999999999999E-3</v>
      </c>
      <c r="N76">
        <v>3.8</v>
      </c>
      <c r="O76">
        <v>1.4059999999999999E-3</v>
      </c>
    </row>
    <row r="77" spans="1:16" x14ac:dyDescent="0.35">
      <c r="A77" t="s">
        <v>127</v>
      </c>
      <c r="B77" t="s">
        <v>115</v>
      </c>
      <c r="C77" t="s">
        <v>122</v>
      </c>
      <c r="D77" t="s">
        <v>19</v>
      </c>
      <c r="E77" t="s">
        <v>20</v>
      </c>
      <c r="F77" t="s">
        <v>21</v>
      </c>
      <c r="G77" t="s">
        <v>25</v>
      </c>
      <c r="H77" t="b">
        <v>1</v>
      </c>
      <c r="I77">
        <v>10</v>
      </c>
      <c r="J77">
        <v>21</v>
      </c>
      <c r="L77">
        <v>4.2</v>
      </c>
      <c r="M77">
        <v>2.4176879999999999E-3</v>
      </c>
      <c r="N77">
        <v>4.2</v>
      </c>
      <c r="O77">
        <v>2.4176879999999999E-3</v>
      </c>
    </row>
    <row r="78" spans="1:16" ht="29" x14ac:dyDescent="0.35">
      <c r="A78" t="s">
        <v>128</v>
      </c>
      <c r="B78" t="s">
        <v>115</v>
      </c>
      <c r="C78" t="s">
        <v>122</v>
      </c>
      <c r="D78" t="s">
        <v>19</v>
      </c>
      <c r="E78" t="s">
        <v>20</v>
      </c>
      <c r="F78" t="s">
        <v>21</v>
      </c>
      <c r="G78" t="s">
        <v>22</v>
      </c>
      <c r="H78" t="b">
        <v>1</v>
      </c>
      <c r="I78">
        <v>10</v>
      </c>
      <c r="J78">
        <v>69</v>
      </c>
      <c r="L78">
        <v>27.6</v>
      </c>
      <c r="M78">
        <v>5.2531080000000003E-3</v>
      </c>
      <c r="N78">
        <v>27.6</v>
      </c>
      <c r="O78">
        <v>5.2531080000000003E-3</v>
      </c>
      <c r="P78" s="1" t="s">
        <v>23</v>
      </c>
    </row>
    <row r="79" spans="1:16" ht="29" x14ac:dyDescent="0.35">
      <c r="A79" t="s">
        <v>129</v>
      </c>
      <c r="B79" t="s">
        <v>115</v>
      </c>
      <c r="C79" t="s">
        <v>122</v>
      </c>
      <c r="D79" t="s">
        <v>19</v>
      </c>
      <c r="E79" t="s">
        <v>20</v>
      </c>
      <c r="F79" t="s">
        <v>21</v>
      </c>
      <c r="G79" t="s">
        <v>44</v>
      </c>
      <c r="H79" t="b">
        <v>1</v>
      </c>
      <c r="I79">
        <v>10</v>
      </c>
      <c r="J79">
        <v>38.6666666666667</v>
      </c>
      <c r="L79">
        <v>11.6</v>
      </c>
      <c r="M79">
        <v>1.0092E-3</v>
      </c>
      <c r="N79">
        <v>11.6</v>
      </c>
      <c r="O79">
        <v>1.0092E-3</v>
      </c>
      <c r="P79" s="1" t="s">
        <v>23</v>
      </c>
    </row>
    <row r="80" spans="1:16" ht="29" x14ac:dyDescent="0.35">
      <c r="A80" t="s">
        <v>130</v>
      </c>
      <c r="B80" t="s">
        <v>115</v>
      </c>
      <c r="C80" t="s">
        <v>131</v>
      </c>
      <c r="D80" t="s">
        <v>19</v>
      </c>
      <c r="E80" t="s">
        <v>20</v>
      </c>
      <c r="F80" t="s">
        <v>21</v>
      </c>
      <c r="G80" t="s">
        <v>22</v>
      </c>
      <c r="H80" t="b">
        <v>1</v>
      </c>
      <c r="I80">
        <v>10</v>
      </c>
      <c r="J80">
        <v>69</v>
      </c>
      <c r="L80">
        <v>48.3</v>
      </c>
      <c r="M80">
        <v>9.1929390000000007E-3</v>
      </c>
      <c r="N80">
        <v>48.3</v>
      </c>
      <c r="O80">
        <v>9.1929390000000007E-3</v>
      </c>
      <c r="P80" s="1" t="s">
        <v>23</v>
      </c>
    </row>
    <row r="81" spans="1:16" x14ac:dyDescent="0.35">
      <c r="A81" t="s">
        <v>132</v>
      </c>
      <c r="B81" t="s">
        <v>115</v>
      </c>
      <c r="C81" t="s">
        <v>131</v>
      </c>
      <c r="D81" t="s">
        <v>19</v>
      </c>
      <c r="E81" t="s">
        <v>20</v>
      </c>
      <c r="F81" t="s">
        <v>21</v>
      </c>
      <c r="G81" t="s">
        <v>39</v>
      </c>
      <c r="H81" t="b">
        <v>0</v>
      </c>
      <c r="I81">
        <v>10</v>
      </c>
      <c r="J81">
        <v>5</v>
      </c>
      <c r="L81">
        <v>1.5</v>
      </c>
      <c r="M81">
        <v>6.8999999999999997E-5</v>
      </c>
      <c r="N81">
        <v>0</v>
      </c>
      <c r="O81">
        <v>0</v>
      </c>
    </row>
    <row r="82" spans="1:16" x14ac:dyDescent="0.35">
      <c r="A82" t="s">
        <v>133</v>
      </c>
      <c r="B82" t="s">
        <v>115</v>
      </c>
      <c r="C82" t="s">
        <v>131</v>
      </c>
      <c r="D82" t="s">
        <v>19</v>
      </c>
      <c r="E82" t="s">
        <v>20</v>
      </c>
      <c r="F82" t="s">
        <v>21</v>
      </c>
      <c r="G82" t="s">
        <v>33</v>
      </c>
      <c r="H82" t="b">
        <v>1</v>
      </c>
      <c r="I82">
        <v>10</v>
      </c>
      <c r="J82">
        <v>27.071428571428601</v>
      </c>
      <c r="L82">
        <v>37.9</v>
      </c>
      <c r="M82">
        <v>1.4023000000000001E-2</v>
      </c>
      <c r="N82">
        <v>37.9</v>
      </c>
      <c r="O82">
        <v>1.4023000000000001E-2</v>
      </c>
    </row>
    <row r="83" spans="1:16" x14ac:dyDescent="0.35">
      <c r="A83" t="s">
        <v>134</v>
      </c>
      <c r="B83" t="s">
        <v>115</v>
      </c>
      <c r="C83" t="s">
        <v>131</v>
      </c>
      <c r="D83" t="s">
        <v>19</v>
      </c>
      <c r="E83" t="s">
        <v>20</v>
      </c>
      <c r="F83" t="s">
        <v>21</v>
      </c>
      <c r="G83" t="s">
        <v>25</v>
      </c>
      <c r="H83" t="b">
        <v>1</v>
      </c>
      <c r="I83">
        <v>10</v>
      </c>
      <c r="J83">
        <v>45.4</v>
      </c>
      <c r="L83">
        <v>22.7</v>
      </c>
      <c r="M83">
        <v>1.3067028E-2</v>
      </c>
      <c r="N83">
        <v>22.7</v>
      </c>
      <c r="O83">
        <v>1.3067028E-2</v>
      </c>
    </row>
    <row r="84" spans="1:16" ht="29" x14ac:dyDescent="0.35">
      <c r="A84" t="s">
        <v>135</v>
      </c>
      <c r="B84" t="s">
        <v>115</v>
      </c>
      <c r="C84" t="s">
        <v>131</v>
      </c>
      <c r="D84" t="s">
        <v>19</v>
      </c>
      <c r="E84" t="s">
        <v>20</v>
      </c>
      <c r="F84" t="s">
        <v>21</v>
      </c>
      <c r="G84" t="s">
        <v>35</v>
      </c>
      <c r="H84" t="b">
        <v>1</v>
      </c>
      <c r="I84">
        <v>10</v>
      </c>
      <c r="J84">
        <v>43</v>
      </c>
      <c r="L84">
        <v>25.8</v>
      </c>
      <c r="M84">
        <v>2.400948E-3</v>
      </c>
      <c r="N84">
        <v>25.8</v>
      </c>
      <c r="O84">
        <v>2.400948E-3</v>
      </c>
      <c r="P84" s="1" t="s">
        <v>23</v>
      </c>
    </row>
    <row r="85" spans="1:16" x14ac:dyDescent="0.35">
      <c r="A85" t="s">
        <v>136</v>
      </c>
      <c r="B85" t="s">
        <v>115</v>
      </c>
      <c r="C85" t="s">
        <v>137</v>
      </c>
      <c r="D85" t="s">
        <v>19</v>
      </c>
      <c r="E85" t="s">
        <v>20</v>
      </c>
      <c r="F85" t="s">
        <v>21</v>
      </c>
      <c r="G85" t="s">
        <v>138</v>
      </c>
      <c r="H85" t="b">
        <v>0</v>
      </c>
      <c r="I85">
        <v>10</v>
      </c>
      <c r="J85">
        <v>12.3333333333333</v>
      </c>
      <c r="L85">
        <v>3.7</v>
      </c>
      <c r="M85">
        <v>8.14E-5</v>
      </c>
      <c r="N85">
        <v>0</v>
      </c>
      <c r="O85">
        <v>0</v>
      </c>
    </row>
    <row r="86" spans="1:16" x14ac:dyDescent="0.35">
      <c r="A86" t="s">
        <v>139</v>
      </c>
      <c r="B86" t="s">
        <v>115</v>
      </c>
      <c r="C86" t="s">
        <v>137</v>
      </c>
      <c r="D86" t="s">
        <v>19</v>
      </c>
      <c r="E86" t="s">
        <v>20</v>
      </c>
      <c r="F86" t="s">
        <v>21</v>
      </c>
      <c r="G86" t="s">
        <v>58</v>
      </c>
      <c r="H86" t="b">
        <v>1</v>
      </c>
      <c r="I86">
        <v>10</v>
      </c>
      <c r="J86">
        <v>16.125</v>
      </c>
      <c r="L86">
        <v>12.9</v>
      </c>
      <c r="M86">
        <v>2.4510000000000001E-3</v>
      </c>
      <c r="N86">
        <v>12.9</v>
      </c>
      <c r="O86">
        <v>2.4510000000000001E-3</v>
      </c>
    </row>
    <row r="87" spans="1:16" ht="29" x14ac:dyDescent="0.35">
      <c r="A87" t="s">
        <v>140</v>
      </c>
      <c r="B87" t="s">
        <v>115</v>
      </c>
      <c r="C87" t="s">
        <v>137</v>
      </c>
      <c r="D87" t="s">
        <v>19</v>
      </c>
      <c r="E87" t="s">
        <v>20</v>
      </c>
      <c r="F87" t="s">
        <v>21</v>
      </c>
      <c r="G87" t="s">
        <v>22</v>
      </c>
      <c r="H87" t="b">
        <v>1</v>
      </c>
      <c r="I87">
        <v>10</v>
      </c>
      <c r="J87">
        <v>74.3333333333333</v>
      </c>
      <c r="L87">
        <v>22.3</v>
      </c>
      <c r="M87">
        <v>4.2443589999999996E-3</v>
      </c>
      <c r="N87">
        <v>22.3</v>
      </c>
      <c r="O87">
        <v>4.2443589999999996E-3</v>
      </c>
      <c r="P87" s="1" t="s">
        <v>23</v>
      </c>
    </row>
    <row r="88" spans="1:16" x14ac:dyDescent="0.35">
      <c r="A88" t="s">
        <v>141</v>
      </c>
      <c r="B88" t="s">
        <v>115</v>
      </c>
      <c r="C88" t="s">
        <v>137</v>
      </c>
      <c r="D88" t="s">
        <v>19</v>
      </c>
      <c r="E88" t="s">
        <v>20</v>
      </c>
      <c r="F88" t="s">
        <v>21</v>
      </c>
      <c r="G88" t="s">
        <v>33</v>
      </c>
      <c r="H88" t="b">
        <v>1</v>
      </c>
      <c r="I88">
        <v>10</v>
      </c>
      <c r="J88">
        <v>14.3333333333333</v>
      </c>
      <c r="L88">
        <v>8.6</v>
      </c>
      <c r="M88">
        <v>3.1819999999999999E-3</v>
      </c>
      <c r="N88">
        <v>8.6</v>
      </c>
      <c r="O88">
        <v>3.1819999999999999E-3</v>
      </c>
    </row>
    <row r="89" spans="1:16" ht="29" x14ac:dyDescent="0.35">
      <c r="A89" t="s">
        <v>142</v>
      </c>
      <c r="B89" t="s">
        <v>115</v>
      </c>
      <c r="C89" t="s">
        <v>137</v>
      </c>
      <c r="D89" t="s">
        <v>19</v>
      </c>
      <c r="E89" t="s">
        <v>20</v>
      </c>
      <c r="F89" t="s">
        <v>21</v>
      </c>
      <c r="G89" t="s">
        <v>35</v>
      </c>
      <c r="H89" t="b">
        <v>1</v>
      </c>
      <c r="I89">
        <v>10</v>
      </c>
      <c r="J89">
        <v>17</v>
      </c>
      <c r="L89">
        <v>1.7</v>
      </c>
      <c r="M89">
        <v>1.58202E-4</v>
      </c>
      <c r="N89">
        <v>1.7</v>
      </c>
      <c r="O89">
        <v>1.58202E-4</v>
      </c>
      <c r="P89" s="1" t="s">
        <v>23</v>
      </c>
    </row>
    <row r="90" spans="1:16" x14ac:dyDescent="0.35">
      <c r="A90" t="s">
        <v>143</v>
      </c>
      <c r="B90" t="s">
        <v>115</v>
      </c>
      <c r="C90" t="s">
        <v>137</v>
      </c>
      <c r="D90" t="s">
        <v>19</v>
      </c>
      <c r="E90" t="s">
        <v>20</v>
      </c>
      <c r="F90" t="s">
        <v>21</v>
      </c>
      <c r="G90" t="s">
        <v>39</v>
      </c>
      <c r="H90" t="b">
        <v>0</v>
      </c>
      <c r="I90">
        <v>10</v>
      </c>
      <c r="J90">
        <v>22</v>
      </c>
      <c r="L90">
        <v>4.4000000000000004</v>
      </c>
      <c r="M90">
        <v>2.0239999999999999E-4</v>
      </c>
      <c r="N90">
        <v>0</v>
      </c>
      <c r="O90">
        <v>0</v>
      </c>
    </row>
    <row r="91" spans="1:16" x14ac:dyDescent="0.35">
      <c r="A91" t="s">
        <v>144</v>
      </c>
      <c r="B91" t="s">
        <v>115</v>
      </c>
      <c r="C91" t="s">
        <v>137</v>
      </c>
      <c r="D91" t="s">
        <v>19</v>
      </c>
      <c r="E91" t="s">
        <v>20</v>
      </c>
      <c r="F91" t="s">
        <v>21</v>
      </c>
      <c r="G91" t="s">
        <v>25</v>
      </c>
      <c r="H91" t="b">
        <v>1</v>
      </c>
      <c r="I91">
        <v>10</v>
      </c>
      <c r="J91">
        <v>18.25</v>
      </c>
      <c r="L91">
        <v>7.3</v>
      </c>
      <c r="M91">
        <v>4.2021719999999997E-3</v>
      </c>
      <c r="N91">
        <v>7.3</v>
      </c>
      <c r="O91">
        <v>4.2021719999999997E-3</v>
      </c>
    </row>
    <row r="92" spans="1:16" x14ac:dyDescent="0.35">
      <c r="A92" t="s">
        <v>145</v>
      </c>
      <c r="B92" t="s">
        <v>115</v>
      </c>
      <c r="C92" t="s">
        <v>137</v>
      </c>
      <c r="D92" t="s">
        <v>19</v>
      </c>
      <c r="E92" t="s">
        <v>20</v>
      </c>
      <c r="F92" t="s">
        <v>21</v>
      </c>
      <c r="G92" t="s">
        <v>146</v>
      </c>
      <c r="H92" t="b">
        <v>0</v>
      </c>
      <c r="I92">
        <v>10</v>
      </c>
      <c r="J92">
        <v>27</v>
      </c>
      <c r="L92">
        <v>8.1</v>
      </c>
      <c r="M92">
        <v>1.2717E-3</v>
      </c>
      <c r="N92">
        <v>0</v>
      </c>
      <c r="O92">
        <v>0</v>
      </c>
    </row>
    <row r="93" spans="1:16" x14ac:dyDescent="0.35">
      <c r="A93" t="s">
        <v>147</v>
      </c>
      <c r="B93" t="s">
        <v>148</v>
      </c>
      <c r="C93" t="s">
        <v>149</v>
      </c>
      <c r="D93" t="s">
        <v>19</v>
      </c>
      <c r="E93" t="s">
        <v>20</v>
      </c>
      <c r="F93" t="s">
        <v>21</v>
      </c>
      <c r="G93" t="s">
        <v>25</v>
      </c>
      <c r="H93" t="b">
        <v>1</v>
      </c>
      <c r="I93">
        <v>10</v>
      </c>
      <c r="J93">
        <v>21.65</v>
      </c>
      <c r="K93">
        <v>18</v>
      </c>
      <c r="L93">
        <v>82.27</v>
      </c>
      <c r="M93">
        <v>4.7357902799999997E-2</v>
      </c>
      <c r="N93">
        <v>82.27</v>
      </c>
      <c r="O93">
        <v>4.7357902799999997E-2</v>
      </c>
    </row>
    <row r="94" spans="1:16" x14ac:dyDescent="0.35">
      <c r="A94" t="s">
        <v>150</v>
      </c>
      <c r="B94" t="s">
        <v>148</v>
      </c>
      <c r="C94" t="s">
        <v>149</v>
      </c>
      <c r="D94" t="s">
        <v>19</v>
      </c>
      <c r="E94" t="s">
        <v>20</v>
      </c>
      <c r="F94" t="s">
        <v>21</v>
      </c>
      <c r="G94" t="s">
        <v>29</v>
      </c>
      <c r="H94" t="b">
        <v>0</v>
      </c>
      <c r="I94">
        <v>10</v>
      </c>
      <c r="J94">
        <v>58.1</v>
      </c>
      <c r="K94">
        <v>56</v>
      </c>
      <c r="L94">
        <v>441.56</v>
      </c>
      <c r="M94">
        <v>4.4156000000000002E-5</v>
      </c>
      <c r="N94">
        <v>0</v>
      </c>
      <c r="O94">
        <v>0</v>
      </c>
    </row>
    <row r="95" spans="1:16" x14ac:dyDescent="0.35">
      <c r="A95" t="s">
        <v>151</v>
      </c>
      <c r="B95" t="s">
        <v>148</v>
      </c>
      <c r="C95" t="s">
        <v>149</v>
      </c>
      <c r="D95" t="s">
        <v>19</v>
      </c>
      <c r="E95" t="s">
        <v>20</v>
      </c>
      <c r="F95" t="s">
        <v>21</v>
      </c>
      <c r="G95" t="s">
        <v>33</v>
      </c>
      <c r="H95" t="b">
        <v>1</v>
      </c>
      <c r="I95">
        <v>10</v>
      </c>
      <c r="J95">
        <v>36.615384615384599</v>
      </c>
      <c r="L95">
        <v>47.6</v>
      </c>
      <c r="M95">
        <v>1.7611999999999999E-2</v>
      </c>
      <c r="N95">
        <v>47.6</v>
      </c>
      <c r="O95">
        <v>1.7611999999999999E-2</v>
      </c>
    </row>
    <row r="96" spans="1:16" x14ac:dyDescent="0.35">
      <c r="A96" t="s">
        <v>152</v>
      </c>
      <c r="B96" t="s">
        <v>148</v>
      </c>
      <c r="C96" t="s">
        <v>149</v>
      </c>
      <c r="D96" t="s">
        <v>19</v>
      </c>
      <c r="E96" t="s">
        <v>20</v>
      </c>
      <c r="F96" t="s">
        <v>21</v>
      </c>
      <c r="G96" t="s">
        <v>93</v>
      </c>
      <c r="H96" t="b">
        <v>1</v>
      </c>
      <c r="I96">
        <v>10</v>
      </c>
      <c r="J96">
        <v>46</v>
      </c>
      <c r="L96">
        <v>9.1999999999999993</v>
      </c>
      <c r="M96">
        <v>0</v>
      </c>
      <c r="N96">
        <v>9.1999999999999993</v>
      </c>
      <c r="O96">
        <v>0</v>
      </c>
    </row>
    <row r="97" spans="1:15" x14ac:dyDescent="0.35">
      <c r="A97" t="s">
        <v>153</v>
      </c>
      <c r="B97" t="s">
        <v>148</v>
      </c>
      <c r="C97" t="s">
        <v>149</v>
      </c>
      <c r="D97" t="s">
        <v>19</v>
      </c>
      <c r="E97" t="s">
        <v>20</v>
      </c>
      <c r="F97" t="s">
        <v>21</v>
      </c>
      <c r="G97" t="s">
        <v>27</v>
      </c>
      <c r="H97" t="b">
        <v>0</v>
      </c>
      <c r="I97">
        <v>10</v>
      </c>
      <c r="J97">
        <v>38</v>
      </c>
      <c r="L97">
        <v>3.8</v>
      </c>
      <c r="M97">
        <v>1.9E-6</v>
      </c>
      <c r="N97">
        <v>0</v>
      </c>
      <c r="O97">
        <v>0</v>
      </c>
    </row>
    <row r="98" spans="1:15" x14ac:dyDescent="0.35">
      <c r="A98" t="s">
        <v>154</v>
      </c>
      <c r="B98" t="s">
        <v>148</v>
      </c>
      <c r="C98" t="s">
        <v>149</v>
      </c>
      <c r="D98" t="s">
        <v>19</v>
      </c>
      <c r="E98" t="s">
        <v>20</v>
      </c>
      <c r="F98" t="s">
        <v>21</v>
      </c>
      <c r="G98" t="s">
        <v>58</v>
      </c>
      <c r="H98" t="b">
        <v>1</v>
      </c>
      <c r="I98">
        <v>10</v>
      </c>
      <c r="J98">
        <v>26.5</v>
      </c>
      <c r="L98">
        <v>10.6</v>
      </c>
      <c r="M98">
        <v>2.0140000000000002E-3</v>
      </c>
      <c r="N98">
        <v>10.6</v>
      </c>
      <c r="O98">
        <v>2.0140000000000002E-3</v>
      </c>
    </row>
    <row r="99" spans="1:15" x14ac:dyDescent="0.35">
      <c r="A99" t="s">
        <v>155</v>
      </c>
      <c r="B99" t="s">
        <v>148</v>
      </c>
      <c r="C99" t="s">
        <v>149</v>
      </c>
      <c r="D99" t="s">
        <v>19</v>
      </c>
      <c r="E99" t="s">
        <v>20</v>
      </c>
      <c r="F99" t="s">
        <v>21</v>
      </c>
      <c r="G99" t="s">
        <v>48</v>
      </c>
      <c r="H99" t="b">
        <v>1</v>
      </c>
      <c r="I99">
        <v>10</v>
      </c>
      <c r="J99">
        <v>13.1666666666667</v>
      </c>
      <c r="L99">
        <v>7.9</v>
      </c>
      <c r="M99">
        <v>6.2410000000000005E-4</v>
      </c>
      <c r="N99">
        <v>7.9</v>
      </c>
      <c r="O99">
        <v>6.2410000000000005E-4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1"/>
  <sheetViews>
    <sheetView workbookViewId="0"/>
  </sheetViews>
  <sheetFormatPr defaultRowHeight="14.5" x14ac:dyDescent="0.35"/>
  <cols>
    <col min="1" max="1" width="12.453125" customWidth="1"/>
    <col min="2" max="2" width="11.81640625" customWidth="1"/>
    <col min="3" max="3" width="13.81640625" customWidth="1"/>
    <col min="4" max="4" width="14.81640625" customWidth="1"/>
    <col min="5" max="5" width="18.6328125" customWidth="1"/>
    <col min="6" max="6" width="14.453125" customWidth="1"/>
    <col min="7" max="7" width="22.26953125" customWidth="1"/>
    <col min="8" max="8" width="16.6328125" customWidth="1"/>
    <col min="9" max="9" width="20.7265625" customWidth="1"/>
    <col min="10" max="10" width="18.26953125" customWidth="1"/>
    <col min="11" max="11" width="20.81640625" customWidth="1"/>
    <col min="12" max="12" width="18.26953125" customWidth="1"/>
    <col min="13" max="13" width="18.1796875" customWidth="1"/>
    <col min="14" max="14" width="23.453125" customWidth="1"/>
    <col min="15" max="15" width="27.36328125" customWidth="1"/>
    <col min="16" max="16" width="15.179687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29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b">
        <v>1</v>
      </c>
      <c r="I2">
        <v>10</v>
      </c>
      <c r="J2">
        <v>45.25</v>
      </c>
      <c r="L2">
        <v>36.200000000000003</v>
      </c>
      <c r="M2">
        <v>6.8899460000000001E-3</v>
      </c>
      <c r="N2">
        <v>36.200000000000003</v>
      </c>
      <c r="O2">
        <v>6.8899460000000001E-3</v>
      </c>
      <c r="P2" s="1" t="s">
        <v>23</v>
      </c>
    </row>
    <row r="3" spans="1:16" ht="29" x14ac:dyDescent="0.35">
      <c r="A3" t="s">
        <v>34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35</v>
      </c>
      <c r="H3" t="b">
        <v>1</v>
      </c>
      <c r="I3">
        <v>10</v>
      </c>
      <c r="J3">
        <v>38.3333333333333</v>
      </c>
      <c r="L3">
        <v>34.5</v>
      </c>
      <c r="M3">
        <v>3.2105699999999998E-3</v>
      </c>
      <c r="N3">
        <v>34.5</v>
      </c>
      <c r="O3">
        <v>3.2105699999999998E-3</v>
      </c>
      <c r="P3" s="1" t="s">
        <v>23</v>
      </c>
    </row>
    <row r="4" spans="1:16" ht="29" x14ac:dyDescent="0.35">
      <c r="A4" t="s">
        <v>40</v>
      </c>
      <c r="B4" t="s">
        <v>41</v>
      </c>
      <c r="C4" t="s">
        <v>42</v>
      </c>
      <c r="D4" t="s">
        <v>19</v>
      </c>
      <c r="E4" t="s">
        <v>20</v>
      </c>
      <c r="F4" t="s">
        <v>43</v>
      </c>
      <c r="G4" t="s">
        <v>44</v>
      </c>
      <c r="H4" t="b">
        <v>1</v>
      </c>
      <c r="I4">
        <v>10</v>
      </c>
      <c r="J4">
        <v>12.15</v>
      </c>
      <c r="K4">
        <v>19</v>
      </c>
      <c r="L4">
        <v>1488.64584375</v>
      </c>
      <c r="M4">
        <v>0.12951218840625001</v>
      </c>
      <c r="N4">
        <v>1488.64584375</v>
      </c>
      <c r="O4">
        <v>0.12951218840625001</v>
      </c>
      <c r="P4" s="1" t="s">
        <v>23</v>
      </c>
    </row>
    <row r="5" spans="1:16" ht="29" x14ac:dyDescent="0.35">
      <c r="A5" t="s">
        <v>51</v>
      </c>
      <c r="B5" t="s">
        <v>41</v>
      </c>
      <c r="C5" t="s">
        <v>52</v>
      </c>
      <c r="D5" t="s">
        <v>19</v>
      </c>
      <c r="E5" t="s">
        <v>20</v>
      </c>
      <c r="F5" t="s">
        <v>53</v>
      </c>
      <c r="G5" t="s">
        <v>44</v>
      </c>
      <c r="H5" t="b">
        <v>1</v>
      </c>
      <c r="I5">
        <v>10</v>
      </c>
      <c r="J5">
        <v>28.8</v>
      </c>
      <c r="K5">
        <v>344</v>
      </c>
      <c r="L5">
        <v>105388.77439999999</v>
      </c>
      <c r="M5">
        <v>9.1688233728000004</v>
      </c>
      <c r="N5">
        <v>105388.77439999999</v>
      </c>
      <c r="O5">
        <v>9.1688233728000004</v>
      </c>
      <c r="P5" s="1" t="s">
        <v>23</v>
      </c>
    </row>
    <row r="6" spans="1:16" ht="29" x14ac:dyDescent="0.35">
      <c r="A6" t="s">
        <v>69</v>
      </c>
      <c r="B6" t="s">
        <v>61</v>
      </c>
      <c r="C6" t="s">
        <v>62</v>
      </c>
      <c r="D6" t="s">
        <v>19</v>
      </c>
      <c r="E6" t="s">
        <v>20</v>
      </c>
      <c r="F6" t="s">
        <v>21</v>
      </c>
      <c r="G6" t="s">
        <v>22</v>
      </c>
      <c r="H6" t="b">
        <v>1</v>
      </c>
      <c r="I6">
        <v>10</v>
      </c>
      <c r="J6">
        <v>27</v>
      </c>
      <c r="L6">
        <v>8.1</v>
      </c>
      <c r="M6">
        <v>1.5416729999999999E-3</v>
      </c>
      <c r="N6">
        <v>8.1</v>
      </c>
      <c r="O6">
        <v>1.5416729999999999E-3</v>
      </c>
      <c r="P6" s="1" t="s">
        <v>23</v>
      </c>
    </row>
    <row r="7" spans="1:16" ht="29" x14ac:dyDescent="0.35">
      <c r="A7" t="s">
        <v>72</v>
      </c>
      <c r="B7" t="s">
        <v>61</v>
      </c>
      <c r="C7" t="s">
        <v>73</v>
      </c>
      <c r="D7" t="s">
        <v>19</v>
      </c>
      <c r="E7" t="s">
        <v>20</v>
      </c>
      <c r="F7" t="s">
        <v>43</v>
      </c>
      <c r="G7" t="s">
        <v>35</v>
      </c>
      <c r="H7" t="b">
        <v>1</v>
      </c>
      <c r="I7">
        <v>10</v>
      </c>
      <c r="J7">
        <v>24.5</v>
      </c>
      <c r="L7">
        <v>307.87652777777799</v>
      </c>
      <c r="M7">
        <v>2.8650989674999999E-2</v>
      </c>
      <c r="N7">
        <v>307.87652777777799</v>
      </c>
      <c r="O7">
        <v>2.8650989674999999E-2</v>
      </c>
      <c r="P7" s="1" t="s">
        <v>23</v>
      </c>
    </row>
    <row r="8" spans="1:16" ht="29" x14ac:dyDescent="0.35">
      <c r="A8" t="s">
        <v>78</v>
      </c>
      <c r="B8" t="s">
        <v>61</v>
      </c>
      <c r="C8" t="s">
        <v>73</v>
      </c>
      <c r="D8" t="s">
        <v>19</v>
      </c>
      <c r="E8" t="s">
        <v>20</v>
      </c>
      <c r="F8" t="s">
        <v>43</v>
      </c>
      <c r="G8" t="s">
        <v>22</v>
      </c>
      <c r="H8" t="b">
        <v>1</v>
      </c>
      <c r="I8">
        <v>10</v>
      </c>
      <c r="J8">
        <v>36</v>
      </c>
      <c r="L8">
        <v>113.0975</v>
      </c>
      <c r="M8">
        <v>2.1525847175000001E-2</v>
      </c>
      <c r="N8">
        <v>113.0975</v>
      </c>
      <c r="O8">
        <v>2.1525847175000001E-2</v>
      </c>
      <c r="P8" s="1" t="s">
        <v>23</v>
      </c>
    </row>
    <row r="9" spans="1:16" ht="29" x14ac:dyDescent="0.35">
      <c r="A9" t="s">
        <v>85</v>
      </c>
      <c r="B9" t="s">
        <v>61</v>
      </c>
      <c r="C9" t="s">
        <v>80</v>
      </c>
      <c r="D9" t="s">
        <v>19</v>
      </c>
      <c r="E9" t="s">
        <v>20</v>
      </c>
      <c r="F9" t="s">
        <v>21</v>
      </c>
      <c r="G9" t="s">
        <v>22</v>
      </c>
      <c r="H9" t="b">
        <v>1</v>
      </c>
      <c r="I9">
        <v>10</v>
      </c>
      <c r="J9">
        <v>55.75</v>
      </c>
      <c r="L9">
        <v>89.2</v>
      </c>
      <c r="M9">
        <v>1.6977435999999999E-2</v>
      </c>
      <c r="N9">
        <v>89.2</v>
      </c>
      <c r="O9">
        <v>1.6977435999999999E-2</v>
      </c>
      <c r="P9" s="1" t="s">
        <v>23</v>
      </c>
    </row>
    <row r="10" spans="1:16" ht="29" x14ac:dyDescent="0.35">
      <c r="A10" t="s">
        <v>88</v>
      </c>
      <c r="B10" t="s">
        <v>61</v>
      </c>
      <c r="C10" t="s">
        <v>80</v>
      </c>
      <c r="D10" t="s">
        <v>19</v>
      </c>
      <c r="E10" t="s">
        <v>20</v>
      </c>
      <c r="F10" t="s">
        <v>21</v>
      </c>
      <c r="G10" t="s">
        <v>44</v>
      </c>
      <c r="H10" t="b">
        <v>1</v>
      </c>
      <c r="I10">
        <v>10</v>
      </c>
      <c r="J10">
        <v>57.6</v>
      </c>
      <c r="L10">
        <v>28.8</v>
      </c>
      <c r="M10">
        <v>2.5056000000000002E-3</v>
      </c>
      <c r="N10">
        <v>28.8</v>
      </c>
      <c r="O10">
        <v>2.5056000000000002E-3</v>
      </c>
      <c r="P10" s="1" t="s">
        <v>23</v>
      </c>
    </row>
    <row r="11" spans="1:16" ht="29" x14ac:dyDescent="0.35">
      <c r="A11" t="s">
        <v>94</v>
      </c>
      <c r="B11" t="s">
        <v>61</v>
      </c>
      <c r="C11" t="s">
        <v>95</v>
      </c>
      <c r="D11" t="s">
        <v>19</v>
      </c>
      <c r="E11" t="s">
        <v>20</v>
      </c>
      <c r="F11" t="s">
        <v>21</v>
      </c>
      <c r="G11" t="s">
        <v>22</v>
      </c>
      <c r="H11" t="b">
        <v>1</v>
      </c>
      <c r="I11">
        <v>10</v>
      </c>
      <c r="J11">
        <v>68.692307692307693</v>
      </c>
      <c r="L11">
        <v>89.3</v>
      </c>
      <c r="M11">
        <v>1.6996469E-2</v>
      </c>
      <c r="N11">
        <v>89.3</v>
      </c>
      <c r="O11">
        <v>1.6996469E-2</v>
      </c>
      <c r="P11" s="1" t="s">
        <v>23</v>
      </c>
    </row>
    <row r="12" spans="1:16" ht="29" x14ac:dyDescent="0.35">
      <c r="A12" t="s">
        <v>107</v>
      </c>
      <c r="B12" t="s">
        <v>61</v>
      </c>
      <c r="C12" t="s">
        <v>104</v>
      </c>
      <c r="D12" t="s">
        <v>19</v>
      </c>
      <c r="E12" t="s">
        <v>20</v>
      </c>
      <c r="F12" t="s">
        <v>21</v>
      </c>
      <c r="G12" t="s">
        <v>22</v>
      </c>
      <c r="H12" t="b">
        <v>1</v>
      </c>
      <c r="I12">
        <v>10</v>
      </c>
      <c r="J12">
        <v>62.5</v>
      </c>
      <c r="L12">
        <v>37.5</v>
      </c>
      <c r="M12">
        <v>7.1373749999999996E-3</v>
      </c>
      <c r="N12">
        <v>37.5</v>
      </c>
      <c r="O12">
        <v>7.1373749999999996E-3</v>
      </c>
      <c r="P12" s="1" t="s">
        <v>23</v>
      </c>
    </row>
    <row r="13" spans="1:16" ht="29" x14ac:dyDescent="0.35">
      <c r="A13" t="s">
        <v>109</v>
      </c>
      <c r="B13" t="s">
        <v>61</v>
      </c>
      <c r="C13" t="s">
        <v>104</v>
      </c>
      <c r="D13" t="s">
        <v>19</v>
      </c>
      <c r="E13" t="s">
        <v>20</v>
      </c>
      <c r="F13" t="s">
        <v>21</v>
      </c>
      <c r="G13" t="s">
        <v>35</v>
      </c>
      <c r="H13" t="b">
        <v>1</v>
      </c>
      <c r="I13">
        <v>10</v>
      </c>
      <c r="J13">
        <v>51.857142857142897</v>
      </c>
      <c r="L13">
        <v>36.299999999999997</v>
      </c>
      <c r="M13">
        <v>3.3780780000000001E-3</v>
      </c>
      <c r="N13">
        <v>36.299999999999997</v>
      </c>
      <c r="O13">
        <v>3.3780780000000001E-3</v>
      </c>
      <c r="P13" s="1" t="s">
        <v>23</v>
      </c>
    </row>
    <row r="14" spans="1:16" ht="29" x14ac:dyDescent="0.35">
      <c r="A14" t="s">
        <v>114</v>
      </c>
      <c r="B14" t="s">
        <v>115</v>
      </c>
      <c r="C14" t="s">
        <v>116</v>
      </c>
      <c r="D14" t="s">
        <v>19</v>
      </c>
      <c r="E14" t="s">
        <v>20</v>
      </c>
      <c r="F14" t="s">
        <v>21</v>
      </c>
      <c r="G14" t="s">
        <v>35</v>
      </c>
      <c r="H14" t="b">
        <v>1</v>
      </c>
      <c r="I14">
        <v>10</v>
      </c>
      <c r="J14">
        <v>23</v>
      </c>
      <c r="L14">
        <v>2.2999999999999998</v>
      </c>
      <c r="M14">
        <v>2.14038E-4</v>
      </c>
      <c r="N14">
        <v>2.2999999999999998</v>
      </c>
      <c r="O14">
        <v>2.14038E-4</v>
      </c>
      <c r="P14" s="1" t="s">
        <v>23</v>
      </c>
    </row>
    <row r="15" spans="1:16" ht="29" x14ac:dyDescent="0.35">
      <c r="A15" t="s">
        <v>117</v>
      </c>
      <c r="B15" t="s">
        <v>115</v>
      </c>
      <c r="C15" t="s">
        <v>116</v>
      </c>
      <c r="D15" t="s">
        <v>19</v>
      </c>
      <c r="E15" t="s">
        <v>20</v>
      </c>
      <c r="F15" t="s">
        <v>21</v>
      </c>
      <c r="G15" t="s">
        <v>22</v>
      </c>
      <c r="H15" t="b">
        <v>1</v>
      </c>
      <c r="I15">
        <v>10</v>
      </c>
      <c r="J15">
        <v>31</v>
      </c>
      <c r="L15">
        <v>9.3000000000000007</v>
      </c>
      <c r="M15">
        <v>1.770069E-3</v>
      </c>
      <c r="N15">
        <v>9.3000000000000007</v>
      </c>
      <c r="O15">
        <v>1.770069E-3</v>
      </c>
      <c r="P15" s="1" t="s">
        <v>23</v>
      </c>
    </row>
    <row r="16" spans="1:16" ht="29" x14ac:dyDescent="0.35">
      <c r="A16" t="s">
        <v>128</v>
      </c>
      <c r="B16" t="s">
        <v>115</v>
      </c>
      <c r="C16" t="s">
        <v>122</v>
      </c>
      <c r="D16" t="s">
        <v>19</v>
      </c>
      <c r="E16" t="s">
        <v>20</v>
      </c>
      <c r="F16" t="s">
        <v>21</v>
      </c>
      <c r="G16" t="s">
        <v>22</v>
      </c>
      <c r="H16" t="b">
        <v>1</v>
      </c>
      <c r="I16">
        <v>10</v>
      </c>
      <c r="J16">
        <v>69</v>
      </c>
      <c r="L16">
        <v>27.6</v>
      </c>
      <c r="M16">
        <v>5.2531080000000003E-3</v>
      </c>
      <c r="N16">
        <v>27.6</v>
      </c>
      <c r="O16">
        <v>5.2531080000000003E-3</v>
      </c>
      <c r="P16" s="1" t="s">
        <v>23</v>
      </c>
    </row>
    <row r="17" spans="1:16" ht="29" x14ac:dyDescent="0.35">
      <c r="A17" t="s">
        <v>129</v>
      </c>
      <c r="B17" t="s">
        <v>115</v>
      </c>
      <c r="C17" t="s">
        <v>122</v>
      </c>
      <c r="D17" t="s">
        <v>19</v>
      </c>
      <c r="E17" t="s">
        <v>20</v>
      </c>
      <c r="F17" t="s">
        <v>21</v>
      </c>
      <c r="G17" t="s">
        <v>44</v>
      </c>
      <c r="H17" t="b">
        <v>1</v>
      </c>
      <c r="I17">
        <v>10</v>
      </c>
      <c r="J17">
        <v>38.6666666666667</v>
      </c>
      <c r="L17">
        <v>11.6</v>
      </c>
      <c r="M17">
        <v>1.0092E-3</v>
      </c>
      <c r="N17">
        <v>11.6</v>
      </c>
      <c r="O17">
        <v>1.0092E-3</v>
      </c>
      <c r="P17" s="1" t="s">
        <v>23</v>
      </c>
    </row>
    <row r="18" spans="1:16" ht="29" x14ac:dyDescent="0.35">
      <c r="A18" t="s">
        <v>130</v>
      </c>
      <c r="B18" t="s">
        <v>115</v>
      </c>
      <c r="C18" t="s">
        <v>131</v>
      </c>
      <c r="D18" t="s">
        <v>19</v>
      </c>
      <c r="E18" t="s">
        <v>20</v>
      </c>
      <c r="F18" t="s">
        <v>21</v>
      </c>
      <c r="G18" t="s">
        <v>22</v>
      </c>
      <c r="H18" t="b">
        <v>1</v>
      </c>
      <c r="I18">
        <v>10</v>
      </c>
      <c r="J18">
        <v>69</v>
      </c>
      <c r="L18">
        <v>48.3</v>
      </c>
      <c r="M18">
        <v>9.1929390000000007E-3</v>
      </c>
      <c r="N18">
        <v>48.3</v>
      </c>
      <c r="O18">
        <v>9.1929390000000007E-3</v>
      </c>
      <c r="P18" s="1" t="s">
        <v>23</v>
      </c>
    </row>
    <row r="19" spans="1:16" ht="29" x14ac:dyDescent="0.35">
      <c r="A19" t="s">
        <v>135</v>
      </c>
      <c r="B19" t="s">
        <v>115</v>
      </c>
      <c r="C19" t="s">
        <v>131</v>
      </c>
      <c r="D19" t="s">
        <v>19</v>
      </c>
      <c r="E19" t="s">
        <v>20</v>
      </c>
      <c r="F19" t="s">
        <v>21</v>
      </c>
      <c r="G19" t="s">
        <v>35</v>
      </c>
      <c r="H19" t="b">
        <v>1</v>
      </c>
      <c r="I19">
        <v>10</v>
      </c>
      <c r="J19">
        <v>43</v>
      </c>
      <c r="L19">
        <v>25.8</v>
      </c>
      <c r="M19">
        <v>2.400948E-3</v>
      </c>
      <c r="N19">
        <v>25.8</v>
      </c>
      <c r="O19">
        <v>2.400948E-3</v>
      </c>
      <c r="P19" s="1" t="s">
        <v>23</v>
      </c>
    </row>
    <row r="20" spans="1:16" ht="29" x14ac:dyDescent="0.35">
      <c r="A20" t="s">
        <v>140</v>
      </c>
      <c r="B20" t="s">
        <v>115</v>
      </c>
      <c r="C20" t="s">
        <v>137</v>
      </c>
      <c r="D20" t="s">
        <v>19</v>
      </c>
      <c r="E20" t="s">
        <v>20</v>
      </c>
      <c r="F20" t="s">
        <v>21</v>
      </c>
      <c r="G20" t="s">
        <v>22</v>
      </c>
      <c r="H20" t="b">
        <v>1</v>
      </c>
      <c r="I20">
        <v>10</v>
      </c>
      <c r="J20">
        <v>74.3333333333333</v>
      </c>
      <c r="L20">
        <v>22.3</v>
      </c>
      <c r="M20">
        <v>4.2443589999999996E-3</v>
      </c>
      <c r="N20">
        <v>22.3</v>
      </c>
      <c r="O20">
        <v>4.2443589999999996E-3</v>
      </c>
      <c r="P20" s="1" t="s">
        <v>23</v>
      </c>
    </row>
    <row r="21" spans="1:16" ht="29" x14ac:dyDescent="0.35">
      <c r="A21" t="s">
        <v>142</v>
      </c>
      <c r="B21" t="s">
        <v>115</v>
      </c>
      <c r="C21" t="s">
        <v>137</v>
      </c>
      <c r="D21" t="s">
        <v>19</v>
      </c>
      <c r="E21" t="s">
        <v>20</v>
      </c>
      <c r="F21" t="s">
        <v>21</v>
      </c>
      <c r="G21" t="s">
        <v>35</v>
      </c>
      <c r="H21" t="b">
        <v>1</v>
      </c>
      <c r="I21">
        <v>10</v>
      </c>
      <c r="J21">
        <v>17</v>
      </c>
      <c r="L21">
        <v>1.7</v>
      </c>
      <c r="M21">
        <v>1.58202E-4</v>
      </c>
      <c r="N21">
        <v>1.7</v>
      </c>
      <c r="O21">
        <v>1.58202E-4</v>
      </c>
      <c r="P21" s="1" t="s">
        <v>23</v>
      </c>
    </row>
  </sheetData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"/>
  <sheetViews>
    <sheetView workbookViewId="0"/>
  </sheetViews>
  <sheetFormatPr defaultRowHeight="14.5" x14ac:dyDescent="0.35"/>
  <cols>
    <col min="1" max="1" width="24" customWidth="1"/>
    <col min="2" max="2" width="32.08984375" customWidth="1"/>
  </cols>
  <sheetData>
    <row r="1" spans="1:4" x14ac:dyDescent="0.35">
      <c r="A1" s="2" t="s">
        <v>156</v>
      </c>
      <c r="B1" s="2" t="s">
        <v>157</v>
      </c>
    </row>
    <row r="2" spans="1:4" x14ac:dyDescent="0.35">
      <c r="A2" s="3" t="s">
        <v>158</v>
      </c>
      <c r="B2" s="3" t="s">
        <v>158</v>
      </c>
    </row>
    <row r="3" spans="1:4" x14ac:dyDescent="0.35">
      <c r="A3" s="4" t="s">
        <v>159</v>
      </c>
      <c r="B3" s="4" t="s">
        <v>160</v>
      </c>
    </row>
    <row r="4" spans="1:4" x14ac:dyDescent="0.35">
      <c r="A4" s="5" t="s">
        <v>161</v>
      </c>
      <c r="B4" s="5" t="s">
        <v>162</v>
      </c>
    </row>
    <row r="8" spans="1:4" x14ac:dyDescent="0.35">
      <c r="C8" s="6" t="s">
        <v>176</v>
      </c>
      <c r="D8" s="6" t="s">
        <v>177</v>
      </c>
    </row>
    <row r="9" spans="1:4" x14ac:dyDescent="0.35">
      <c r="C9" t="s">
        <v>19</v>
      </c>
    </row>
    <row r="10" spans="1:4" x14ac:dyDescent="0.35">
      <c r="A10" s="6" t="s">
        <v>1</v>
      </c>
      <c r="B10" s="6" t="s">
        <v>2</v>
      </c>
      <c r="C10" t="s">
        <v>12</v>
      </c>
      <c r="D10" t="s">
        <v>14</v>
      </c>
    </row>
    <row r="11" spans="1:4" x14ac:dyDescent="0.35">
      <c r="A11" t="s">
        <v>17</v>
      </c>
      <c r="B11" t="s">
        <v>18</v>
      </c>
      <c r="C11">
        <v>2.2065994000000002E-2</v>
      </c>
      <c r="D11">
        <v>2.1879584000000001E-2</v>
      </c>
    </row>
    <row r="12" spans="1:4" x14ac:dyDescent="0.35">
      <c r="A12" t="s">
        <v>41</v>
      </c>
      <c r="B12" t="s">
        <v>42</v>
      </c>
      <c r="C12">
        <v>0.29215173412152795</v>
      </c>
      <c r="D12">
        <v>0.29193433559375015</v>
      </c>
    </row>
    <row r="13" spans="1:4" x14ac:dyDescent="0.35">
      <c r="B13" t="s">
        <v>52</v>
      </c>
      <c r="C13">
        <v>9.6797061934266679</v>
      </c>
      <c r="D13">
        <v>9.6764887957466676</v>
      </c>
    </row>
    <row r="14" spans="1:4" x14ac:dyDescent="0.35">
      <c r="A14" t="s">
        <v>61</v>
      </c>
      <c r="B14" t="s">
        <v>62</v>
      </c>
      <c r="C14">
        <v>9.7525624999999991E-3</v>
      </c>
      <c r="D14">
        <v>8.7959489999999991E-3</v>
      </c>
    </row>
    <row r="15" spans="1:4" x14ac:dyDescent="0.35">
      <c r="B15" t="s">
        <v>73</v>
      </c>
      <c r="C15">
        <v>9.6206891030555505E-2</v>
      </c>
      <c r="D15">
        <v>9.4064950044444401E-2</v>
      </c>
    </row>
    <row r="16" spans="1:4" x14ac:dyDescent="0.35">
      <c r="B16" t="s">
        <v>80</v>
      </c>
      <c r="C16">
        <v>5.5276435999999984E-2</v>
      </c>
      <c r="D16">
        <v>5.5013865999999995E-2</v>
      </c>
    </row>
    <row r="17" spans="1:4" x14ac:dyDescent="0.35">
      <c r="B17" t="s">
        <v>95</v>
      </c>
      <c r="C17">
        <v>4.9521568500000002E-2</v>
      </c>
      <c r="D17">
        <v>4.864668300000001E-2</v>
      </c>
    </row>
    <row r="18" spans="1:4" x14ac:dyDescent="0.35">
      <c r="B18" t="s">
        <v>104</v>
      </c>
      <c r="C18">
        <v>2.0987027000000002E-2</v>
      </c>
      <c r="D18">
        <v>2.0525927000000003E-2</v>
      </c>
    </row>
    <row r="19" spans="1:4" x14ac:dyDescent="0.35">
      <c r="A19" t="s">
        <v>115</v>
      </c>
      <c r="B19" t="s">
        <v>116</v>
      </c>
      <c r="C19">
        <v>1.2116195E-2</v>
      </c>
      <c r="D19">
        <v>1.2097795E-2</v>
      </c>
    </row>
    <row r="20" spans="1:4" x14ac:dyDescent="0.35">
      <c r="B20" t="s">
        <v>122</v>
      </c>
      <c r="C20">
        <v>2.2623496E-2</v>
      </c>
      <c r="D20">
        <v>2.2411896000000001E-2</v>
      </c>
    </row>
    <row r="21" spans="1:4" x14ac:dyDescent="0.35">
      <c r="B21" t="s">
        <v>131</v>
      </c>
      <c r="C21">
        <v>3.8752914999999999E-2</v>
      </c>
      <c r="D21">
        <v>3.8683914999999999E-2</v>
      </c>
    </row>
    <row r="22" spans="1:4" x14ac:dyDescent="0.35">
      <c r="B22" t="s">
        <v>137</v>
      </c>
      <c r="C22">
        <v>1.5793233E-2</v>
      </c>
      <c r="D22">
        <v>1.4237732999999999E-2</v>
      </c>
    </row>
    <row r="23" spans="1:4" x14ac:dyDescent="0.35">
      <c r="A23" t="s">
        <v>148</v>
      </c>
      <c r="B23" t="s">
        <v>149</v>
      </c>
      <c r="C23">
        <v>6.76540588E-2</v>
      </c>
      <c r="D23">
        <v>6.7608002799999997E-2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1"/>
  <sheetViews>
    <sheetView tabSelected="1" workbookViewId="0"/>
  </sheetViews>
  <sheetFormatPr defaultRowHeight="14.5" x14ac:dyDescent="0.35"/>
  <cols>
    <col min="1" max="1" width="24.6328125" customWidth="1"/>
    <col min="2" max="2" width="33.7265625" customWidth="1"/>
    <col min="3" max="3" width="31.36328125" customWidth="1"/>
    <col min="4" max="4" width="29.54296875" customWidth="1"/>
  </cols>
  <sheetData>
    <row r="1" spans="1:4" x14ac:dyDescent="0.35">
      <c r="A1" s="2" t="s">
        <v>163</v>
      </c>
      <c r="B1" s="2" t="s">
        <v>164</v>
      </c>
      <c r="C1" s="2" t="s">
        <v>165</v>
      </c>
      <c r="D1" s="2" t="s">
        <v>166</v>
      </c>
    </row>
    <row r="2" spans="1:4" x14ac:dyDescent="0.35">
      <c r="A2" s="3" t="s">
        <v>167</v>
      </c>
      <c r="B2" s="3" t="s">
        <v>167</v>
      </c>
      <c r="C2" s="3" t="s">
        <v>167</v>
      </c>
      <c r="D2" s="3" t="s">
        <v>167</v>
      </c>
    </row>
    <row r="3" spans="1:4" x14ac:dyDescent="0.35">
      <c r="A3" s="4" t="s">
        <v>168</v>
      </c>
      <c r="B3" s="4" t="s">
        <v>169</v>
      </c>
      <c r="C3" s="4" t="s">
        <v>170</v>
      </c>
      <c r="D3" s="4" t="s">
        <v>171</v>
      </c>
    </row>
    <row r="4" spans="1:4" x14ac:dyDescent="0.35">
      <c r="A4" s="5" t="s">
        <v>172</v>
      </c>
      <c r="B4" s="5" t="s">
        <v>173</v>
      </c>
      <c r="C4" s="5" t="s">
        <v>174</v>
      </c>
      <c r="D4" s="5" t="s">
        <v>175</v>
      </c>
    </row>
    <row r="8" spans="1:4" x14ac:dyDescent="0.35">
      <c r="A8" s="6" t="s">
        <v>11</v>
      </c>
      <c r="C8" s="6" t="s">
        <v>176</v>
      </c>
      <c r="D8" s="6" t="s">
        <v>15</v>
      </c>
    </row>
    <row r="9" spans="1:4" x14ac:dyDescent="0.35">
      <c r="C9" t="s">
        <v>19</v>
      </c>
    </row>
    <row r="10" spans="1:4" x14ac:dyDescent="0.35">
      <c r="A10" s="6" t="s">
        <v>1</v>
      </c>
      <c r="B10" s="6" t="s">
        <v>2</v>
      </c>
      <c r="C10" t="s">
        <v>23</v>
      </c>
    </row>
    <row r="11" spans="1:4" x14ac:dyDescent="0.35">
      <c r="A11" t="s">
        <v>17</v>
      </c>
      <c r="B11" t="s">
        <v>18</v>
      </c>
      <c r="C11">
        <v>70.7</v>
      </c>
    </row>
    <row r="12" spans="1:4" x14ac:dyDescent="0.35">
      <c r="A12" t="s">
        <v>41</v>
      </c>
      <c r="B12" t="s">
        <v>42</v>
      </c>
      <c r="C12">
        <v>1488.64584375</v>
      </c>
    </row>
    <row r="13" spans="1:4" x14ac:dyDescent="0.35">
      <c r="B13" t="s">
        <v>52</v>
      </c>
      <c r="C13">
        <v>105388.77439999999</v>
      </c>
    </row>
    <row r="14" spans="1:4" x14ac:dyDescent="0.35">
      <c r="A14" t="s">
        <v>61</v>
      </c>
      <c r="B14" t="s">
        <v>62</v>
      </c>
      <c r="C14">
        <v>8.1</v>
      </c>
    </row>
    <row r="15" spans="1:4" x14ac:dyDescent="0.35">
      <c r="B15" t="s">
        <v>73</v>
      </c>
      <c r="C15">
        <v>420.97402777777802</v>
      </c>
    </row>
    <row r="16" spans="1:4" x14ac:dyDescent="0.35">
      <c r="B16" t="s">
        <v>80</v>
      </c>
      <c r="C16">
        <v>118</v>
      </c>
    </row>
    <row r="17" spans="1:3" x14ac:dyDescent="0.35">
      <c r="B17" t="s">
        <v>95</v>
      </c>
      <c r="C17">
        <v>89.3</v>
      </c>
    </row>
    <row r="18" spans="1:3" x14ac:dyDescent="0.35">
      <c r="B18" t="s">
        <v>104</v>
      </c>
      <c r="C18">
        <v>73.8</v>
      </c>
    </row>
    <row r="19" spans="1:3" x14ac:dyDescent="0.35">
      <c r="A19" t="s">
        <v>115</v>
      </c>
      <c r="B19" t="s">
        <v>116</v>
      </c>
      <c r="C19">
        <v>11.600000000000001</v>
      </c>
    </row>
    <row r="20" spans="1:3" x14ac:dyDescent="0.35">
      <c r="B20" t="s">
        <v>122</v>
      </c>
      <c r="C20">
        <v>39.200000000000003</v>
      </c>
    </row>
    <row r="21" spans="1:3" x14ac:dyDescent="0.35">
      <c r="B21" t="s">
        <v>131</v>
      </c>
      <c r="C21">
        <v>74.099999999999994</v>
      </c>
    </row>
    <row r="22" spans="1:3" x14ac:dyDescent="0.35">
      <c r="B22" t="s">
        <v>137</v>
      </c>
      <c r="C22">
        <v>24</v>
      </c>
    </row>
    <row r="30" spans="1:3" x14ac:dyDescent="0.35">
      <c r="A30" s="2" t="s">
        <v>156</v>
      </c>
    </row>
    <row r="31" spans="1:3" x14ac:dyDescent="0.35">
      <c r="A31" s="3" t="s">
        <v>158</v>
      </c>
    </row>
    <row r="32" spans="1:3" x14ac:dyDescent="0.35">
      <c r="A32" s="4" t="s">
        <v>159</v>
      </c>
    </row>
    <row r="33" spans="1:3" x14ac:dyDescent="0.35">
      <c r="A33" s="5" t="s">
        <v>161</v>
      </c>
    </row>
    <row r="37" spans="1:3" x14ac:dyDescent="0.35">
      <c r="A37" s="6" t="s">
        <v>12</v>
      </c>
      <c r="C37" s="6" t="s">
        <v>176</v>
      </c>
    </row>
    <row r="38" spans="1:3" x14ac:dyDescent="0.35">
      <c r="A38" s="6" t="s">
        <v>1</v>
      </c>
      <c r="B38" s="6" t="s">
        <v>2</v>
      </c>
      <c r="C38" t="s">
        <v>19</v>
      </c>
    </row>
    <row r="39" spans="1:3" x14ac:dyDescent="0.35">
      <c r="A39" t="s">
        <v>17</v>
      </c>
      <c r="B39" t="s">
        <v>18</v>
      </c>
      <c r="C39">
        <v>2.2065994000000002E-2</v>
      </c>
    </row>
    <row r="40" spans="1:3" x14ac:dyDescent="0.35">
      <c r="A40" t="s">
        <v>41</v>
      </c>
      <c r="B40" t="s">
        <v>42</v>
      </c>
      <c r="C40">
        <v>0.29215173412152795</v>
      </c>
    </row>
    <row r="41" spans="1:3" x14ac:dyDescent="0.35">
      <c r="B41" t="s">
        <v>52</v>
      </c>
      <c r="C41">
        <v>9.6797061934266679</v>
      </c>
    </row>
    <row r="42" spans="1:3" x14ac:dyDescent="0.35">
      <c r="A42" t="s">
        <v>61</v>
      </c>
      <c r="B42" t="s">
        <v>62</v>
      </c>
      <c r="C42">
        <v>9.7525624999999991E-3</v>
      </c>
    </row>
    <row r="43" spans="1:3" x14ac:dyDescent="0.35">
      <c r="B43" t="s">
        <v>73</v>
      </c>
      <c r="C43">
        <v>9.6206891030555505E-2</v>
      </c>
    </row>
    <row r="44" spans="1:3" x14ac:dyDescent="0.35">
      <c r="B44" t="s">
        <v>80</v>
      </c>
      <c r="C44">
        <v>5.5276435999999984E-2</v>
      </c>
    </row>
    <row r="45" spans="1:3" x14ac:dyDescent="0.35">
      <c r="B45" t="s">
        <v>95</v>
      </c>
      <c r="C45">
        <v>4.9521568500000002E-2</v>
      </c>
    </row>
    <row r="46" spans="1:3" x14ac:dyDescent="0.35">
      <c r="B46" t="s">
        <v>104</v>
      </c>
      <c r="C46">
        <v>2.0987027000000002E-2</v>
      </c>
    </row>
    <row r="47" spans="1:3" x14ac:dyDescent="0.35">
      <c r="A47" t="s">
        <v>115</v>
      </c>
      <c r="B47" t="s">
        <v>116</v>
      </c>
      <c r="C47">
        <v>1.2116195E-2</v>
      </c>
    </row>
    <row r="48" spans="1:3" x14ac:dyDescent="0.35">
      <c r="B48" t="s">
        <v>122</v>
      </c>
      <c r="C48">
        <v>2.2623496E-2</v>
      </c>
    </row>
    <row r="49" spans="1:3" x14ac:dyDescent="0.35">
      <c r="B49" t="s">
        <v>131</v>
      </c>
      <c r="C49">
        <v>3.8752914999999999E-2</v>
      </c>
    </row>
    <row r="50" spans="1:3" x14ac:dyDescent="0.35">
      <c r="B50" t="s">
        <v>137</v>
      </c>
      <c r="C50">
        <v>1.5793233E-2</v>
      </c>
    </row>
    <row r="51" spans="1:3" x14ac:dyDescent="0.35">
      <c r="A51" t="s">
        <v>148</v>
      </c>
      <c r="B51" t="s">
        <v>149</v>
      </c>
      <c r="C51">
        <v>6.76540588E-2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Lakes Data</vt:lpstr>
      <vt:lpstr>Toxin Data</vt:lpstr>
      <vt:lpstr>Warnings</vt:lpstr>
      <vt:lpstr>Warnings 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Anna Raeburn</cp:lastModifiedBy>
  <dcterms:created xsi:type="dcterms:W3CDTF">2025-03-27T02:44:15Z</dcterms:created>
  <dcterms:modified xsi:type="dcterms:W3CDTF">2025-03-27T02:44:29Z</dcterms:modified>
</cp:coreProperties>
</file>