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499BEBF0-E865-4BC4-B114-489297E0F5E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70" r:id="rId5"/>
    <pivotCache cacheId="77" r:id="rId6"/>
    <pivotCache cacheId="83" r:id="rId7"/>
  </pivotCaches>
</workbook>
</file>

<file path=xl/sharedStrings.xml><?xml version="1.0" encoding="utf-8"?>
<sst xmlns="http://schemas.openxmlformats.org/spreadsheetml/2006/main" count="2789" uniqueCount="385">
  <si>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</si>
  <si>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</si>
  <si>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</si>
  <si>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</si>
  <si>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</si>
  <si>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</si>
  <si>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</si>
  <si>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</si>
  <si>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</si>
  <si>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</si>
  <si>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</si>
  <si>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</si>
  <si>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</si>
  <si>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</si>
  <si>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</si>
  <si>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</si>
  <si>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5984.1</t>
  </si>
  <si>
    <t>Rotoehu</t>
  </si>
  <si>
    <t>Kennedy Bay</t>
  </si>
  <si>
    <t>06/04/2026</t>
  </si>
  <si>
    <t>20A</t>
  </si>
  <si>
    <t>Whole Plate</t>
  </si>
  <si>
    <t>Microcystis sp</t>
  </si>
  <si>
    <t xml:space="preserve">Microcystis spp.
</t>
  </si>
  <si>
    <t>5984.2</t>
  </si>
  <si>
    <t>Pseudanabaena sp.</t>
  </si>
  <si>
    <t>5984.3</t>
  </si>
  <si>
    <t>Dolichospermum lemmermannii</t>
  </si>
  <si>
    <t>5984.4</t>
  </si>
  <si>
    <t>Anabaena torulosa</t>
  </si>
  <si>
    <t>5984.5</t>
  </si>
  <si>
    <t>Aphanocapsa sp</t>
  </si>
  <si>
    <t>5984.6</t>
  </si>
  <si>
    <t>Microcystis wesenbergii</t>
  </si>
  <si>
    <t>5984.7</t>
  </si>
  <si>
    <t>Oscillatoria sp</t>
  </si>
  <si>
    <t>5985.1</t>
  </si>
  <si>
    <t>Otautu</t>
  </si>
  <si>
    <t>5985.2</t>
  </si>
  <si>
    <t>5985.3</t>
  </si>
  <si>
    <t>Phormidium sp</t>
  </si>
  <si>
    <t>5985.4</t>
  </si>
  <si>
    <t>5985.5</t>
  </si>
  <si>
    <t>5985.6</t>
  </si>
  <si>
    <t>5985.7</t>
  </si>
  <si>
    <t>Coelosphaerium cf natans</t>
  </si>
  <si>
    <t>5985.8</t>
  </si>
  <si>
    <t>Dolichospermum smithii</t>
  </si>
  <si>
    <t>5985.9</t>
  </si>
  <si>
    <t>Dolichospermum spiroides</t>
  </si>
  <si>
    <t>5989.1</t>
  </si>
  <si>
    <t>Rotoiti</t>
  </si>
  <si>
    <t>Hinehopu</t>
  </si>
  <si>
    <t>5989.2</t>
  </si>
  <si>
    <t>Dolichospermum planctonicum </t>
  </si>
  <si>
    <t>5989.3</t>
  </si>
  <si>
    <t xml:space="preserve">Limnococcus limneticus
</t>
  </si>
  <si>
    <t>5989.4</t>
  </si>
  <si>
    <t>5989.5</t>
  </si>
  <si>
    <t>5982.1</t>
  </si>
  <si>
    <t>Okawa Bay</t>
  </si>
  <si>
    <t>5982.2</t>
  </si>
  <si>
    <t>5982.3</t>
  </si>
  <si>
    <t>5982.4</t>
  </si>
  <si>
    <t>5982.5</t>
  </si>
  <si>
    <t>5982.6</t>
  </si>
  <si>
    <t>5982.7</t>
  </si>
  <si>
    <t>5982.8</t>
  </si>
  <si>
    <t>5982.9</t>
  </si>
  <si>
    <t>Dolichospermum circinale</t>
  </si>
  <si>
    <t>5980.1</t>
  </si>
  <si>
    <t>Okere Arm</t>
  </si>
  <si>
    <t>5980.2</t>
  </si>
  <si>
    <t>5980.3</t>
  </si>
  <si>
    <t>5980.4</t>
  </si>
  <si>
    <t>5987.1</t>
  </si>
  <si>
    <t>Otaramarae</t>
  </si>
  <si>
    <t>5987.2</t>
  </si>
  <si>
    <t>5987.3</t>
  </si>
  <si>
    <t>5987.4</t>
  </si>
  <si>
    <t>5987.5</t>
  </si>
  <si>
    <t>5987.6</t>
  </si>
  <si>
    <t>5986.1</t>
  </si>
  <si>
    <t>Te Weta</t>
  </si>
  <si>
    <t>5986.2</t>
  </si>
  <si>
    <t>5986.3</t>
  </si>
  <si>
    <t>5986.4</t>
  </si>
  <si>
    <t>5988.1</t>
  </si>
  <si>
    <t>Rotorua</t>
  </si>
  <si>
    <t>Hamurana</t>
  </si>
  <si>
    <t>5988.2</t>
  </si>
  <si>
    <t>5988.3</t>
  </si>
  <si>
    <t>5979.1</t>
  </si>
  <si>
    <t>Holdens Bay</t>
  </si>
  <si>
    <t>160</t>
  </si>
  <si>
    <t>5979.2</t>
  </si>
  <si>
    <t>5981.1</t>
  </si>
  <si>
    <t>Ngongotaha</t>
  </si>
  <si>
    <t>5981.2</t>
  </si>
  <si>
    <t>5981.3</t>
  </si>
  <si>
    <t>5981.4</t>
  </si>
  <si>
    <t>5981.5</t>
  </si>
  <si>
    <t>5983.1</t>
  </si>
  <si>
    <t>Ohau Channel</t>
  </si>
  <si>
    <t>5983.2</t>
  </si>
  <si>
    <t>5983.3</t>
  </si>
  <si>
    <t>5983.4</t>
  </si>
  <si>
    <t>5990.1</t>
  </si>
  <si>
    <t>Lake Okaro</t>
  </si>
  <si>
    <t>Boat ramp</t>
  </si>
  <si>
    <t>5990.2</t>
  </si>
  <si>
    <t>Woronichinia naegeliana</t>
  </si>
  <si>
    <t>5990.3</t>
  </si>
  <si>
    <t>5990.4</t>
  </si>
  <si>
    <t>5990.5</t>
  </si>
  <si>
    <t>5990.6</t>
  </si>
  <si>
    <t>5990.7</t>
  </si>
  <si>
    <t>5973.1</t>
  </si>
  <si>
    <t>30/03/2026</t>
  </si>
  <si>
    <t>5973.2</t>
  </si>
  <si>
    <t>5973.3</t>
  </si>
  <si>
    <t>5973.4</t>
  </si>
  <si>
    <t>5973.5</t>
  </si>
  <si>
    <t>5973.6</t>
  </si>
  <si>
    <t>5973.7</t>
  </si>
  <si>
    <t>5973.8</t>
  </si>
  <si>
    <t>5975.1</t>
  </si>
  <si>
    <t>5975.2</t>
  </si>
  <si>
    <t>5975.3</t>
  </si>
  <si>
    <t>5975.4</t>
  </si>
  <si>
    <t>5975.5</t>
  </si>
  <si>
    <t>5975.6</t>
  </si>
  <si>
    <t>5975.7</t>
  </si>
  <si>
    <t>5975.8</t>
  </si>
  <si>
    <t>5975.9</t>
  </si>
  <si>
    <t>5974.1</t>
  </si>
  <si>
    <t>5974.2</t>
  </si>
  <si>
    <t>5974.3</t>
  </si>
  <si>
    <t>5974.4</t>
  </si>
  <si>
    <t>5974.5</t>
  </si>
  <si>
    <t>5972.1</t>
  </si>
  <si>
    <t>5972.2</t>
  </si>
  <si>
    <t>5972.3</t>
  </si>
  <si>
    <t>Dolichospermum sp</t>
  </si>
  <si>
    <t>5972.4</t>
  </si>
  <si>
    <t>5972.5</t>
  </si>
  <si>
    <t>5972.6</t>
  </si>
  <si>
    <t>5972.7</t>
  </si>
  <si>
    <t>5972.8</t>
  </si>
  <si>
    <t>5968.1</t>
  </si>
  <si>
    <t>5968.2</t>
  </si>
  <si>
    <t>5968.3</t>
  </si>
  <si>
    <t>5968.4</t>
  </si>
  <si>
    <t>5968.5</t>
  </si>
  <si>
    <t>5978.1</t>
  </si>
  <si>
    <t>5978.3</t>
  </si>
  <si>
    <t>5978.4</t>
  </si>
  <si>
    <t>5978.5</t>
  </si>
  <si>
    <t>5976.1</t>
  </si>
  <si>
    <t>5976.2</t>
  </si>
  <si>
    <t>5976.3</t>
  </si>
  <si>
    <t>5976.4</t>
  </si>
  <si>
    <t>5976.5</t>
  </si>
  <si>
    <t>5976.6</t>
  </si>
  <si>
    <t>5976.7</t>
  </si>
  <si>
    <t>5976.8</t>
  </si>
  <si>
    <t>5971.1</t>
  </si>
  <si>
    <t>5971.2</t>
  </si>
  <si>
    <t>5971.3</t>
  </si>
  <si>
    <t>5971.4</t>
  </si>
  <si>
    <t>5969.1</t>
  </si>
  <si>
    <t>5969.2</t>
  </si>
  <si>
    <t>5969.3</t>
  </si>
  <si>
    <t>5969.4</t>
  </si>
  <si>
    <t>5969.5</t>
  </si>
  <si>
    <t>Geitlerinema sp</t>
  </si>
  <si>
    <t>5970.1</t>
  </si>
  <si>
    <t>5970.2</t>
  </si>
  <si>
    <t>5970.3</t>
  </si>
  <si>
    <t>5970.4</t>
  </si>
  <si>
    <t>5967.1</t>
  </si>
  <si>
    <t>5967.2</t>
  </si>
  <si>
    <t>5967.3</t>
  </si>
  <si>
    <t>5967.4</t>
  </si>
  <si>
    <t>5977.1</t>
  </si>
  <si>
    <t>5977.2</t>
  </si>
  <si>
    <t>5977.3</t>
  </si>
  <si>
    <t>5977.4</t>
  </si>
  <si>
    <t>5977.5</t>
  </si>
  <si>
    <t>5946.1</t>
  </si>
  <si>
    <t>23/03/2026</t>
  </si>
  <si>
    <t>5946.2</t>
  </si>
  <si>
    <t>5946.3</t>
  </si>
  <si>
    <t>5946.4</t>
  </si>
  <si>
    <t>5946.5</t>
  </si>
  <si>
    <t>5946.6</t>
  </si>
  <si>
    <t>5946.7</t>
  </si>
  <si>
    <t>5946.8</t>
  </si>
  <si>
    <t>5965.1</t>
  </si>
  <si>
    <t>5965.2</t>
  </si>
  <si>
    <t>5965.3</t>
  </si>
  <si>
    <t>5965.4</t>
  </si>
  <si>
    <t>Geitlerinema splendidum</t>
  </si>
  <si>
    <t>5965.5</t>
  </si>
  <si>
    <t>Microcystis sp. (small)</t>
  </si>
  <si>
    <t>5965.6</t>
  </si>
  <si>
    <t>5965.7</t>
  </si>
  <si>
    <t>5965.8</t>
  </si>
  <si>
    <t>5965.9</t>
  </si>
  <si>
    <t>Picocyanobacteria</t>
  </si>
  <si>
    <t>5965.10</t>
  </si>
  <si>
    <t>Pseudanabaena mucicola (rod)</t>
  </si>
  <si>
    <t>5965.11</t>
  </si>
  <si>
    <t>5947.1</t>
  </si>
  <si>
    <t>5947.2</t>
  </si>
  <si>
    <t>5947.3</t>
  </si>
  <si>
    <t>5947.4</t>
  </si>
  <si>
    <t>5947.5</t>
  </si>
  <si>
    <t>5947.6</t>
  </si>
  <si>
    <t>5964.1</t>
  </si>
  <si>
    <t>5964.2</t>
  </si>
  <si>
    <t>5964.3</t>
  </si>
  <si>
    <t>5964.4</t>
  </si>
  <si>
    <t>5964.5</t>
  </si>
  <si>
    <t>Merismopedia sp</t>
  </si>
  <si>
    <t>5964.6</t>
  </si>
  <si>
    <t>5964.7</t>
  </si>
  <si>
    <t>5964.8</t>
  </si>
  <si>
    <t>5964.9</t>
  </si>
  <si>
    <t>5964.10</t>
  </si>
  <si>
    <t>5964.11</t>
  </si>
  <si>
    <t>5964.12</t>
  </si>
  <si>
    <t>5964.13</t>
  </si>
  <si>
    <t>5942.1</t>
  </si>
  <si>
    <t>5942.2</t>
  </si>
  <si>
    <t>5942.3</t>
  </si>
  <si>
    <t>5942.4</t>
  </si>
  <si>
    <t>5942.5</t>
  </si>
  <si>
    <t>5962.1</t>
  </si>
  <si>
    <t>5962.2</t>
  </si>
  <si>
    <t>5962.3</t>
  </si>
  <si>
    <t>5962.4</t>
  </si>
  <si>
    <t>5962.5</t>
  </si>
  <si>
    <t>5962.6</t>
  </si>
  <si>
    <t>5962.7</t>
  </si>
  <si>
    <t>5962.8</t>
  </si>
  <si>
    <t>5962.9</t>
  </si>
  <si>
    <t>5962.10</t>
  </si>
  <si>
    <t>5963.1</t>
  </si>
  <si>
    <t>5963.2</t>
  </si>
  <si>
    <t>5963.3</t>
  </si>
  <si>
    <t>5963.4</t>
  </si>
  <si>
    <t>5963.5</t>
  </si>
  <si>
    <t>5963.6</t>
  </si>
  <si>
    <t>5963.7</t>
  </si>
  <si>
    <t>5963.8</t>
  </si>
  <si>
    <t>5963.9</t>
  </si>
  <si>
    <t>5963.10</t>
  </si>
  <si>
    <t>5963.11</t>
  </si>
  <si>
    <t>5948.1</t>
  </si>
  <si>
    <t>5948.2</t>
  </si>
  <si>
    <t>5948.3</t>
  </si>
  <si>
    <t>5944.1</t>
  </si>
  <si>
    <t>5944.2</t>
  </si>
  <si>
    <t>5944.3</t>
  </si>
  <si>
    <t>5944.4</t>
  </si>
  <si>
    <t>5944.5</t>
  </si>
  <si>
    <t>5943.1</t>
  </si>
  <si>
    <t>5943.2</t>
  </si>
  <si>
    <t>5943.3</t>
  </si>
  <si>
    <t>5945.1</t>
  </si>
  <si>
    <t>5945.2</t>
  </si>
  <si>
    <t>5945.3</t>
  </si>
  <si>
    <t>5945.4</t>
  </si>
  <si>
    <t>5945.5</t>
  </si>
  <si>
    <t>5966.1</t>
  </si>
  <si>
    <t>5966.2</t>
  </si>
  <si>
    <t>5966.3</t>
  </si>
  <si>
    <t>5966.4</t>
  </si>
  <si>
    <t>5966.5</t>
  </si>
  <si>
    <t>5932.1</t>
  </si>
  <si>
    <t>Kaituna</t>
  </si>
  <si>
    <t>Trout Pool</t>
  </si>
  <si>
    <t>16/03/2026</t>
  </si>
  <si>
    <t>5932.2</t>
  </si>
  <si>
    <t>5932.3</t>
  </si>
  <si>
    <t>5932.4</t>
  </si>
  <si>
    <t>5932.5</t>
  </si>
  <si>
    <t>5932.6</t>
  </si>
  <si>
    <t>5932.7</t>
  </si>
  <si>
    <t>5932.8</t>
  </si>
  <si>
    <t>5936.1</t>
  </si>
  <si>
    <t>5936.2</t>
  </si>
  <si>
    <t>5936.3</t>
  </si>
  <si>
    <t>5936.4</t>
  </si>
  <si>
    <t>5936.5</t>
  </si>
  <si>
    <t>5936.6</t>
  </si>
  <si>
    <t>5936.7</t>
  </si>
  <si>
    <t>5936.8</t>
  </si>
  <si>
    <t>5936.9</t>
  </si>
  <si>
    <t>5936.10</t>
  </si>
  <si>
    <t>5939.1</t>
  </si>
  <si>
    <t>5939.2</t>
  </si>
  <si>
    <t>5939.3</t>
  </si>
  <si>
    <t>5939.4</t>
  </si>
  <si>
    <t>5939.5</t>
  </si>
  <si>
    <t>5939.6</t>
  </si>
  <si>
    <t>5939.7</t>
  </si>
  <si>
    <t>5940.1</t>
  </si>
  <si>
    <t>Whole plate</t>
  </si>
  <si>
    <t>5940.2</t>
  </si>
  <si>
    <t>5940.3</t>
  </si>
  <si>
    <t>5940.4</t>
  </si>
  <si>
    <t>5935.1</t>
  </si>
  <si>
    <t>5935.2</t>
  </si>
  <si>
    <t>5935.3</t>
  </si>
  <si>
    <t>5935.4</t>
  </si>
  <si>
    <t>5935.5</t>
  </si>
  <si>
    <t>5935.6</t>
  </si>
  <si>
    <t>5935.7</t>
  </si>
  <si>
    <t>5935.8</t>
  </si>
  <si>
    <t>5933.1</t>
  </si>
  <si>
    <t>5933.2</t>
  </si>
  <si>
    <t>5933.3</t>
  </si>
  <si>
    <t>5933.4</t>
  </si>
  <si>
    <t>5933.5</t>
  </si>
  <si>
    <t>5933.6</t>
  </si>
  <si>
    <t>5933.7</t>
  </si>
  <si>
    <t>5933.8</t>
  </si>
  <si>
    <t>5933.9</t>
  </si>
  <si>
    <t>5933.10</t>
  </si>
  <si>
    <t>5937.1</t>
  </si>
  <si>
    <t>5937.2</t>
  </si>
  <si>
    <t>5937.3</t>
  </si>
  <si>
    <t>5937.4</t>
  </si>
  <si>
    <t>5937.5</t>
  </si>
  <si>
    <t>5937.6</t>
  </si>
  <si>
    <t>5937.7</t>
  </si>
  <si>
    <t>5938.1</t>
  </si>
  <si>
    <t>5938.2</t>
  </si>
  <si>
    <t>5938.3</t>
  </si>
  <si>
    <t>5938.4</t>
  </si>
  <si>
    <t>5938.5</t>
  </si>
  <si>
    <t>5938.6</t>
  </si>
  <si>
    <t>5934.1</t>
  </si>
  <si>
    <t>5934.2</t>
  </si>
  <si>
    <t>5934.3</t>
  </si>
  <si>
    <t>5930.1</t>
  </si>
  <si>
    <t>5930.2</t>
  </si>
  <si>
    <t>5930.3</t>
  </si>
  <si>
    <t>5930.4</t>
  </si>
  <si>
    <t>5931.1</t>
  </si>
  <si>
    <t>5931.2</t>
  </si>
  <si>
    <t>5931.3</t>
  </si>
  <si>
    <t>5931.4</t>
  </si>
  <si>
    <t>5931.5</t>
  </si>
  <si>
    <t>5929.1</t>
  </si>
  <si>
    <t>5929.2</t>
  </si>
  <si>
    <t>5929.3</t>
  </si>
  <si>
    <t>5929.4</t>
  </si>
  <si>
    <t>5929.5</t>
  </si>
  <si>
    <t>5941.1</t>
  </si>
  <si>
    <t>5941.2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</si>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</sst>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68" formatCode="0.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167" fontId="0" fillId="6" borderId="0" xfId="0" applyNumberFormat="1" applyFill="1" applyAlignment="1" applyProtection="1"/>
    <xf numFmtId="167" fontId="0" fillId="7" borderId="0" xfId="0" applyNumberFormat="1" applyFill="1" applyAlignment="1" applyProtection="1"/>
    <xf numFmtId="168" fontId="0" fillId="0" borderId="0" xfId="0" applyNumberFormat="1" applyFill="1" applyAlignment="1" applyProtection="1"/>
  </cellXfs>
  <cellStyles count="1">
    <cellStyle name="Normal" xfId="0" builtinId="0"/>
  </cellStyles>
  <dxfs count="30">
    <dxf>
      <numFmt numFmtId="1" formatCode="0"/>
    </dxf>
    <dxf>
      <numFmt numFmtId="168" formatCode="0.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numFmt numFmtId="166" formatCode="0.0000"/>
    </dxf>
    <dxf>
      <numFmt numFmtId="167" formatCode="0.000"/>
    </dxf>
    <dxf>
      <numFmt numFmtId="165" formatCode="0.00000"/>
    </dxf>
    <dxf>
      <numFmt numFmtId="164" formatCode="0.0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1.473879398145" refreshedVersion="8" recordCount="298" xr:uid="{00000000-000A-0000-FFFF-FFFF02000000}">
  <cacheSource type="worksheet">
    <worksheetSource ref="A1:P299" sheet="Lakes Data"/>
  </cacheSource>
  <cacheFields count="16">
    <cacheField name="SampleId" numFmtId="0">
      <sharedItems/>
    </cacheField>
    <cacheField name="Location" numFmtId="0">
      <sharedItems count="5">
        <s v="Rotoehu"/>
        <s v="Rotoiti"/>
        <s v="Rotorua"/>
        <s v="Lake Okaro"/>
        <s v="Kaituna"/>
      </sharedItems>
    </cacheField>
    <cacheField name="Site" numFmtId="0">
      <sharedItems count="13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  <s v="Trout Pool"/>
      </sharedItems>
    </cacheField>
    <cacheField name="SampleDate" numFmtId="0">
      <sharedItems count="4">
        <s v="06/04/2026"/>
        <s v="30/03/2026"/>
        <s v="23/03/2026"/>
        <s v="16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7" maxValue="9666.69465277778"/>
    </cacheField>
    <cacheField name="TotalBioVolume" numFmtId="0">
      <sharedItems containsSemiMixedTypes="0" containsString="0" containsNumber="1" minValue="0" maxValue="3.3306082775000001"/>
    </cacheField>
    <cacheField name="PotentiallyToxicCellMl" numFmtId="0">
      <sharedItems containsSemiMixedTypes="0" containsString="0" containsNumber="1" minValue="0" maxValue="9666.69465277778"/>
    </cacheField>
    <cacheField name="PotentiallyToxicBioVolume" numFmtId="0">
      <sharedItems containsSemiMixedTypes="0" containsString="0" containsNumber="1" minValue="0" maxValue="3.330608277500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1.473879745368" refreshedVersion="8" recordCount="74" xr:uid="{00000000-000A-0000-FFFF-FFFF01000000}">
  <cacheSource type="worksheet">
    <worksheetSource ref="A1:P75" sheet="Toxin Data"/>
  </cacheSource>
  <cacheFields count="16">
    <cacheField name="SampleId" numFmtId="0">
      <sharedItems/>
    </cacheField>
    <cacheField name="Location" numFmtId="0">
      <sharedItems count="5">
        <s v="Rotoehu"/>
        <s v="Rotoiti"/>
        <s v="Rotorua"/>
        <s v="Lake Okaro"/>
        <s v="Kaituna"/>
      </sharedItems>
    </cacheField>
    <cacheField name="Site" numFmtId="0">
      <sharedItems count="13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  <s v="Trout Pool"/>
      </sharedItems>
    </cacheField>
    <cacheField name="SampleDate" numFmtId="0">
      <sharedItems count="4">
        <s v="06/04/2026"/>
        <s v="30/03/2026"/>
        <s v="23/03/2026"/>
        <s v="16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9" maxValue="206"/>
    </cacheField>
    <cacheField name="CellsPerMl" numFmtId="0">
      <sharedItems containsSemiMixedTypes="0" containsString="0" containsNumber="1" minValue="1.8" maxValue="9666.69465277778"/>
    </cacheField>
    <cacheField name="TotalBioVolume" numFmtId="0">
      <sharedItems containsSemiMixedTypes="0" containsString="0" containsNumber="1" minValue="1.29237428556E-4" maxValue="1.8398619932631901"/>
    </cacheField>
    <cacheField name="PotentiallyToxicCellMl" numFmtId="0">
      <sharedItems containsSemiMixedTypes="0" containsString="0" containsNumber="1" minValue="1.8" maxValue="9666.69465277778"/>
    </cacheField>
    <cacheField name="PotentiallyToxicBioVolume" numFmtId="0">
      <sharedItems containsSemiMixedTypes="0" containsString="0" containsNumber="1" minValue="1.29237428556E-4" maxValue="1.8398619932631901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1.473879976853" refreshedVersion="8" recordCount="298" xr:uid="{00000000-000A-0000-FFFF-FFFF00000000}">
  <cacheSource type="worksheet">
    <worksheetSource ref="A1:P299" sheet="Lakes Data"/>
  </cacheSource>
  <cacheFields count="16">
    <cacheField name="SampleId" numFmtId="0">
      <sharedItems/>
    </cacheField>
    <cacheField name="Location" numFmtId="0">
      <sharedItems count="5">
        <s v="Rotoehu"/>
        <s v="Rotoiti"/>
        <s v="Rotorua"/>
        <s v="Lake Okaro"/>
        <s v="Kaituna"/>
      </sharedItems>
    </cacheField>
    <cacheField name="Site" numFmtId="0">
      <sharedItems count="13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  <s v="Trout Pool"/>
      </sharedItems>
    </cacheField>
    <cacheField name="SampleDate" numFmtId="0">
      <sharedItems count="4">
        <s v="06/04/2026"/>
        <s v="30/03/2026"/>
        <s v="23/03/2026"/>
        <s v="16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7" maxValue="9666.69465277778"/>
    </cacheField>
    <cacheField name="TotalBioVolume" numFmtId="0">
      <sharedItems containsSemiMixedTypes="0" containsString="0" containsNumber="1" minValue="0" maxValue="3.3306082775000001"/>
    </cacheField>
    <cacheField name="PotentiallyToxicCellMl" numFmtId="0">
      <sharedItems containsSemiMixedTypes="0" containsString="0" containsNumber="1" minValue="0" maxValue="9666.69465277778"/>
    </cacheField>
    <cacheField name="PotentiallyToxicBioVolume" numFmtId="0">
      <sharedItems containsSemiMixedTypes="0" containsString="0" containsNumber="1" minValue="0" maxValue="3.330608277500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5984.1"/>
    <x v="0"/>
    <x v="0"/>
    <x v="0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0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0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0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0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0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0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0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0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0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0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0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0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0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0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0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0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0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0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0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0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0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0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0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0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0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0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0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0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0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0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0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0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0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0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0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0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0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0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0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0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0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0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0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0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0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0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0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0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0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0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0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0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0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0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0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0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0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0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0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0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0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0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0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0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1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1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1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1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1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1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1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1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1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1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1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1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1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1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1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1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1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1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1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1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1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1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1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1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1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1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1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1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1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1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1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1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1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1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1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1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1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1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1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1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1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1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1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1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1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1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1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1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1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1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1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1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1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1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1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1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1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1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1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1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1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1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1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1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1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1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1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1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1"/>
    <s v="20A"/>
    <s v="Whole Plate"/>
    <s v="Pseudanabaena sp."/>
    <b v="1"/>
    <n v="10"/>
    <n v="7"/>
    <m/>
    <n v="0.7"/>
    <n v="2.73E-5"/>
    <n v="0.7"/>
    <n v="2.73E-5"/>
    <m/>
  </r>
  <r>
    <s v="5946.1"/>
    <x v="0"/>
    <x v="0"/>
    <x v="2"/>
    <s v="20A"/>
    <s v="Whole Plate"/>
    <s v="Microcystis wesenbergii"/>
    <b v="1"/>
    <n v="10"/>
    <n v="69"/>
    <m/>
    <n v="41.4"/>
    <n v="7.8796620000000008E-3"/>
    <n v="41.4"/>
    <n v="7.8796620000000008E-3"/>
    <s v="Microcystis spp._x000a_"/>
  </r>
  <r>
    <s v="5946.2"/>
    <x v="0"/>
    <x v="0"/>
    <x v="2"/>
    <s v="20A"/>
    <s v="Whole Plate"/>
    <s v="Microcystis sp"/>
    <b v="1"/>
    <n v="10"/>
    <n v="28.15"/>
    <n v="17"/>
    <n v="104.155"/>
    <n v="7.4781802062501004E-3"/>
    <n v="104.155"/>
    <n v="7.4781802062501004E-3"/>
    <s v="Microcystis spp._x000a_"/>
  </r>
  <r>
    <s v="5946.3"/>
    <x v="0"/>
    <x v="0"/>
    <x v="2"/>
    <s v="20A"/>
    <s v="Whole Plate"/>
    <s v="Dolichospermum sp"/>
    <b v="1"/>
    <n v="10"/>
    <n v="15.5714285714286"/>
    <m/>
    <n v="21.8"/>
    <n v="4.1419999999999998E-3"/>
    <n v="21.8"/>
    <n v="4.1419999999999998E-3"/>
    <m/>
  </r>
  <r>
    <s v="5946.4"/>
    <x v="0"/>
    <x v="0"/>
    <x v="2"/>
    <s v="20A"/>
    <s v="Whole Plate"/>
    <s v="Aphanocapsa sp"/>
    <b v="0"/>
    <n v="10"/>
    <n v="83"/>
    <m/>
    <n v="33.200000000000003"/>
    <n v="7.47E-5"/>
    <n v="0"/>
    <n v="0"/>
    <m/>
  </r>
  <r>
    <s v="5946.5"/>
    <x v="0"/>
    <x v="0"/>
    <x v="2"/>
    <s v="20A"/>
    <s v="Whole Plate"/>
    <s v="Phormidium sp"/>
    <b v="1"/>
    <n v="10"/>
    <n v="144"/>
    <m/>
    <n v="14.4"/>
    <n v="1.3440959999999999E-3"/>
    <n v="14.4"/>
    <n v="1.3440959999999999E-3"/>
    <m/>
  </r>
  <r>
    <s v="5946.6"/>
    <x v="0"/>
    <x v="0"/>
    <x v="2"/>
    <s v="20A"/>
    <s v="Whole Plate"/>
    <s v="Dolichospermum spiroides"/>
    <b v="1"/>
    <n v="10"/>
    <n v="16"/>
    <m/>
    <n v="1.6"/>
    <n v="4.1599999999999997E-4"/>
    <n v="1.6"/>
    <n v="4.1599999999999997E-4"/>
    <m/>
  </r>
  <r>
    <s v="5946.7"/>
    <x v="0"/>
    <x v="0"/>
    <x v="2"/>
    <s v="20A"/>
    <s v="Whole Plate"/>
    <s v="Pseudanabaena sp."/>
    <b v="1"/>
    <n v="10"/>
    <n v="12"/>
    <m/>
    <n v="1.2"/>
    <n v="4.6799999999999999E-5"/>
    <n v="1.2"/>
    <n v="4.6799999999999999E-5"/>
    <m/>
  </r>
  <r>
    <s v="5946.8"/>
    <x v="0"/>
    <x v="0"/>
    <x v="2"/>
    <s v="20A"/>
    <s v="Whole Plate"/>
    <s v="Oscillatoria sp"/>
    <b v="1"/>
    <n v="10"/>
    <n v="72"/>
    <m/>
    <n v="7.2"/>
    <n v="1.9472400000000001E-2"/>
    <n v="7.2"/>
    <n v="1.9472400000000001E-2"/>
    <m/>
  </r>
  <r>
    <s v="5965.1"/>
    <x v="0"/>
    <x v="1"/>
    <x v="2"/>
    <m/>
    <m/>
    <s v="Coelosphaerium cf natans"/>
    <b v="0"/>
    <m/>
    <n v="0"/>
    <m/>
    <n v="59"/>
    <n v="1.3569999999999999E-4"/>
    <n v="0"/>
    <n v="0"/>
    <m/>
  </r>
  <r>
    <s v="5965.2"/>
    <x v="0"/>
    <x v="1"/>
    <x v="2"/>
    <m/>
    <m/>
    <s v="Dolichospermum lemmermannii"/>
    <b v="1"/>
    <m/>
    <n v="0"/>
    <m/>
    <n v="6"/>
    <n v="6.6E-4"/>
    <n v="6"/>
    <n v="6.6E-4"/>
    <m/>
  </r>
  <r>
    <s v="5965.3"/>
    <x v="0"/>
    <x v="1"/>
    <x v="2"/>
    <m/>
    <m/>
    <s v="Dolichospermum planctonicum "/>
    <b v="1"/>
    <m/>
    <n v="0"/>
    <m/>
    <n v="15"/>
    <n v="5.5500000000000002E-3"/>
    <n v="15"/>
    <n v="5.5500000000000002E-3"/>
    <m/>
  </r>
  <r>
    <s v="5965.4"/>
    <x v="0"/>
    <x v="1"/>
    <x v="2"/>
    <m/>
    <m/>
    <s v="Geitlerinema splendidum"/>
    <b v="0"/>
    <m/>
    <n v="0"/>
    <m/>
    <n v="68"/>
    <n v="1.4959999999999999E-3"/>
    <n v="0"/>
    <n v="0"/>
    <m/>
  </r>
  <r>
    <s v="5965.5"/>
    <x v="0"/>
    <x v="1"/>
    <x v="2"/>
    <m/>
    <m/>
    <s v="Microcystis sp. (small)"/>
    <b v="1"/>
    <m/>
    <n v="0"/>
    <m/>
    <n v="1700"/>
    <n v="3.0939999999999999E-2"/>
    <n v="1700"/>
    <n v="3.0939999999999999E-2"/>
    <s v="Microcystis spp._x000a_"/>
  </r>
  <r>
    <s v="5965.6"/>
    <x v="0"/>
    <x v="1"/>
    <x v="2"/>
    <m/>
    <m/>
    <s v="Microcystis sp"/>
    <b v="1"/>
    <m/>
    <n v="0"/>
    <m/>
    <n v="95"/>
    <n v="6.8208642848999997E-3"/>
    <n v="95"/>
    <n v="6.8208642848999997E-3"/>
    <s v="Microcystis spp._x000a_"/>
  </r>
  <r>
    <s v="5965.7"/>
    <x v="0"/>
    <x v="1"/>
    <x v="2"/>
    <m/>
    <m/>
    <s v="Oscillatoria sp"/>
    <b v="1"/>
    <m/>
    <n v="0"/>
    <m/>
    <n v="20"/>
    <n v="5.4089999999999999E-2"/>
    <n v="20"/>
    <n v="5.4089999999999999E-2"/>
    <m/>
  </r>
  <r>
    <s v="5965.8"/>
    <x v="0"/>
    <x v="1"/>
    <x v="2"/>
    <m/>
    <m/>
    <s v="Phormidium sp"/>
    <b v="1"/>
    <m/>
    <n v="0"/>
    <m/>
    <n v="72"/>
    <n v="6.72048E-3"/>
    <n v="72"/>
    <n v="6.72048E-3"/>
    <m/>
  </r>
  <r>
    <s v="5965.9"/>
    <x v="0"/>
    <x v="1"/>
    <x v="2"/>
    <m/>
    <m/>
    <s v="Picocyanobacteria"/>
    <b v="1"/>
    <m/>
    <n v="0"/>
    <m/>
    <n v="33"/>
    <n v="1.7159999999999998E-5"/>
    <n v="33"/>
    <n v="1.7159999999999998E-5"/>
    <m/>
  </r>
  <r>
    <s v="5965.10"/>
    <x v="0"/>
    <x v="1"/>
    <x v="2"/>
    <m/>
    <m/>
    <s v="Pseudanabaena mucicola (rod)"/>
    <b v="0"/>
    <m/>
    <n v="0"/>
    <m/>
    <n v="29"/>
    <n v="1.3339999999999999E-3"/>
    <n v="0"/>
    <n v="0"/>
    <m/>
  </r>
  <r>
    <s v="5965.11"/>
    <x v="0"/>
    <x v="1"/>
    <x v="2"/>
    <m/>
    <m/>
    <s v="Pseudanabaena sp."/>
    <b v="1"/>
    <m/>
    <n v="0"/>
    <m/>
    <n v="25"/>
    <n v="9.7499999999999996E-4"/>
    <n v="25"/>
    <n v="9.7499999999999996E-4"/>
    <m/>
  </r>
  <r>
    <s v="5947.1"/>
    <x v="1"/>
    <x v="2"/>
    <x v="2"/>
    <s v="20A"/>
    <s v="Whole Plate"/>
    <s v="Microcystis wesenbergii"/>
    <b v="1"/>
    <n v="10"/>
    <n v="47.5"/>
    <m/>
    <n v="19"/>
    <n v="3.61627E-3"/>
    <n v="19"/>
    <n v="3.61627E-3"/>
    <s v="Microcystis spp._x000a_"/>
  </r>
  <r>
    <s v="5947.2"/>
    <x v="1"/>
    <x v="2"/>
    <x v="2"/>
    <s v="20A"/>
    <s v="Whole Plate"/>
    <s v="Anabaena torulosa"/>
    <b v="1"/>
    <n v="10"/>
    <n v="12"/>
    <m/>
    <n v="1.2"/>
    <n v="2.652E-4"/>
    <n v="1.2"/>
    <n v="2.652E-4"/>
    <m/>
  </r>
  <r>
    <s v="5947.3"/>
    <x v="1"/>
    <x v="2"/>
    <x v="2"/>
    <s v="20A"/>
    <s v="Whole Plate"/>
    <s v="Limnococcus limneticus_x000a_"/>
    <b v="0"/>
    <n v="10"/>
    <n v="31"/>
    <m/>
    <n v="6.2"/>
    <n v="2.7899999999999999E-3"/>
    <n v="0"/>
    <n v="0"/>
    <m/>
  </r>
  <r>
    <s v="5947.4"/>
    <x v="1"/>
    <x v="2"/>
    <x v="2"/>
    <s v="20A"/>
    <s v="Whole Plate"/>
    <s v="Aphanocapsa sp"/>
    <b v="0"/>
    <n v="10"/>
    <n v="107.571428571429"/>
    <m/>
    <n v="75.3"/>
    <n v="1.6942500000000001E-4"/>
    <n v="0"/>
    <n v="0"/>
    <m/>
  </r>
  <r>
    <s v="5947.5"/>
    <x v="1"/>
    <x v="2"/>
    <x v="2"/>
    <s v="20A"/>
    <s v="Whole Plate"/>
    <s v="Pseudanabaena sp."/>
    <b v="1"/>
    <n v="10"/>
    <n v="12"/>
    <m/>
    <n v="1.2"/>
    <n v="4.6799999999999999E-5"/>
    <n v="1.2"/>
    <n v="4.6799999999999999E-5"/>
    <m/>
  </r>
  <r>
    <s v="5947.6"/>
    <x v="1"/>
    <x v="2"/>
    <x v="2"/>
    <s v="20A"/>
    <s v="Whole Plate"/>
    <s v="Dolichospermum planctonicum "/>
    <b v="1"/>
    <n v="10"/>
    <n v="16"/>
    <m/>
    <n v="1.6"/>
    <n v="5.9199999999999997E-4"/>
    <n v="1.6"/>
    <n v="5.9199999999999997E-4"/>
    <m/>
  </r>
  <r>
    <s v="5964.1"/>
    <x v="1"/>
    <x v="3"/>
    <x v="2"/>
    <m/>
    <m/>
    <s v="Coelosphaerium cf natans"/>
    <b v="0"/>
    <m/>
    <n v="0"/>
    <m/>
    <n v="780"/>
    <n v="1.794E-3"/>
    <n v="0"/>
    <n v="0"/>
    <m/>
  </r>
  <r>
    <s v="5964.2"/>
    <x v="1"/>
    <x v="3"/>
    <x v="2"/>
    <m/>
    <m/>
    <s v="Dolichospermum lemmermannii"/>
    <b v="1"/>
    <m/>
    <n v="0"/>
    <m/>
    <n v="270"/>
    <n v="2.9700000000000001E-2"/>
    <n v="270"/>
    <n v="2.9700000000000001E-2"/>
    <m/>
  </r>
  <r>
    <s v="5964.3"/>
    <x v="1"/>
    <x v="3"/>
    <x v="2"/>
    <m/>
    <m/>
    <s v="Dolichospermum planctonicum "/>
    <b v="1"/>
    <m/>
    <n v="0"/>
    <m/>
    <n v="6"/>
    <n v="2.2200000000000002E-3"/>
    <n v="6"/>
    <n v="2.2200000000000002E-3"/>
    <m/>
  </r>
  <r>
    <s v="5964.4"/>
    <x v="1"/>
    <x v="3"/>
    <x v="2"/>
    <m/>
    <m/>
    <s v="Dolichospermum circinale"/>
    <b v="1"/>
    <m/>
    <n v="0"/>
    <m/>
    <n v="19"/>
    <n v="1.093716E-2"/>
    <n v="19"/>
    <n v="1.093716E-2"/>
    <m/>
  </r>
  <r>
    <s v="5964.5"/>
    <x v="1"/>
    <x v="3"/>
    <x v="2"/>
    <m/>
    <m/>
    <s v="Merismopedia sp"/>
    <b v="0"/>
    <m/>
    <n v="0"/>
    <m/>
    <n v="12"/>
    <n v="2.6400000000000002E-4"/>
    <n v="0"/>
    <n v="0"/>
    <m/>
  </r>
  <r>
    <s v="5964.6"/>
    <x v="1"/>
    <x v="3"/>
    <x v="2"/>
    <m/>
    <m/>
    <s v="Microcystis sp"/>
    <b v="1"/>
    <m/>
    <n v="0"/>
    <m/>
    <n v="16"/>
    <n v="1.14877714272E-3"/>
    <n v="16"/>
    <n v="1.14877714272E-3"/>
    <s v="Microcystis spp._x000a_"/>
  </r>
  <r>
    <s v="5964.7"/>
    <x v="1"/>
    <x v="3"/>
    <x v="2"/>
    <m/>
    <m/>
    <s v="Microcystis wesenbergii"/>
    <b v="1"/>
    <m/>
    <n v="0"/>
    <m/>
    <n v="500"/>
    <n v="9.5165E-2"/>
    <n v="500"/>
    <n v="9.5165E-2"/>
    <s v="Microcystis spp._x000a_"/>
  </r>
  <r>
    <s v="5964.8"/>
    <x v="1"/>
    <x v="3"/>
    <x v="2"/>
    <m/>
    <m/>
    <s v="Phormidium sp"/>
    <b v="1"/>
    <m/>
    <n v="0"/>
    <m/>
    <n v="8"/>
    <n v="7.4671999999999998E-4"/>
    <n v="8"/>
    <n v="7.4671999999999998E-4"/>
    <m/>
  </r>
  <r>
    <s v="5964.9"/>
    <x v="1"/>
    <x v="3"/>
    <x v="2"/>
    <m/>
    <m/>
    <s v="Picocyanobacteria"/>
    <b v="1"/>
    <m/>
    <n v="0"/>
    <m/>
    <n v="180"/>
    <n v="9.3599999999999998E-5"/>
    <n v="180"/>
    <n v="9.3599999999999998E-5"/>
    <m/>
  </r>
  <r>
    <s v="5964.10"/>
    <x v="1"/>
    <x v="3"/>
    <x v="2"/>
    <m/>
    <m/>
    <s v="Pseudanabaena mucicola (rod)"/>
    <b v="0"/>
    <m/>
    <n v="0"/>
    <m/>
    <n v="23"/>
    <n v="1.0579999999999999E-3"/>
    <n v="0"/>
    <n v="0"/>
    <m/>
  </r>
  <r>
    <s v="5964.11"/>
    <x v="1"/>
    <x v="3"/>
    <x v="2"/>
    <m/>
    <m/>
    <s v="Pseudanabaena sp."/>
    <b v="1"/>
    <m/>
    <n v="0"/>
    <m/>
    <n v="30"/>
    <n v="1.17E-3"/>
    <n v="30"/>
    <n v="1.17E-3"/>
    <m/>
  </r>
  <r>
    <s v="5964.12"/>
    <x v="1"/>
    <x v="3"/>
    <x v="2"/>
    <m/>
    <m/>
    <s v="Woronichinia naegeliana"/>
    <b v="1"/>
    <m/>
    <n v="0"/>
    <m/>
    <n v="100"/>
    <n v="0"/>
    <n v="100"/>
    <n v="0"/>
    <m/>
  </r>
  <r>
    <s v="5964.13"/>
    <x v="1"/>
    <x v="3"/>
    <x v="2"/>
    <m/>
    <m/>
    <s v="Limnococcus limneticus_x000a_"/>
    <b v="0"/>
    <m/>
    <n v="0"/>
    <m/>
    <n v="1"/>
    <n v="4.4999999999999999E-4"/>
    <n v="0"/>
    <n v="0"/>
    <m/>
  </r>
  <r>
    <s v="5942.1"/>
    <x v="1"/>
    <x v="4"/>
    <x v="2"/>
    <s v="20A"/>
    <s v="160"/>
    <s v="Microcystis wesenbergii"/>
    <b v="1"/>
    <n v="10"/>
    <n v="37.15"/>
    <n v="15"/>
    <n v="4084.8617881944401"/>
    <n v="0.77747174414704801"/>
    <n v="4084.8617881944401"/>
    <n v="0.77747174414704801"/>
    <s v="Microcystis spp._x000a_"/>
  </r>
  <r>
    <s v="5942.2"/>
    <x v="1"/>
    <x v="4"/>
    <x v="2"/>
    <s v="20A"/>
    <s v="160"/>
    <s v="Pseudanabaena sp."/>
    <b v="1"/>
    <n v="10"/>
    <n v="5"/>
    <m/>
    <n v="31.415972222222202"/>
    <n v="1.2252229166666701E-3"/>
    <n v="31.415972222222202"/>
    <n v="1.2252229166666701E-3"/>
    <m/>
  </r>
  <r>
    <s v="5942.3"/>
    <x v="1"/>
    <x v="4"/>
    <x v="2"/>
    <s v="20A"/>
    <s v="160"/>
    <s v="Oscillatoria sp"/>
    <b v="1"/>
    <n v="10"/>
    <n v="392"/>
    <m/>
    <n v="1231.5061111111099"/>
    <n v="3.3306082775000001"/>
    <n v="1231.5061111111099"/>
    <n v="3.3306082775000001"/>
    <m/>
  </r>
  <r>
    <s v="5942.4"/>
    <x v="1"/>
    <x v="4"/>
    <x v="2"/>
    <s v="20A"/>
    <s v="160"/>
    <s v="Dolichospermum circinale"/>
    <b v="1"/>
    <n v="10"/>
    <n v="18"/>
    <m/>
    <n v="169.64625000000001"/>
    <n v="9.7655167350000002E-2"/>
    <n v="169.64625000000001"/>
    <n v="9.7655167350000002E-2"/>
    <m/>
  </r>
  <r>
    <s v="5942.5"/>
    <x v="1"/>
    <x v="4"/>
    <x v="2"/>
    <s v="20A"/>
    <s v="160"/>
    <s v="Microcystis sp"/>
    <b v="1"/>
    <n v="10"/>
    <n v="33"/>
    <m/>
    <n v="207.34541666666701"/>
    <n v="1.4887104707151299E-2"/>
    <n v="207.34541666666701"/>
    <n v="1.4887104707151299E-2"/>
    <s v="Microcystis spp._x000a_"/>
  </r>
  <r>
    <s v="5962.1"/>
    <x v="1"/>
    <x v="5"/>
    <x v="2"/>
    <m/>
    <m/>
    <s v="Aphanocapsa sp"/>
    <b v="0"/>
    <m/>
    <n v="0"/>
    <m/>
    <n v="4"/>
    <n v="9.0000000000000002E-6"/>
    <n v="0"/>
    <n v="0"/>
    <m/>
  </r>
  <r>
    <s v="5962.2"/>
    <x v="1"/>
    <x v="5"/>
    <x v="2"/>
    <m/>
    <m/>
    <s v="Dolichospermum lemmermannii"/>
    <b v="1"/>
    <m/>
    <n v="0"/>
    <m/>
    <n v="1"/>
    <n v="1.1E-4"/>
    <n v="1"/>
    <n v="1.1E-4"/>
    <m/>
  </r>
  <r>
    <s v="5962.3"/>
    <x v="1"/>
    <x v="5"/>
    <x v="2"/>
    <m/>
    <m/>
    <s v="Dolichospermum planctonicum "/>
    <b v="1"/>
    <m/>
    <n v="0"/>
    <m/>
    <n v="14"/>
    <n v="5.1799999999999997E-3"/>
    <n v="14"/>
    <n v="5.1799999999999997E-3"/>
    <m/>
  </r>
  <r>
    <s v="5962.4"/>
    <x v="1"/>
    <x v="5"/>
    <x v="2"/>
    <m/>
    <m/>
    <s v="Dolichospermum circinale"/>
    <b v="1"/>
    <m/>
    <n v="0"/>
    <m/>
    <n v="1"/>
    <n v="5.7563999999999998E-4"/>
    <n v="1"/>
    <n v="5.7563999999999998E-4"/>
    <m/>
  </r>
  <r>
    <s v="5962.5"/>
    <x v="1"/>
    <x v="5"/>
    <x v="2"/>
    <m/>
    <m/>
    <s v="Geitlerinema splendidum"/>
    <b v="0"/>
    <m/>
    <n v="0"/>
    <m/>
    <n v="20"/>
    <n v="4.4000000000000002E-4"/>
    <n v="0"/>
    <n v="0"/>
    <m/>
  </r>
  <r>
    <s v="5962.6"/>
    <x v="1"/>
    <x v="5"/>
    <x v="2"/>
    <m/>
    <m/>
    <s v="Microcystis wesenbergii"/>
    <b v="1"/>
    <m/>
    <n v="0"/>
    <m/>
    <n v="190"/>
    <n v="3.6162699999999999E-2"/>
    <n v="190"/>
    <n v="3.6162699999999999E-2"/>
    <s v="Microcystis spp._x000a_"/>
  </r>
  <r>
    <s v="5962.7"/>
    <x v="1"/>
    <x v="5"/>
    <x v="2"/>
    <m/>
    <m/>
    <s v="Phormidium sp"/>
    <b v="1"/>
    <m/>
    <n v="0"/>
    <m/>
    <n v="10"/>
    <n v="9.3340000000000003E-4"/>
    <n v="10"/>
    <n v="9.3340000000000003E-4"/>
    <m/>
  </r>
  <r>
    <s v="5962.8"/>
    <x v="1"/>
    <x v="5"/>
    <x v="2"/>
    <m/>
    <m/>
    <s v="Picocyanobacteria"/>
    <b v="1"/>
    <m/>
    <n v="0"/>
    <m/>
    <n v="660"/>
    <n v="3.4319999999999999E-4"/>
    <n v="660"/>
    <n v="3.4319999999999999E-4"/>
    <m/>
  </r>
  <r>
    <s v="5962.9"/>
    <x v="1"/>
    <x v="5"/>
    <x v="2"/>
    <m/>
    <m/>
    <s v="Pseudanabaena mucicola (rod)"/>
    <b v="0"/>
    <m/>
    <n v="0"/>
    <m/>
    <n v="29"/>
    <n v="1.3339999999999999E-3"/>
    <n v="0"/>
    <n v="0"/>
    <m/>
  </r>
  <r>
    <s v="5962.10"/>
    <x v="1"/>
    <x v="5"/>
    <x v="2"/>
    <m/>
    <m/>
    <s v="Pseudanabaena sp."/>
    <b v="1"/>
    <m/>
    <n v="0"/>
    <m/>
    <n v="1"/>
    <n v="3.8999999999999999E-5"/>
    <n v="1"/>
    <n v="3.8999999999999999E-5"/>
    <m/>
  </r>
  <r>
    <s v="5963.1"/>
    <x v="1"/>
    <x v="6"/>
    <x v="2"/>
    <m/>
    <m/>
    <s v="Aphanocapsa sp"/>
    <b v="0"/>
    <m/>
    <n v="0"/>
    <m/>
    <n v="13"/>
    <n v="2.9249999999999999E-5"/>
    <n v="0"/>
    <n v="0"/>
    <m/>
  </r>
  <r>
    <s v="5963.2"/>
    <x v="1"/>
    <x v="6"/>
    <x v="2"/>
    <m/>
    <m/>
    <s v="Dolichospermum lemmermannii"/>
    <b v="1"/>
    <m/>
    <n v="0"/>
    <m/>
    <n v="2"/>
    <n v="2.2000000000000001E-4"/>
    <n v="2"/>
    <n v="2.2000000000000001E-4"/>
    <m/>
  </r>
  <r>
    <s v="5963.3"/>
    <x v="1"/>
    <x v="6"/>
    <x v="2"/>
    <m/>
    <m/>
    <s v="Dolichospermum planctonicum "/>
    <b v="1"/>
    <m/>
    <n v="0"/>
    <m/>
    <n v="10"/>
    <n v="3.7000000000000002E-3"/>
    <n v="10"/>
    <n v="3.7000000000000002E-3"/>
    <m/>
  </r>
  <r>
    <s v="5963.4"/>
    <x v="1"/>
    <x v="6"/>
    <x v="2"/>
    <m/>
    <m/>
    <s v="Dolichospermum circinale"/>
    <b v="1"/>
    <m/>
    <n v="0"/>
    <m/>
    <n v="17"/>
    <n v="9.7858800000000003E-3"/>
    <n v="17"/>
    <n v="9.7858800000000003E-3"/>
    <m/>
  </r>
  <r>
    <s v="5963.5"/>
    <x v="1"/>
    <x v="6"/>
    <x v="2"/>
    <m/>
    <m/>
    <s v="Dolichospermum sp"/>
    <b v="1"/>
    <m/>
    <n v="0"/>
    <m/>
    <n v="3"/>
    <n v="5.6999999999999998E-4"/>
    <n v="3"/>
    <n v="5.6999999999999998E-4"/>
    <m/>
  </r>
  <r>
    <s v="5963.6"/>
    <x v="1"/>
    <x v="6"/>
    <x v="2"/>
    <m/>
    <m/>
    <s v="Microcystis wesenbergii"/>
    <b v="1"/>
    <m/>
    <n v="0"/>
    <m/>
    <n v="2000"/>
    <n v="0.38066"/>
    <n v="2000"/>
    <n v="0.38066"/>
    <s v="Microcystis spp._x000a_"/>
  </r>
  <r>
    <s v="5963.7"/>
    <x v="1"/>
    <x v="6"/>
    <x v="2"/>
    <m/>
    <m/>
    <s v="Phormidium sp"/>
    <b v="1"/>
    <m/>
    <n v="0"/>
    <m/>
    <n v="60"/>
    <n v="5.6004000000000002E-3"/>
    <n v="60"/>
    <n v="5.6004000000000002E-3"/>
    <m/>
  </r>
  <r>
    <s v="5963.8"/>
    <x v="1"/>
    <x v="6"/>
    <x v="2"/>
    <m/>
    <m/>
    <s v="Picocyanobacteria"/>
    <b v="1"/>
    <m/>
    <n v="0"/>
    <m/>
    <n v="2000"/>
    <n v="1.0399999999999999E-3"/>
    <n v="2000"/>
    <n v="1.0399999999999999E-3"/>
    <m/>
  </r>
  <r>
    <s v="5963.9"/>
    <x v="1"/>
    <x v="6"/>
    <x v="2"/>
    <m/>
    <m/>
    <s v="Pseudanabaena mucicola (rod)"/>
    <b v="0"/>
    <m/>
    <n v="0"/>
    <m/>
    <n v="160"/>
    <n v="7.3600000000000002E-3"/>
    <n v="0"/>
    <n v="0"/>
    <m/>
  </r>
  <r>
    <s v="5963.10"/>
    <x v="1"/>
    <x v="6"/>
    <x v="2"/>
    <m/>
    <m/>
    <s v="Pseudanabaena sp."/>
    <b v="1"/>
    <m/>
    <n v="0"/>
    <m/>
    <n v="19"/>
    <n v="7.4100000000000001E-4"/>
    <n v="19"/>
    <n v="7.4100000000000001E-4"/>
    <m/>
  </r>
  <r>
    <s v="5963.11"/>
    <x v="1"/>
    <x v="6"/>
    <x v="2"/>
    <m/>
    <m/>
    <s v="Oscillatoria sp"/>
    <b v="1"/>
    <m/>
    <n v="0"/>
    <m/>
    <n v="10"/>
    <n v="2.7045E-2"/>
    <n v="10"/>
    <n v="2.7045E-2"/>
    <m/>
  </r>
  <r>
    <s v="5948.1"/>
    <x v="2"/>
    <x v="7"/>
    <x v="2"/>
    <s v="20A"/>
    <s v="Whole Plate"/>
    <s v="Microcystis wesenbergii"/>
    <b v="1"/>
    <n v="10"/>
    <n v="38.25"/>
    <n v="9"/>
    <n v="110.925"/>
    <n v="2.1112355249999999E-2"/>
    <n v="110.925"/>
    <n v="2.1112355249999999E-2"/>
    <s v="Microcystis spp._x000a_"/>
  </r>
  <r>
    <s v="5948.2"/>
    <x v="2"/>
    <x v="7"/>
    <x v="2"/>
    <s v="20A"/>
    <s v="Whole Plate"/>
    <s v="Microcystis sp"/>
    <b v="1"/>
    <n v="10"/>
    <n v="9.3333333333333304"/>
    <m/>
    <n v="2.8"/>
    <n v="2.01035999976E-4"/>
    <n v="2.8"/>
    <n v="2.01035999976E-4"/>
    <s v="Microcystis spp._x000a_"/>
  </r>
  <r>
    <s v="5948.3"/>
    <x v="2"/>
    <x v="7"/>
    <x v="2"/>
    <s v="20A"/>
    <s v="Whole Plate"/>
    <s v="Pseudanabaena sp."/>
    <b v="1"/>
    <n v="10"/>
    <n v="4.4285714285714297"/>
    <m/>
    <n v="3.1"/>
    <n v="1.209E-4"/>
    <n v="3.1"/>
    <n v="1.209E-4"/>
    <m/>
  </r>
  <r>
    <s v="5944.1"/>
    <x v="2"/>
    <x v="8"/>
    <x v="2"/>
    <s v="20A"/>
    <s v="160"/>
    <s v="Microcystis wesenbergii"/>
    <b v="1"/>
    <n v="10"/>
    <n v="36.375"/>
    <m/>
    <n v="914.20479166666701"/>
    <n v="0.17400059799791701"/>
    <n v="914.20479166666598"/>
    <n v="0.17400059799791701"/>
    <s v="Microcystis spp._x000a_"/>
  </r>
  <r>
    <s v="5944.2"/>
    <x v="2"/>
    <x v="8"/>
    <x v="2"/>
    <s v="20A"/>
    <s v="160"/>
    <s v="Pseudanabaena sp."/>
    <b v="1"/>
    <n v="10"/>
    <n v="8.3333333333333304"/>
    <m/>
    <n v="157.079861111111"/>
    <n v="6.1261145833333298E-3"/>
    <n v="157.079861111111"/>
    <n v="6.1261145833333298E-3"/>
    <m/>
  </r>
  <r>
    <s v="5944.3"/>
    <x v="2"/>
    <x v="8"/>
    <x v="2"/>
    <s v="20A"/>
    <s v="160"/>
    <s v="Phormidium sp"/>
    <b v="1"/>
    <n v="10"/>
    <n v="64"/>
    <m/>
    <n v="201.062222222222"/>
    <n v="1.8767147822222201E-2"/>
    <n v="201.062222222222"/>
    <n v="1.8767147822222201E-2"/>
    <m/>
  </r>
  <r>
    <s v="5944.4"/>
    <x v="2"/>
    <x v="8"/>
    <x v="2"/>
    <s v="20A"/>
    <s v="160"/>
    <s v="Dolichospermum circinale"/>
    <b v="1"/>
    <n v="10"/>
    <n v="22"/>
    <m/>
    <n v="69.115138888888893"/>
    <n v="3.9785438550000003E-2"/>
    <n v="69.115138888888893"/>
    <n v="3.9785438550000003E-2"/>
    <m/>
  </r>
  <r>
    <s v="5944.5"/>
    <x v="2"/>
    <x v="8"/>
    <x v="2"/>
    <s v="20A"/>
    <s v="160"/>
    <s v="Geitlerinema sp"/>
    <b v="0"/>
    <n v="10"/>
    <n v="43"/>
    <m/>
    <n v="135.08868055555601"/>
    <n v="2.9719509722222299E-3"/>
    <n v="0"/>
    <n v="0"/>
    <m/>
  </r>
  <r>
    <s v="5943.1"/>
    <x v="2"/>
    <x v="9"/>
    <x v="2"/>
    <s v="20A"/>
    <s v="160"/>
    <s v="Microcystis wesenbergii"/>
    <b v="1"/>
    <n v="10"/>
    <n v="40.5"/>
    <n v="10"/>
    <n v="3817.0406250000001"/>
    <n v="0.72649734215624995"/>
    <n v="3817.0406250000001"/>
    <n v="0.72649734215624995"/>
    <s v="Microcystis spp._x000a_"/>
  </r>
  <r>
    <s v="5943.2"/>
    <x v="2"/>
    <x v="9"/>
    <x v="2"/>
    <s v="20A"/>
    <s v="160"/>
    <s v="Pseudanabaena sp."/>
    <b v="1"/>
    <n v="10"/>
    <n v="9.5"/>
    <m/>
    <n v="298.45173611111102"/>
    <n v="1.16396177083333E-2"/>
    <n v="298.45173611111102"/>
    <n v="1.16396177083333E-2"/>
    <m/>
  </r>
  <r>
    <s v="5943.3"/>
    <x v="2"/>
    <x v="9"/>
    <x v="2"/>
    <s v="20A"/>
    <s v="160"/>
    <s v="Dolichospermum sp"/>
    <b v="1"/>
    <n v="10"/>
    <n v="28"/>
    <m/>
    <n v="175.92944444444399"/>
    <n v="3.3426594444444402E-2"/>
    <n v="175.92944444444399"/>
    <n v="3.3426594444444402E-2"/>
    <m/>
  </r>
  <r>
    <s v="5945.1"/>
    <x v="2"/>
    <x v="10"/>
    <x v="2"/>
    <s v="20A"/>
    <s v="Whole Plate"/>
    <s v="Microcystis wesenbergii"/>
    <b v="1"/>
    <n v="10"/>
    <n v="40.700000000000003"/>
    <n v="130"/>
    <n v="610.5"/>
    <n v="0.116196465"/>
    <n v="610.5"/>
    <n v="0.116196465"/>
    <s v="Microcystis spp._x000a_"/>
  </r>
  <r>
    <s v="5945.2"/>
    <x v="2"/>
    <x v="10"/>
    <x v="2"/>
    <s v="20A"/>
    <s v="Whole Plate"/>
    <s v="Microcystis sp"/>
    <b v="1"/>
    <n v="10"/>
    <n v="18.571428571428601"/>
    <m/>
    <n v="13"/>
    <n v="9.3338142845999996E-4"/>
    <n v="13"/>
    <n v="9.3338142845999996E-4"/>
    <s v="Microcystis spp._x000a_"/>
  </r>
  <r>
    <s v="5945.3"/>
    <x v="2"/>
    <x v="10"/>
    <x v="2"/>
    <s v="20A"/>
    <s v="Whole Plate"/>
    <s v="Phormidium sp"/>
    <b v="1"/>
    <n v="10"/>
    <n v="12"/>
    <m/>
    <n v="1.2"/>
    <n v="1.12008E-4"/>
    <n v="1.2"/>
    <n v="1.12008E-4"/>
    <m/>
  </r>
  <r>
    <s v="5945.4"/>
    <x v="2"/>
    <x v="10"/>
    <x v="2"/>
    <s v="20A"/>
    <s v="Whole Plate"/>
    <s v="Dolichospermum circinale"/>
    <b v="1"/>
    <n v="10"/>
    <n v="16"/>
    <m/>
    <n v="1.6"/>
    <n v="9.21024E-4"/>
    <n v="1.6"/>
    <n v="9.21024E-4"/>
    <m/>
  </r>
  <r>
    <s v="5945.5"/>
    <x v="2"/>
    <x v="10"/>
    <x v="2"/>
    <s v="20A"/>
    <s v="Whole Plate"/>
    <s v="Pseudanabaena sp."/>
    <b v="1"/>
    <n v="10"/>
    <n v="4.6666666666666696"/>
    <m/>
    <n v="1.4"/>
    <n v="5.4599999999999999E-5"/>
    <n v="1.4"/>
    <n v="5.4599999999999999E-5"/>
    <m/>
  </r>
  <r>
    <s v="5966.1"/>
    <x v="3"/>
    <x v="11"/>
    <x v="2"/>
    <m/>
    <m/>
    <s v="Dolichospermum lemmermannii"/>
    <b v="1"/>
    <m/>
    <n v="0"/>
    <m/>
    <n v="3"/>
    <n v="3.3E-4"/>
    <n v="3"/>
    <n v="3.3E-4"/>
    <m/>
  </r>
  <r>
    <s v="5966.2"/>
    <x v="3"/>
    <x v="11"/>
    <x v="2"/>
    <m/>
    <m/>
    <s v="Dolichospermum planctonicum "/>
    <b v="1"/>
    <m/>
    <n v="0"/>
    <m/>
    <n v="1"/>
    <n v="3.6999999999999999E-4"/>
    <n v="1"/>
    <n v="3.6999999999999999E-4"/>
    <m/>
  </r>
  <r>
    <s v="5966.3"/>
    <x v="3"/>
    <x v="11"/>
    <x v="2"/>
    <m/>
    <m/>
    <s v="Dolichospermum circinale"/>
    <b v="1"/>
    <m/>
    <n v="0"/>
    <m/>
    <n v="1"/>
    <n v="5.7563999999999998E-4"/>
    <n v="1"/>
    <n v="5.7563999999999998E-4"/>
    <m/>
  </r>
  <r>
    <s v="5966.4"/>
    <x v="3"/>
    <x v="11"/>
    <x v="2"/>
    <m/>
    <m/>
    <s v="Microcystis sp"/>
    <b v="1"/>
    <m/>
    <n v="0"/>
    <m/>
    <n v="54"/>
    <n v="3.8771228566800001E-3"/>
    <n v="54"/>
    <n v="3.8771228566800001E-3"/>
    <s v="Microcystis spp._x000a_"/>
  </r>
  <r>
    <s v="5966.5"/>
    <x v="3"/>
    <x v="11"/>
    <x v="2"/>
    <m/>
    <m/>
    <s v="Pseudanabaena sp."/>
    <b v="1"/>
    <m/>
    <n v="0"/>
    <m/>
    <n v="1"/>
    <n v="3.8999999999999999E-5"/>
    <n v="1"/>
    <n v="3.8999999999999999E-5"/>
    <m/>
  </r>
  <r>
    <s v="5932.1"/>
    <x v="4"/>
    <x v="12"/>
    <x v="3"/>
    <s v="20A"/>
    <s v="Whole Plate"/>
    <s v="Microcystis wesenbergii"/>
    <b v="1"/>
    <n v="10"/>
    <n v="58.4"/>
    <n v="69"/>
    <n v="519.76"/>
    <n v="9.8925920799999997E-2"/>
    <n v="519.76"/>
    <n v="9.8925920799999997E-2"/>
    <s v="Microcystis spp._x000a_"/>
  </r>
  <r>
    <s v="5932.2"/>
    <x v="4"/>
    <x v="12"/>
    <x v="3"/>
    <s v="20A"/>
    <s v="Whole Plate"/>
    <s v="Anabaena torulosa"/>
    <b v="1"/>
    <n v="10"/>
    <n v="8"/>
    <m/>
    <n v="0.8"/>
    <n v="1.7679999999999999E-4"/>
    <n v="0.8"/>
    <n v="1.7679999999999999E-4"/>
    <m/>
  </r>
  <r>
    <s v="5932.3"/>
    <x v="4"/>
    <x v="12"/>
    <x v="3"/>
    <s v="20A"/>
    <s v="Whole Plate"/>
    <s v="Pseudanabaena sp."/>
    <b v="1"/>
    <n v="10"/>
    <n v="10.5"/>
    <m/>
    <n v="2.1"/>
    <n v="8.1899999999999999E-5"/>
    <n v="2.1"/>
    <n v="8.1899999999999999E-5"/>
    <m/>
  </r>
  <r>
    <s v="5932.4"/>
    <x v="4"/>
    <x v="12"/>
    <x v="3"/>
    <s v="20A"/>
    <s v="Whole Plate"/>
    <s v="Dolichospermum circinale"/>
    <b v="1"/>
    <n v="10"/>
    <n v="22.3333333333333"/>
    <m/>
    <n v="13.4"/>
    <n v="7.7135759999999998E-3"/>
    <n v="13.4"/>
    <n v="7.7135759999999998E-3"/>
    <m/>
  </r>
  <r>
    <s v="5932.5"/>
    <x v="4"/>
    <x v="12"/>
    <x v="3"/>
    <s v="20A"/>
    <s v="Whole Plate"/>
    <s v="Microcystis sp"/>
    <b v="1"/>
    <n v="10"/>
    <n v="18"/>
    <m/>
    <n v="1.8"/>
    <n v="1.29237428556E-4"/>
    <n v="1.8"/>
    <n v="1.29237428556E-4"/>
    <s v="Microcystis spp._x000a_"/>
  </r>
  <r>
    <s v="5932.6"/>
    <x v="4"/>
    <x v="12"/>
    <x v="3"/>
    <s v="20A"/>
    <s v="Whole Plate"/>
    <s v="Aphanocapsa sp"/>
    <b v="0"/>
    <n v="10"/>
    <n v="59"/>
    <m/>
    <n v="11.8"/>
    <n v="2.6550000000000002E-5"/>
    <n v="0"/>
    <n v="0"/>
    <m/>
  </r>
  <r>
    <s v="5932.7"/>
    <x v="4"/>
    <x v="12"/>
    <x v="3"/>
    <s v="20A"/>
    <s v="Whole Plate"/>
    <s v="Dolichospermum lemmermannii"/>
    <b v="1"/>
    <n v="10"/>
    <n v="17"/>
    <m/>
    <n v="3.4"/>
    <n v="3.7399999999999998E-4"/>
    <n v="3.4"/>
    <n v="3.7399999999999998E-4"/>
    <m/>
  </r>
  <r>
    <s v="5932.8"/>
    <x v="4"/>
    <x v="12"/>
    <x v="3"/>
    <s v="20A"/>
    <s v="Whole Plate"/>
    <s v="Oscillatoria sp"/>
    <b v="1"/>
    <n v="10"/>
    <n v="52"/>
    <m/>
    <n v="5.2"/>
    <n v="1.40634E-2"/>
    <n v="5.2"/>
    <n v="1.40634E-2"/>
    <m/>
  </r>
  <r>
    <s v="5936.1"/>
    <x v="0"/>
    <x v="0"/>
    <x v="3"/>
    <s v="20A"/>
    <s v="Whole Plate"/>
    <s v="Microcystis sp"/>
    <b v="1"/>
    <n v="10"/>
    <n v="41.6"/>
    <n v="15"/>
    <n v="145.6"/>
    <n v="1.0453871998752E-2"/>
    <n v="145.6"/>
    <n v="1.0453871998752E-2"/>
    <s v="Microcystis spp._x000a_"/>
  </r>
  <r>
    <s v="5936.2"/>
    <x v="0"/>
    <x v="0"/>
    <x v="3"/>
    <s v="20A"/>
    <s v="Whole Plate"/>
    <s v="Microcystis wesenbergii"/>
    <b v="1"/>
    <n v="10"/>
    <n v="45.894736842105303"/>
    <m/>
    <n v="87.2"/>
    <n v="1.6596776000000001E-2"/>
    <n v="87.2"/>
    <n v="1.6596776000000001E-2"/>
    <s v="Microcystis spp._x000a_"/>
  </r>
  <r>
    <s v="5936.3"/>
    <x v="0"/>
    <x v="0"/>
    <x v="3"/>
    <s v="20A"/>
    <s v="Whole Plate"/>
    <s v="Aphanocapsa sp"/>
    <b v="0"/>
    <n v="10"/>
    <n v="44.5"/>
    <m/>
    <n v="17.8"/>
    <n v="4.0049999999999998E-5"/>
    <n v="0"/>
    <n v="0"/>
    <m/>
  </r>
  <r>
    <s v="5936.4"/>
    <x v="0"/>
    <x v="0"/>
    <x v="3"/>
    <s v="20A"/>
    <s v="Whole Plate"/>
    <s v="Dolichospermum sp"/>
    <b v="1"/>
    <n v="10"/>
    <n v="17.25"/>
    <m/>
    <n v="13.8"/>
    <n v="2.6220000000000002E-3"/>
    <n v="13.8"/>
    <n v="2.6220000000000002E-3"/>
    <m/>
  </r>
  <r>
    <s v="5936.5"/>
    <x v="0"/>
    <x v="0"/>
    <x v="3"/>
    <s v="20A"/>
    <s v="Whole Plate"/>
    <s v="Dolichospermum planctonicum "/>
    <b v="1"/>
    <n v="10"/>
    <n v="12"/>
    <m/>
    <n v="1.2"/>
    <n v="4.44E-4"/>
    <n v="1.2"/>
    <n v="4.44E-4"/>
    <m/>
  </r>
  <r>
    <s v="5936.6"/>
    <x v="0"/>
    <x v="0"/>
    <x v="3"/>
    <s v="20A"/>
    <s v="Whole Plate"/>
    <s v="Pseudanabaena sp."/>
    <b v="1"/>
    <n v="10"/>
    <n v="15.8"/>
    <m/>
    <n v="7.9"/>
    <n v="3.0810000000000001E-4"/>
    <n v="7.9"/>
    <n v="3.0810000000000001E-4"/>
    <m/>
  </r>
  <r>
    <s v="5936.7"/>
    <x v="0"/>
    <x v="0"/>
    <x v="3"/>
    <s v="20A"/>
    <s v="Whole Plate"/>
    <s v="Anabaena torulosa"/>
    <b v="1"/>
    <n v="10"/>
    <n v="23.5"/>
    <m/>
    <n v="4.7"/>
    <n v="1.0387E-3"/>
    <n v="4.7"/>
    <n v="1.0387E-3"/>
    <m/>
  </r>
  <r>
    <s v="5936.8"/>
    <x v="0"/>
    <x v="0"/>
    <x v="3"/>
    <s v="20A"/>
    <s v="Whole Plate"/>
    <s v="Dolichospermum lemmermannii"/>
    <b v="1"/>
    <n v="10"/>
    <n v="68"/>
    <m/>
    <n v="6.8"/>
    <n v="7.4799999999999997E-4"/>
    <n v="6.8"/>
    <n v="7.4799999999999997E-4"/>
    <m/>
  </r>
  <r>
    <s v="5936.9"/>
    <x v="0"/>
    <x v="0"/>
    <x v="3"/>
    <s v="20A"/>
    <s v="Whole Plate"/>
    <s v="Oscillatoria sp"/>
    <b v="1"/>
    <n v="10"/>
    <n v="38"/>
    <m/>
    <n v="11.4"/>
    <n v="3.0831299999999999E-2"/>
    <n v="11.4"/>
    <n v="3.0831299999999999E-2"/>
    <m/>
  </r>
  <r>
    <s v="5936.10"/>
    <x v="0"/>
    <x v="0"/>
    <x v="3"/>
    <s v="20A"/>
    <s v="Whole Plate"/>
    <s v="Dolichospermum spiroides"/>
    <b v="1"/>
    <n v="10"/>
    <n v="22"/>
    <m/>
    <n v="2.2000000000000002"/>
    <n v="5.7200000000000003E-4"/>
    <n v="2.2000000000000002"/>
    <n v="5.7200000000000003E-4"/>
    <m/>
  </r>
  <r>
    <s v="5939.1"/>
    <x v="0"/>
    <x v="1"/>
    <x v="3"/>
    <s v="20A"/>
    <s v="Whole Plate"/>
    <s v="Microcystis sp"/>
    <b v="1"/>
    <n v="10"/>
    <n v="48"/>
    <m/>
    <n v="24"/>
    <n v="1.72316571408E-3"/>
    <n v="24"/>
    <n v="1.72316571408E-3"/>
    <s v="Microcystis spp._x000a_"/>
  </r>
  <r>
    <s v="5939.2"/>
    <x v="0"/>
    <x v="1"/>
    <x v="3"/>
    <s v="20A"/>
    <s v="Whole Plate"/>
    <s v="Dolichospermum sp"/>
    <b v="1"/>
    <n v="10"/>
    <n v="15.125"/>
    <m/>
    <n v="12.1"/>
    <n v="2.2989999999999998E-3"/>
    <n v="12.1"/>
    <n v="2.2989999999999998E-3"/>
    <m/>
  </r>
  <r>
    <s v="5939.3"/>
    <x v="0"/>
    <x v="1"/>
    <x v="3"/>
    <s v="20A"/>
    <s v="Whole Plate"/>
    <s v="Microcystis wesenbergii"/>
    <b v="1"/>
    <n v="10"/>
    <n v="152.6"/>
    <m/>
    <n v="76.3"/>
    <n v="1.4522179E-2"/>
    <n v="76.3"/>
    <n v="1.4522179E-2"/>
    <s v="Microcystis spp._x000a_"/>
  </r>
  <r>
    <s v="5939.4"/>
    <x v="0"/>
    <x v="1"/>
    <x v="3"/>
    <s v="20A"/>
    <s v="Whole Plate"/>
    <s v="Coelosphaerium cf natans"/>
    <b v="0"/>
    <n v="10"/>
    <n v="39"/>
    <m/>
    <n v="7.8"/>
    <n v="1.7940000000000001E-5"/>
    <n v="0"/>
    <n v="0"/>
    <m/>
  </r>
  <r>
    <s v="5939.5"/>
    <x v="0"/>
    <x v="1"/>
    <x v="3"/>
    <s v="20A"/>
    <s v="Whole Plate"/>
    <s v="Dolichospermum spiroides"/>
    <b v="1"/>
    <n v="10"/>
    <n v="16.5"/>
    <m/>
    <n v="3.3"/>
    <n v="8.5800000000000004E-4"/>
    <n v="3.3"/>
    <n v="8.5800000000000004E-4"/>
    <m/>
  </r>
  <r>
    <s v="5939.6"/>
    <x v="0"/>
    <x v="1"/>
    <x v="3"/>
    <s v="20A"/>
    <s v="Whole Plate"/>
    <s v="Anabaena torulosa"/>
    <b v="1"/>
    <n v="10"/>
    <n v="19"/>
    <m/>
    <n v="3.8"/>
    <n v="8.3980000000000003E-4"/>
    <n v="3.8"/>
    <n v="8.3980000000000003E-4"/>
    <m/>
  </r>
  <r>
    <s v="5939.7"/>
    <x v="0"/>
    <x v="1"/>
    <x v="3"/>
    <s v="20A"/>
    <s v="Whole Plate"/>
    <s v="Dolichospermum lemmermannii"/>
    <b v="1"/>
    <n v="10"/>
    <n v="72"/>
    <m/>
    <n v="7.2"/>
    <n v="7.9199999999999995E-4"/>
    <n v="7.2"/>
    <n v="7.9199999999999995E-4"/>
    <m/>
  </r>
  <r>
    <s v="5940.1"/>
    <x v="1"/>
    <x v="2"/>
    <x v="3"/>
    <s v="20A"/>
    <s v="Whole Plate"/>
    <s v="Microcystis wesenbergii"/>
    <b v="1"/>
    <n v="10"/>
    <n v="34.25"/>
    <m/>
    <n v="27.4"/>
    <n v="5.2150419999999996E-3"/>
    <n v="27.4"/>
    <n v="5.2150419999999996E-3"/>
    <s v="Microcystis spp._x000a_"/>
  </r>
  <r>
    <s v="5940.2"/>
    <x v="1"/>
    <x v="2"/>
    <x v="3"/>
    <s v="20A"/>
    <s v="Whole Plate"/>
    <s v="Pseudanabaena sp."/>
    <b v="1"/>
    <n v="10"/>
    <n v="5"/>
    <m/>
    <n v="2"/>
    <n v="7.7999999999999999E-5"/>
    <n v="2"/>
    <n v="7.7999999999999999E-5"/>
    <m/>
  </r>
  <r>
    <s v="5940.3"/>
    <x v="1"/>
    <x v="2"/>
    <x v="3"/>
    <s v="20A"/>
    <s v="Whole Plate"/>
    <s v="Aphanocapsa sp"/>
    <b v="0"/>
    <n v="10"/>
    <n v="79"/>
    <m/>
    <n v="31.6"/>
    <n v="7.1099999999999994E-5"/>
    <n v="0"/>
    <n v="0"/>
    <m/>
  </r>
  <r>
    <s v="5940.4"/>
    <x v="1"/>
    <x v="2"/>
    <x v="3"/>
    <s v="20A"/>
    <s v="Whole Plate"/>
    <s v="Dolichospermum lemmermannii"/>
    <b v="1"/>
    <n v="10"/>
    <n v="73"/>
    <m/>
    <n v="7.3"/>
    <n v="8.03E-4"/>
    <n v="7.3"/>
    <n v="8.03E-4"/>
    <m/>
  </r>
  <r>
    <s v="5935.1"/>
    <x v="1"/>
    <x v="3"/>
    <x v="3"/>
    <s v="20A"/>
    <s v="Whole Plate"/>
    <s v="Coelosphaerium cf natans"/>
    <b v="0"/>
    <n v="10"/>
    <n v="53.4"/>
    <n v="120"/>
    <n v="747.6"/>
    <n v="1.71948E-3"/>
    <n v="0"/>
    <n v="0"/>
    <m/>
  </r>
  <r>
    <s v="5935.2"/>
    <x v="1"/>
    <x v="3"/>
    <x v="3"/>
    <s v="20A"/>
    <s v="Whole Plate"/>
    <s v="Dolichospermum lemmermannii"/>
    <b v="1"/>
    <n v="10"/>
    <n v="27.3"/>
    <n v="3"/>
    <n v="62.79"/>
    <n v="6.9068999999999997E-3"/>
    <n v="62.79"/>
    <n v="6.9068999999999997E-3"/>
    <m/>
  </r>
  <r>
    <s v="5935.3"/>
    <x v="1"/>
    <x v="3"/>
    <x v="3"/>
    <s v="20A"/>
    <s v="Whole Plate"/>
    <s v="Anabaena torulosa"/>
    <b v="1"/>
    <n v="10"/>
    <n v="17.6666666666667"/>
    <m/>
    <n v="10.6"/>
    <n v="2.3425999999999998E-3"/>
    <n v="10.6"/>
    <n v="2.3425999999999998E-3"/>
    <m/>
  </r>
  <r>
    <s v="5935.4"/>
    <x v="1"/>
    <x v="3"/>
    <x v="3"/>
    <s v="20A"/>
    <s v="Whole Plate"/>
    <s v="Microcystis wesenbergii"/>
    <b v="1"/>
    <n v="10"/>
    <n v="33.428571428571402"/>
    <m/>
    <n v="23.4"/>
    <n v="4.4537220000000002E-3"/>
    <n v="23.4"/>
    <n v="4.4537220000000002E-3"/>
    <s v="Microcystis spp._x000a_"/>
  </r>
  <r>
    <s v="5935.5"/>
    <x v="1"/>
    <x v="3"/>
    <x v="3"/>
    <s v="20A"/>
    <s v="Whole Plate"/>
    <s v="Dolichospermum sp"/>
    <b v="1"/>
    <n v="10"/>
    <n v="7.6666666666666696"/>
    <m/>
    <n v="2.2999999999999998"/>
    <n v="4.37E-4"/>
    <n v="2.2999999999999998"/>
    <n v="4.37E-4"/>
    <m/>
  </r>
  <r>
    <s v="5935.6"/>
    <x v="1"/>
    <x v="3"/>
    <x v="3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935.7"/>
    <x v="1"/>
    <x v="3"/>
    <x v="3"/>
    <s v="20A"/>
    <s v="Whole Plate"/>
    <s v="Aphanocapsa sp"/>
    <b v="0"/>
    <n v="10"/>
    <n v="480"/>
    <m/>
    <n v="48"/>
    <n v="1.08E-4"/>
    <n v="0"/>
    <n v="0"/>
    <m/>
  </r>
  <r>
    <s v="5935.8"/>
    <x v="1"/>
    <x v="3"/>
    <x v="3"/>
    <s v="20A"/>
    <s v="Whole Plate"/>
    <s v="Pseudanabaena sp."/>
    <b v="1"/>
    <n v="10"/>
    <n v="20.3333333333333"/>
    <m/>
    <n v="6.1"/>
    <n v="2.3790000000000001E-4"/>
    <n v="6.1"/>
    <n v="2.3790000000000001E-4"/>
    <m/>
  </r>
  <r>
    <s v="5933.1"/>
    <x v="1"/>
    <x v="4"/>
    <x v="3"/>
    <s v="20A"/>
    <s v="Whole Plate"/>
    <s v="Microcystis wesenbergii"/>
    <b v="1"/>
    <n v="10"/>
    <n v="46.65"/>
    <n v="113"/>
    <n v="620.44500000000005"/>
    <n v="0.11808929685"/>
    <n v="620.44500000000005"/>
    <n v="0.11808929685"/>
    <s v="Microcystis spp._x000a_"/>
  </r>
  <r>
    <s v="5933.2"/>
    <x v="1"/>
    <x v="4"/>
    <x v="3"/>
    <s v="20A"/>
    <s v="Whole Plate"/>
    <s v="Dolichospermum circinale"/>
    <b v="1"/>
    <n v="10"/>
    <n v="27.4166666666667"/>
    <m/>
    <n v="32.9"/>
    <n v="1.8938555999999999E-2"/>
    <n v="32.9"/>
    <n v="1.8938555999999999E-2"/>
    <m/>
  </r>
  <r>
    <s v="5933.3"/>
    <x v="1"/>
    <x v="4"/>
    <x v="3"/>
    <s v="20A"/>
    <s v="Whole Plate"/>
    <s v="Aphanocapsa sp"/>
    <b v="0"/>
    <n v="10"/>
    <n v="99"/>
    <m/>
    <n v="39.6"/>
    <n v="8.9099999999999997E-5"/>
    <n v="0"/>
    <n v="0"/>
    <m/>
  </r>
  <r>
    <s v="5933.4"/>
    <x v="1"/>
    <x v="4"/>
    <x v="3"/>
    <s v="20A"/>
    <s v="Whole Plate"/>
    <s v="Microcystis sp"/>
    <b v="1"/>
    <n v="10"/>
    <n v="42"/>
    <m/>
    <n v="4.2"/>
    <n v="3.0155399996399998E-4"/>
    <n v="4.2"/>
    <n v="3.0155399996399998E-4"/>
    <s v="Microcystis spp._x000a_"/>
  </r>
  <r>
    <s v="5933.5"/>
    <x v="1"/>
    <x v="4"/>
    <x v="3"/>
    <s v="20A"/>
    <s v="Whole Plate"/>
    <s v="Oscillatoria sp"/>
    <b v="1"/>
    <n v="10"/>
    <n v="141"/>
    <m/>
    <n v="28.2"/>
    <n v="7.6266899999999999E-2"/>
    <n v="28.2"/>
    <n v="7.6266899999999999E-2"/>
    <m/>
  </r>
  <r>
    <s v="5933.6"/>
    <x v="1"/>
    <x v="4"/>
    <x v="3"/>
    <s v="20A"/>
    <s v="Whole Plate"/>
    <s v="Dolichospermum planctonicum "/>
    <b v="1"/>
    <n v="10"/>
    <n v="20"/>
    <m/>
    <n v="2"/>
    <n v="7.3999999999999999E-4"/>
    <n v="2"/>
    <n v="7.3999999999999999E-4"/>
    <m/>
  </r>
  <r>
    <s v="5933.7"/>
    <x v="1"/>
    <x v="4"/>
    <x v="3"/>
    <s v="20A"/>
    <s v="Whole Plate"/>
    <s v="Anabaena torulosa"/>
    <b v="1"/>
    <n v="10"/>
    <n v="21.5"/>
    <m/>
    <n v="4.3"/>
    <n v="9.5029999999999995E-4"/>
    <n v="4.3"/>
    <n v="9.5029999999999995E-4"/>
    <m/>
  </r>
  <r>
    <s v="5933.8"/>
    <x v="1"/>
    <x v="4"/>
    <x v="3"/>
    <s v="20A"/>
    <s v="Whole Plate"/>
    <s v="Woronichinia naegeliana"/>
    <b v="1"/>
    <n v="10"/>
    <n v="192"/>
    <m/>
    <n v="19.2"/>
    <n v="0"/>
    <n v="19.2"/>
    <n v="0"/>
    <m/>
  </r>
  <r>
    <s v="5933.9"/>
    <x v="1"/>
    <x v="4"/>
    <x v="3"/>
    <s v="20A"/>
    <s v="Whole Plate"/>
    <s v="Dolichospermum sp"/>
    <b v="1"/>
    <n v="10"/>
    <n v="12"/>
    <m/>
    <n v="4.8"/>
    <n v="9.1200000000000005E-4"/>
    <n v="4.8"/>
    <n v="9.1200000000000005E-4"/>
    <m/>
  </r>
  <r>
    <s v="5933.10"/>
    <x v="1"/>
    <x v="4"/>
    <x v="3"/>
    <s v="20A"/>
    <s v="Whole Plate"/>
    <s v="Limnococcus limneticus_x000a_"/>
    <b v="0"/>
    <n v="10"/>
    <n v="20"/>
    <m/>
    <n v="2"/>
    <n v="8.9999999999999998E-4"/>
    <n v="0"/>
    <n v="0"/>
    <m/>
  </r>
  <r>
    <s v="5937.1"/>
    <x v="1"/>
    <x v="5"/>
    <x v="3"/>
    <s v="20A"/>
    <s v="Whole Plate"/>
    <s v="Oscillatoria sp"/>
    <b v="1"/>
    <n v="10"/>
    <n v="98"/>
    <m/>
    <n v="29.4"/>
    <n v="7.9512299999999994E-2"/>
    <n v="29.4"/>
    <n v="7.9512299999999994E-2"/>
    <m/>
  </r>
  <r>
    <s v="5937.2"/>
    <x v="1"/>
    <x v="5"/>
    <x v="3"/>
    <s v="20A"/>
    <s v="Whole Plate"/>
    <s v="Microcystis wesenbergii"/>
    <b v="1"/>
    <n v="10"/>
    <n v="51.8"/>
    <m/>
    <n v="25.9"/>
    <n v="4.9295470000000003E-3"/>
    <n v="25.9"/>
    <n v="4.9295470000000003E-3"/>
    <s v="Microcystis spp._x000a_"/>
  </r>
  <r>
    <s v="5937.3"/>
    <x v="1"/>
    <x v="5"/>
    <x v="3"/>
    <s v="20A"/>
    <s v="Whole Plate"/>
    <s v="Aphanocapsa sp"/>
    <b v="0"/>
    <n v="10"/>
    <n v="137.666666666667"/>
    <m/>
    <n v="82.6"/>
    <n v="1.8584999999999999E-4"/>
    <n v="0"/>
    <n v="0"/>
    <m/>
  </r>
  <r>
    <s v="5937.4"/>
    <x v="1"/>
    <x v="5"/>
    <x v="3"/>
    <s v="20A"/>
    <s v="Whole Plate"/>
    <s v="Dolichospermum sp"/>
    <b v="1"/>
    <n v="10"/>
    <n v="11.2"/>
    <m/>
    <n v="5.6"/>
    <n v="1.0640000000000001E-3"/>
    <n v="5.6"/>
    <n v="1.0640000000000001E-3"/>
    <m/>
  </r>
  <r>
    <s v="5937.5"/>
    <x v="1"/>
    <x v="5"/>
    <x v="3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5937.6"/>
    <x v="1"/>
    <x v="5"/>
    <x v="3"/>
    <s v="20A"/>
    <s v="Whole Plate"/>
    <s v="Dolichospermum circinale"/>
    <b v="1"/>
    <n v="10"/>
    <n v="24"/>
    <m/>
    <n v="2.4"/>
    <n v="1.381536E-3"/>
    <n v="2.4"/>
    <n v="1.381536E-3"/>
    <m/>
  </r>
  <r>
    <s v="5937.7"/>
    <x v="1"/>
    <x v="5"/>
    <x v="3"/>
    <s v="20A"/>
    <s v="Whole Plate"/>
    <s v="Limnococcus limneticus_x000a_"/>
    <b v="0"/>
    <n v="10"/>
    <n v="18"/>
    <m/>
    <n v="3.6"/>
    <n v="1.6199999999999999E-3"/>
    <n v="0"/>
    <n v="0"/>
    <m/>
  </r>
  <r>
    <s v="5938.1"/>
    <x v="1"/>
    <x v="6"/>
    <x v="3"/>
    <s v="20A"/>
    <s v="Whole Plate"/>
    <s v="Microcystis wesenbergii"/>
    <b v="1"/>
    <n v="10"/>
    <n v="46.25"/>
    <n v="10"/>
    <n v="138.75"/>
    <n v="2.6408287499999999E-2"/>
    <n v="138.75"/>
    <n v="2.6408287499999999E-2"/>
    <s v="Microcystis spp._x000a_"/>
  </r>
  <r>
    <s v="5938.2"/>
    <x v="1"/>
    <x v="6"/>
    <x v="3"/>
    <s v="20A"/>
    <s v="Whole Plate"/>
    <s v="Aphanocapsa sp"/>
    <b v="0"/>
    <n v="10"/>
    <n v="88.4"/>
    <m/>
    <n v="44.2"/>
    <n v="9.9450000000000005E-5"/>
    <n v="0"/>
    <n v="0"/>
    <m/>
  </r>
  <r>
    <s v="5938.3"/>
    <x v="1"/>
    <x v="6"/>
    <x v="3"/>
    <s v="20A"/>
    <s v="Whole Plate"/>
    <s v="Dolichospermum planctonicum "/>
    <b v="1"/>
    <n v="10"/>
    <n v="15.4"/>
    <m/>
    <n v="15.4"/>
    <n v="5.6979999999999999E-3"/>
    <n v="15.4"/>
    <n v="5.6979999999999999E-3"/>
    <m/>
  </r>
  <r>
    <s v="5938.4"/>
    <x v="1"/>
    <x v="6"/>
    <x v="3"/>
    <s v="20A"/>
    <s v="Whole Plate"/>
    <s v="Oscillatoria sp"/>
    <b v="1"/>
    <n v="10"/>
    <n v="27.75"/>
    <m/>
    <n v="11.1"/>
    <n v="3.001995E-2"/>
    <n v="11.1"/>
    <n v="3.001995E-2"/>
    <m/>
  </r>
  <r>
    <s v="5938.5"/>
    <x v="1"/>
    <x v="6"/>
    <x v="3"/>
    <s v="20A"/>
    <s v="Whole Plate"/>
    <s v="Microcystis sp"/>
    <b v="1"/>
    <n v="10"/>
    <n v="19.3333333333333"/>
    <m/>
    <n v="5.8"/>
    <n v="4.1643171423600003E-4"/>
    <n v="5.8"/>
    <n v="4.1643171423600003E-4"/>
    <s v="Microcystis spp._x000a_"/>
  </r>
  <r>
    <s v="5938.6"/>
    <x v="1"/>
    <x v="6"/>
    <x v="3"/>
    <s v="20A"/>
    <s v="Whole Plate"/>
    <s v="Dolichospermum sp"/>
    <b v="1"/>
    <n v="10"/>
    <n v="12"/>
    <m/>
    <n v="2.4"/>
    <n v="4.5600000000000003E-4"/>
    <n v="2.4"/>
    <n v="4.5600000000000003E-4"/>
    <m/>
  </r>
  <r>
    <s v="5934.1"/>
    <x v="2"/>
    <x v="7"/>
    <x v="3"/>
    <s v="20A"/>
    <s v="Whole Plate"/>
    <s v="Pseudanabaena sp."/>
    <b v="1"/>
    <n v="10"/>
    <n v="12.8571428571429"/>
    <m/>
    <n v="18"/>
    <n v="7.0200000000000004E-4"/>
    <n v="18"/>
    <n v="7.0200000000000004E-4"/>
    <m/>
  </r>
  <r>
    <s v="5934.2"/>
    <x v="2"/>
    <x v="7"/>
    <x v="3"/>
    <s v="20A"/>
    <s v="Whole Plate"/>
    <s v="Dolichospermum sp"/>
    <b v="1"/>
    <n v="10"/>
    <n v="18.3333333333333"/>
    <m/>
    <n v="5.5"/>
    <n v="1.0449999999999999E-3"/>
    <n v="5.5"/>
    <n v="1.0449999999999999E-3"/>
    <m/>
  </r>
  <r>
    <s v="5934.3"/>
    <x v="2"/>
    <x v="7"/>
    <x v="3"/>
    <s v="20A"/>
    <s v="Whole Plate"/>
    <s v="Microcystis wesenbergii"/>
    <b v="1"/>
    <n v="10"/>
    <n v="49.2"/>
    <n v="14"/>
    <n v="167.28"/>
    <n v="3.18384024E-2"/>
    <n v="167.28"/>
    <n v="3.18384024E-2"/>
    <s v="Microcystis spp._x000a_"/>
  </r>
  <r>
    <s v="5930.1"/>
    <x v="2"/>
    <x v="8"/>
    <x v="3"/>
    <s v="20A"/>
    <s v="160"/>
    <s v="Dolichospermum circinale"/>
    <b v="1"/>
    <n v="10"/>
    <n v="34.3333333333333"/>
    <m/>
    <n v="323.58451388888898"/>
    <n v="0.18626818957499999"/>
    <n v="323.58451388888898"/>
    <n v="0.18626818957499999"/>
    <m/>
  </r>
  <r>
    <s v="5930.2"/>
    <x v="2"/>
    <x v="8"/>
    <x v="3"/>
    <s v="20A"/>
    <s v="160"/>
    <s v="Microcystis wesenbergii"/>
    <b v="1"/>
    <n v="10"/>
    <n v="54.7"/>
    <n v="21"/>
    <n v="7045.66009027778"/>
    <n v="1.3410004849825701"/>
    <n v="7045.66009027778"/>
    <n v="1.3410004849825701"/>
    <s v="Microcystis spp._x000a_"/>
  </r>
  <r>
    <s v="5930.3"/>
    <x v="2"/>
    <x v="8"/>
    <x v="3"/>
    <s v="20A"/>
    <s v="160"/>
    <s v="Dolichospermum sp"/>
    <b v="1"/>
    <n v="10"/>
    <n v="5"/>
    <m/>
    <n v="15.707986111111101"/>
    <n v="2.9845173611111101E-3"/>
    <n v="15.707986111111101"/>
    <n v="2.9845173611111101E-3"/>
    <m/>
  </r>
  <r>
    <s v="5930.4"/>
    <x v="2"/>
    <x v="8"/>
    <x v="3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5931.1"/>
    <x v="2"/>
    <x v="9"/>
    <x v="3"/>
    <s v="20A"/>
    <s v="160"/>
    <s v="Microcystis wesenbergii"/>
    <b v="1"/>
    <n v="10"/>
    <n v="41.7"/>
    <n v="22"/>
    <n v="5502.1933749999998"/>
    <n v="1.0472324650637499"/>
    <n v="5502.1933749999998"/>
    <n v="1.0472324650637499"/>
    <s v="Microcystis spp._x000a_"/>
  </r>
  <r>
    <s v="5931.2"/>
    <x v="2"/>
    <x v="9"/>
    <x v="3"/>
    <s v="20A"/>
    <s v="160"/>
    <s v="Microcystis sp"/>
    <b v="1"/>
    <n v="10"/>
    <n v="14"/>
    <m/>
    <n v="131.94708333333301"/>
    <n v="9.4736120863689998E-3"/>
    <n v="131.94708333333301"/>
    <n v="9.4736120863689998E-3"/>
    <s v="Microcystis spp._x000a_"/>
  </r>
  <r>
    <s v="5931.3"/>
    <x v="2"/>
    <x v="9"/>
    <x v="3"/>
    <s v="20A"/>
    <s v="160"/>
    <s v="Dolichospermum circinale"/>
    <b v="1"/>
    <n v="10"/>
    <n v="40"/>
    <m/>
    <n v="251.32777777777801"/>
    <n v="0.14467432199999999"/>
    <n v="251.32777777777801"/>
    <n v="0.14467432199999999"/>
    <m/>
  </r>
  <r>
    <s v="5931.4"/>
    <x v="2"/>
    <x v="9"/>
    <x v="3"/>
    <s v="20A"/>
    <s v="160"/>
    <s v="Dolichospermum planctonicum "/>
    <b v="1"/>
    <n v="10"/>
    <n v="26"/>
    <m/>
    <n v="81.681527777777802"/>
    <n v="3.02221652777778E-2"/>
    <n v="81.681527777777802"/>
    <n v="3.02221652777778E-2"/>
    <m/>
  </r>
  <r>
    <s v="5931.5"/>
    <x v="2"/>
    <x v="9"/>
    <x v="3"/>
    <s v="20A"/>
    <s v="160"/>
    <s v="Pseudanabaena sp."/>
    <b v="1"/>
    <n v="10"/>
    <n v="11"/>
    <m/>
    <n v="241.90298611111101"/>
    <n v="9.4342164583333301E-3"/>
    <n v="241.90298611111101"/>
    <n v="9.4342164583333301E-3"/>
    <m/>
  </r>
  <r>
    <s v="5929.1"/>
    <x v="2"/>
    <x v="10"/>
    <x v="3"/>
    <s v="20A"/>
    <s v="160"/>
    <s v="Microcystis wesenbergii"/>
    <b v="1"/>
    <n v="10"/>
    <n v="56.2"/>
    <n v="19"/>
    <n v="6885.7527916666704"/>
    <n v="1.31056532883792"/>
    <n v="6885.7527916666704"/>
    <n v="1.31056532883792"/>
    <s v="Microcystis spp._x000a_"/>
  </r>
  <r>
    <s v="5929.2"/>
    <x v="2"/>
    <x v="10"/>
    <x v="3"/>
    <s v="20A"/>
    <s v="160"/>
    <s v="Merismopedia sp"/>
    <b v="0"/>
    <n v="10"/>
    <n v="16"/>
    <m/>
    <n v="50.265555555555601"/>
    <n v="1.1058422222222199E-3"/>
    <n v="0"/>
    <n v="0"/>
    <m/>
  </r>
  <r>
    <s v="5929.3"/>
    <x v="2"/>
    <x v="10"/>
    <x v="3"/>
    <s v="20A"/>
    <s v="160"/>
    <s v="Microcystis sp"/>
    <b v="1"/>
    <n v="10"/>
    <n v="38.25"/>
    <m/>
    <n v="480.66437500000001"/>
    <n v="3.45110154574872E-2"/>
    <n v="480.66437500000001"/>
    <n v="3.45110154574872E-2"/>
    <s v="Microcystis spp._x000a_"/>
  </r>
  <r>
    <s v="5929.4"/>
    <x v="2"/>
    <x v="10"/>
    <x v="3"/>
    <s v="20A"/>
    <s v="160"/>
    <s v="Dolichospermum sp"/>
    <b v="1"/>
    <n v="10"/>
    <n v="17.399999999999999"/>
    <m/>
    <n v="273.318958333333"/>
    <n v="5.1930602083333298E-2"/>
    <n v="273.318958333333"/>
    <n v="5.1930602083333298E-2"/>
    <m/>
  </r>
  <r>
    <s v="5929.5"/>
    <x v="2"/>
    <x v="10"/>
    <x v="3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941.1"/>
    <x v="3"/>
    <x v="11"/>
    <x v="3"/>
    <s v="20A"/>
    <s v="Whole Plate"/>
    <s v="Dolichospermum circinale"/>
    <b v="1"/>
    <n v="10"/>
    <n v="28.571428571428601"/>
    <m/>
    <n v="20"/>
    <n v="1.15128E-2"/>
    <n v="20"/>
    <n v="1.15128E-2"/>
    <m/>
  </r>
  <r>
    <s v="5941.2"/>
    <x v="3"/>
    <x v="11"/>
    <x v="3"/>
    <s v="20A"/>
    <s v="Whole Plate"/>
    <s v="Pseudanabaena sp."/>
    <b v="1"/>
    <n v="10"/>
    <n v="11.5"/>
    <m/>
    <n v="2.2999999999999998"/>
    <n v="8.9699999999999998E-5"/>
    <n v="2.2999999999999998"/>
    <n v="8.9699999999999998E-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984.1"/>
    <x v="0"/>
    <x v="0"/>
    <x v="0"/>
    <s v="20A"/>
    <s v="Whole Plate"/>
    <s v="Microcystis sp"/>
    <b v="1"/>
    <n v="10"/>
    <n v="17.5"/>
    <n v="16"/>
    <n v="63"/>
    <n v="4.5233099994599997E-3"/>
    <n v="63"/>
    <n v="4.5233099994599997E-3"/>
    <x v="0"/>
  </r>
  <r>
    <s v="5984.6"/>
    <x v="0"/>
    <x v="0"/>
    <x v="0"/>
    <s v="20A"/>
    <s v="Whole Plate"/>
    <s v="Microcystis wesenbergii"/>
    <b v="1"/>
    <n v="10"/>
    <n v="87.3333333333333"/>
    <m/>
    <n v="26.2"/>
    <n v="4.986646E-3"/>
    <n v="26.2"/>
    <n v="4.986646E-3"/>
    <x v="0"/>
  </r>
  <r>
    <s v="5985.1"/>
    <x v="0"/>
    <x v="1"/>
    <x v="0"/>
    <s v="20A"/>
    <s v="Whole Plate"/>
    <s v="Microcystis sp"/>
    <b v="1"/>
    <n v="10"/>
    <n v="122.6"/>
    <m/>
    <n v="183.9"/>
    <n v="1.3203757284138E-2"/>
    <n v="183.9"/>
    <n v="1.3203757284138E-2"/>
    <x v="0"/>
  </r>
  <r>
    <s v="5985.4"/>
    <x v="0"/>
    <x v="1"/>
    <x v="0"/>
    <s v="20A"/>
    <s v="Whole Plate"/>
    <s v="Microcystis wesenbergii"/>
    <b v="1"/>
    <n v="10"/>
    <n v="37"/>
    <m/>
    <n v="14.8"/>
    <n v="2.816884E-3"/>
    <n v="14.8"/>
    <n v="2.816884E-3"/>
    <x v="0"/>
  </r>
  <r>
    <s v="5989.1"/>
    <x v="1"/>
    <x v="2"/>
    <x v="0"/>
    <s v="20A"/>
    <s v="Whole Plate"/>
    <s v="Microcystis wesenbergii"/>
    <b v="1"/>
    <n v="10"/>
    <n v="35.875"/>
    <m/>
    <n v="57.4"/>
    <n v="1.0924942E-2"/>
    <n v="57.4"/>
    <n v="1.0924942E-2"/>
    <x v="0"/>
  </r>
  <r>
    <s v="5982.1"/>
    <x v="1"/>
    <x v="3"/>
    <x v="0"/>
    <s v="20A"/>
    <s v="Whole Plate"/>
    <s v="Microcystis wesenbergii"/>
    <b v="1"/>
    <n v="10"/>
    <n v="46.909090909090899"/>
    <m/>
    <n v="51.6"/>
    <n v="9.8210280000000007E-3"/>
    <n v="51.6"/>
    <n v="9.8210280000000007E-3"/>
    <x v="0"/>
  </r>
  <r>
    <s v="5980.1"/>
    <x v="1"/>
    <x v="4"/>
    <x v="0"/>
    <s v="20A"/>
    <s v="Whole Plate"/>
    <s v="Microcystis sp"/>
    <b v="1"/>
    <n v="10"/>
    <n v="26.5"/>
    <m/>
    <n v="21.2"/>
    <n v="1.522129714104E-3"/>
    <n v="21.2"/>
    <n v="1.522129714104E-3"/>
    <x v="0"/>
  </r>
  <r>
    <s v="5980.2"/>
    <x v="1"/>
    <x v="4"/>
    <x v="0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x v="0"/>
  </r>
  <r>
    <s v="5987.1"/>
    <x v="1"/>
    <x v="5"/>
    <x v="0"/>
    <s v="20A"/>
    <s v="Whole Plate"/>
    <s v="Microcystis sp"/>
    <b v="1"/>
    <n v="10"/>
    <n v="37.200000000000003"/>
    <m/>
    <n v="18.600000000000001"/>
    <n v="1.335453428412E-3"/>
    <n v="18.600000000000001"/>
    <n v="1.335453428412E-3"/>
    <x v="0"/>
  </r>
  <r>
    <s v="5987.2"/>
    <x v="1"/>
    <x v="5"/>
    <x v="0"/>
    <s v="20A"/>
    <s v="Whole Plate"/>
    <s v="Microcystis wesenbergii"/>
    <b v="1"/>
    <n v="10"/>
    <n v="44.9444444444444"/>
    <m/>
    <n v="80.900000000000006"/>
    <n v="1.5397697E-2"/>
    <n v="80.900000000000006"/>
    <n v="1.5397697E-2"/>
    <x v="0"/>
  </r>
  <r>
    <s v="5986.1"/>
    <x v="1"/>
    <x v="6"/>
    <x v="0"/>
    <s v="20A"/>
    <s v="Whole Plate"/>
    <s v="Microcystis wesenbergii"/>
    <b v="1"/>
    <n v="10"/>
    <n v="46.15"/>
    <n v="58"/>
    <n v="359.97"/>
    <n v="6.8513090099999993E-2"/>
    <n v="359.97"/>
    <n v="6.8513090099999993E-2"/>
    <x v="0"/>
  </r>
  <r>
    <s v="5986.3"/>
    <x v="1"/>
    <x v="6"/>
    <x v="0"/>
    <s v="20A"/>
    <s v="Whole Plate"/>
    <s v="Microcystis sp"/>
    <b v="1"/>
    <n v="10"/>
    <n v="29.8571428571429"/>
    <m/>
    <n v="20.9"/>
    <n v="1.5005901426780001E-3"/>
    <n v="20.9"/>
    <n v="1.5005901426780001E-3"/>
    <x v="0"/>
  </r>
  <r>
    <s v="5988.1"/>
    <x v="2"/>
    <x v="7"/>
    <x v="0"/>
    <s v="20A"/>
    <s v="Whole Plate"/>
    <s v="Microcystis wesenbergii"/>
    <b v="1"/>
    <n v="10"/>
    <n v="69.099999999999994"/>
    <n v="37"/>
    <n v="393.87"/>
    <n v="7.4965277100000005E-2"/>
    <n v="393.87"/>
    <n v="7.4965277100000005E-2"/>
    <x v="0"/>
  </r>
  <r>
    <s v="5988.2"/>
    <x v="2"/>
    <x v="7"/>
    <x v="0"/>
    <s v="20A"/>
    <s v="Whole Plate"/>
    <s v="Microcystis sp"/>
    <b v="1"/>
    <n v="10"/>
    <n v="18.8333333333333"/>
    <m/>
    <n v="11.3"/>
    <n v="8.11323857046E-4"/>
    <n v="11.3"/>
    <n v="8.11323857046E-4"/>
    <x v="0"/>
  </r>
  <r>
    <s v="5979.1"/>
    <x v="2"/>
    <x v="8"/>
    <x v="0"/>
    <s v="20A"/>
    <s v="160"/>
    <s v="Microcystis wesenbergii"/>
    <b v="1"/>
    <n v="10"/>
    <n v="54.3"/>
    <n v="27"/>
    <n v="8017.6702708333296"/>
    <n v="1.5260031826477101"/>
    <n v="8017.6702708333296"/>
    <n v="1.5260031826477101"/>
    <x v="0"/>
  </r>
  <r>
    <s v="5981.1"/>
    <x v="2"/>
    <x v="9"/>
    <x v="0"/>
    <s v="20A"/>
    <s v="160"/>
    <s v="Microcystis wesenbergii"/>
    <b v="1"/>
    <n v="10"/>
    <n v="45.25"/>
    <n v="48"/>
    <n v="9666.69465277778"/>
    <n v="1.8398619932631901"/>
    <n v="9666.69465277778"/>
    <n v="1.8398619932631901"/>
    <x v="0"/>
  </r>
  <r>
    <s v="5981.2"/>
    <x v="2"/>
    <x v="9"/>
    <x v="0"/>
    <s v="20A"/>
    <s v="160"/>
    <s v="Microcystis sp"/>
    <b v="1"/>
    <n v="10"/>
    <n v="15"/>
    <m/>
    <n v="94.247916666666697"/>
    <n v="6.76686577597787E-3"/>
    <n v="94.247916666666598"/>
    <n v="6.76686577597787E-3"/>
    <x v="0"/>
  </r>
  <r>
    <s v="5983.1"/>
    <x v="2"/>
    <x v="10"/>
    <x v="0"/>
    <s v="20A"/>
    <s v="Whole Plate"/>
    <s v="Microcystis wesenbergii"/>
    <b v="1"/>
    <n v="10"/>
    <n v="50.8"/>
    <n v="110"/>
    <n v="660.4"/>
    <n v="0.12569393200000001"/>
    <n v="660.4"/>
    <n v="0.12569393200000001"/>
    <x v="0"/>
  </r>
  <r>
    <s v="5983.3"/>
    <x v="2"/>
    <x v="10"/>
    <x v="0"/>
    <s v="20A"/>
    <s v="Whole Plate"/>
    <s v="Microcystis sp"/>
    <b v="1"/>
    <n v="10"/>
    <n v="29.5"/>
    <m/>
    <n v="11.8"/>
    <n v="8.4722314275599998E-4"/>
    <n v="11.8"/>
    <n v="8.4722314275599998E-4"/>
    <x v="0"/>
  </r>
  <r>
    <s v="5973.3"/>
    <x v="0"/>
    <x v="0"/>
    <x v="1"/>
    <s v="20A"/>
    <s v="Whole Plate"/>
    <s v="Microcystis sp"/>
    <b v="1"/>
    <n v="10"/>
    <n v="36"/>
    <m/>
    <n v="39.6"/>
    <n v="2.843223428232E-3"/>
    <n v="39.6"/>
    <n v="2.843223428232E-3"/>
    <x v="0"/>
  </r>
  <r>
    <s v="5973.5"/>
    <x v="0"/>
    <x v="0"/>
    <x v="1"/>
    <s v="20A"/>
    <s v="Whole Plate"/>
    <s v="Microcystis wesenbergii"/>
    <b v="1"/>
    <n v="10"/>
    <n v="58.3333333333333"/>
    <m/>
    <n v="17.5"/>
    <n v="3.3307749999999998E-3"/>
    <n v="17.5"/>
    <n v="3.3307749999999998E-3"/>
    <x v="0"/>
  </r>
  <r>
    <s v="5975.1"/>
    <x v="0"/>
    <x v="1"/>
    <x v="1"/>
    <s v="20A"/>
    <s v="Whole Plate"/>
    <s v="Microcystis sp"/>
    <b v="1"/>
    <n v="10"/>
    <n v="69.95"/>
    <n v="80"/>
    <n v="699.5"/>
    <n v="5.0223100708290003E-2"/>
    <n v="699.5"/>
    <n v="5.0223100708290003E-2"/>
    <x v="0"/>
  </r>
  <r>
    <s v="5975.5"/>
    <x v="0"/>
    <x v="1"/>
    <x v="1"/>
    <s v="20A"/>
    <s v="Whole Plate"/>
    <s v="Microcystis wesenbergii"/>
    <b v="1"/>
    <n v="10"/>
    <n v="38.25"/>
    <m/>
    <n v="30.6"/>
    <n v="5.8240979999999998E-3"/>
    <n v="30.6"/>
    <n v="5.8240979999999998E-3"/>
    <x v="0"/>
  </r>
  <r>
    <s v="5974.1"/>
    <x v="1"/>
    <x v="2"/>
    <x v="1"/>
    <s v="20A"/>
    <s v="Whole Plate"/>
    <s v="Microcystis wesenbergii"/>
    <b v="1"/>
    <n v="10"/>
    <n v="43.153846153846203"/>
    <m/>
    <n v="56.1"/>
    <n v="1.0677513E-2"/>
    <n v="56.1"/>
    <n v="1.0677513E-2"/>
    <x v="0"/>
  </r>
  <r>
    <s v="5972.2"/>
    <x v="1"/>
    <x v="3"/>
    <x v="1"/>
    <s v="20A"/>
    <s v="Whole Plate"/>
    <s v="Microcystis wesenbergii"/>
    <b v="1"/>
    <n v="10"/>
    <n v="26.5"/>
    <m/>
    <n v="10.6"/>
    <n v="2.0174979999999999E-3"/>
    <n v="10.6"/>
    <n v="2.0174979999999999E-3"/>
    <x v="0"/>
  </r>
  <r>
    <s v="5972.7"/>
    <x v="1"/>
    <x v="3"/>
    <x v="1"/>
    <s v="20A"/>
    <s v="Whole Plate"/>
    <s v="Microcystis sp"/>
    <b v="1"/>
    <n v="10"/>
    <n v="15.5"/>
    <m/>
    <n v="3.1"/>
    <n v="2.2257557140199999E-4"/>
    <n v="3.1"/>
    <n v="2.2257557140199999E-4"/>
    <x v="0"/>
  </r>
  <r>
    <s v="5968.1"/>
    <x v="1"/>
    <x v="4"/>
    <x v="1"/>
    <s v="20A"/>
    <s v="160"/>
    <s v="Microcystis wesenbergii"/>
    <b v="1"/>
    <n v="10"/>
    <n v="40.5555555555556"/>
    <m/>
    <n v="1146.68298611111"/>
    <n v="0.218248172746528"/>
    <n v="1146.68298611111"/>
    <n v="0.218248172746528"/>
    <x v="0"/>
  </r>
  <r>
    <s v="5968.3"/>
    <x v="1"/>
    <x v="4"/>
    <x v="1"/>
    <s v="20A"/>
    <s v="160"/>
    <s v="Microcystis sp"/>
    <b v="1"/>
    <n v="10"/>
    <n v="27"/>
    <m/>
    <n v="169.64625000000001"/>
    <n v="1.21803583967602E-2"/>
    <n v="169.64625000000001"/>
    <n v="1.21803583967602E-2"/>
    <x v="0"/>
  </r>
  <r>
    <s v="5978.1"/>
    <x v="1"/>
    <x v="5"/>
    <x v="1"/>
    <s v="20A"/>
    <s v="Whole Plate"/>
    <s v="Microcystis wesenbergii"/>
    <b v="1"/>
    <n v="10"/>
    <n v="33.700000000000003"/>
    <n v="17"/>
    <n v="124.69"/>
    <n v="2.37322477E-2"/>
    <n v="124.69"/>
    <n v="2.37322477E-2"/>
    <x v="0"/>
  </r>
  <r>
    <s v="5976.1"/>
    <x v="1"/>
    <x v="6"/>
    <x v="1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x v="0"/>
  </r>
  <r>
    <s v="5971.1"/>
    <x v="2"/>
    <x v="7"/>
    <x v="1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x v="0"/>
  </r>
  <r>
    <s v="5971.2"/>
    <x v="2"/>
    <x v="7"/>
    <x v="1"/>
    <s v="20A"/>
    <s v="160"/>
    <s v="Microcystis sp"/>
    <b v="1"/>
    <n v="10"/>
    <n v="700"/>
    <m/>
    <n v="2199.1180555555602"/>
    <n v="0.15789353477281701"/>
    <n v="2199.1180555555602"/>
    <n v="0.15789353477281701"/>
    <x v="0"/>
  </r>
  <r>
    <s v="5969.1"/>
    <x v="2"/>
    <x v="8"/>
    <x v="1"/>
    <s v="20A"/>
    <s v="160"/>
    <s v="Microcystis wesenbergii"/>
    <b v="1"/>
    <n v="10"/>
    <n v="38.8125"/>
    <m/>
    <n v="1950.931875"/>
    <n v="0.37132086376875001"/>
    <n v="1950.931875"/>
    <n v="0.37132086376875001"/>
    <x v="0"/>
  </r>
  <r>
    <s v="5970.1"/>
    <x v="2"/>
    <x v="9"/>
    <x v="1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x v="0"/>
  </r>
  <r>
    <s v="5970.2"/>
    <x v="2"/>
    <x v="9"/>
    <x v="1"/>
    <s v="20A"/>
    <s v="160"/>
    <s v="Microcystis sp"/>
    <b v="1"/>
    <n v="10"/>
    <n v="78"/>
    <m/>
    <n v="245.04458333333301"/>
    <n v="1.7593851017542499E-2"/>
    <n v="245.04458333333301"/>
    <n v="1.7593851017542499E-2"/>
    <x v="0"/>
  </r>
  <r>
    <s v="5967.1"/>
    <x v="2"/>
    <x v="10"/>
    <x v="1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x v="0"/>
  </r>
  <r>
    <s v="5967.2"/>
    <x v="2"/>
    <x v="10"/>
    <x v="1"/>
    <s v="20A"/>
    <s v="160"/>
    <s v="Microcystis sp"/>
    <b v="1"/>
    <n v="10"/>
    <n v="26.5"/>
    <m/>
    <n v="333.00930555555499"/>
    <n v="2.3909592408455201E-2"/>
    <n v="333.00930555555601"/>
    <n v="2.3909592408455201E-2"/>
    <x v="0"/>
  </r>
  <r>
    <s v="5946.1"/>
    <x v="0"/>
    <x v="0"/>
    <x v="2"/>
    <s v="20A"/>
    <s v="Whole Plate"/>
    <s v="Microcystis wesenbergii"/>
    <b v="1"/>
    <n v="10"/>
    <n v="69"/>
    <m/>
    <n v="41.4"/>
    <n v="7.8796620000000008E-3"/>
    <n v="41.4"/>
    <n v="7.8796620000000008E-3"/>
    <x v="0"/>
  </r>
  <r>
    <s v="5946.2"/>
    <x v="0"/>
    <x v="0"/>
    <x v="2"/>
    <s v="20A"/>
    <s v="Whole Plate"/>
    <s v="Microcystis sp"/>
    <b v="1"/>
    <n v="10"/>
    <n v="28.15"/>
    <n v="17"/>
    <n v="104.155"/>
    <n v="7.4781802062501004E-3"/>
    <n v="104.155"/>
    <n v="7.4781802062501004E-3"/>
    <x v="0"/>
  </r>
  <r>
    <s v="5965.5"/>
    <x v="0"/>
    <x v="1"/>
    <x v="2"/>
    <m/>
    <m/>
    <s v="Microcystis sp. (small)"/>
    <b v="1"/>
    <m/>
    <n v="0"/>
    <m/>
    <n v="1700"/>
    <n v="3.0939999999999999E-2"/>
    <n v="1700"/>
    <n v="3.0939999999999999E-2"/>
    <x v="0"/>
  </r>
  <r>
    <s v="5965.6"/>
    <x v="0"/>
    <x v="1"/>
    <x v="2"/>
    <m/>
    <m/>
    <s v="Microcystis sp"/>
    <b v="1"/>
    <m/>
    <n v="0"/>
    <m/>
    <n v="95"/>
    <n v="6.8208642848999997E-3"/>
    <n v="95"/>
    <n v="6.8208642848999997E-3"/>
    <x v="0"/>
  </r>
  <r>
    <s v="5947.1"/>
    <x v="1"/>
    <x v="2"/>
    <x v="2"/>
    <s v="20A"/>
    <s v="Whole Plate"/>
    <s v="Microcystis wesenbergii"/>
    <b v="1"/>
    <n v="10"/>
    <n v="47.5"/>
    <m/>
    <n v="19"/>
    <n v="3.61627E-3"/>
    <n v="19"/>
    <n v="3.61627E-3"/>
    <x v="0"/>
  </r>
  <r>
    <s v="5964.6"/>
    <x v="1"/>
    <x v="3"/>
    <x v="2"/>
    <m/>
    <m/>
    <s v="Microcystis sp"/>
    <b v="1"/>
    <m/>
    <n v="0"/>
    <m/>
    <n v="16"/>
    <n v="1.14877714272E-3"/>
    <n v="16"/>
    <n v="1.14877714272E-3"/>
    <x v="0"/>
  </r>
  <r>
    <s v="5964.7"/>
    <x v="1"/>
    <x v="3"/>
    <x v="2"/>
    <m/>
    <m/>
    <s v="Microcystis wesenbergii"/>
    <b v="1"/>
    <m/>
    <n v="0"/>
    <m/>
    <n v="500"/>
    <n v="9.5165E-2"/>
    <n v="500"/>
    <n v="9.5165E-2"/>
    <x v="0"/>
  </r>
  <r>
    <s v="5942.1"/>
    <x v="1"/>
    <x v="4"/>
    <x v="2"/>
    <s v="20A"/>
    <s v="160"/>
    <s v="Microcystis wesenbergii"/>
    <b v="1"/>
    <n v="10"/>
    <n v="37.15"/>
    <n v="15"/>
    <n v="4084.8617881944401"/>
    <n v="0.77747174414704801"/>
    <n v="4084.8617881944401"/>
    <n v="0.77747174414704801"/>
    <x v="0"/>
  </r>
  <r>
    <s v="5942.5"/>
    <x v="1"/>
    <x v="4"/>
    <x v="2"/>
    <s v="20A"/>
    <s v="160"/>
    <s v="Microcystis sp"/>
    <b v="1"/>
    <n v="10"/>
    <n v="33"/>
    <m/>
    <n v="207.34541666666701"/>
    <n v="1.4887104707151299E-2"/>
    <n v="207.34541666666701"/>
    <n v="1.4887104707151299E-2"/>
    <x v="0"/>
  </r>
  <r>
    <s v="5962.6"/>
    <x v="1"/>
    <x v="5"/>
    <x v="2"/>
    <m/>
    <m/>
    <s v="Microcystis wesenbergii"/>
    <b v="1"/>
    <m/>
    <n v="0"/>
    <m/>
    <n v="190"/>
    <n v="3.6162699999999999E-2"/>
    <n v="190"/>
    <n v="3.6162699999999999E-2"/>
    <x v="0"/>
  </r>
  <r>
    <s v="5963.6"/>
    <x v="1"/>
    <x v="6"/>
    <x v="2"/>
    <m/>
    <m/>
    <s v="Microcystis wesenbergii"/>
    <b v="1"/>
    <m/>
    <n v="0"/>
    <m/>
    <n v="2000"/>
    <n v="0.38066"/>
    <n v="2000"/>
    <n v="0.38066"/>
    <x v="0"/>
  </r>
  <r>
    <s v="5948.1"/>
    <x v="2"/>
    <x v="7"/>
    <x v="2"/>
    <s v="20A"/>
    <s v="Whole Plate"/>
    <s v="Microcystis wesenbergii"/>
    <b v="1"/>
    <n v="10"/>
    <n v="38.25"/>
    <n v="9"/>
    <n v="110.925"/>
    <n v="2.1112355249999999E-2"/>
    <n v="110.925"/>
    <n v="2.1112355249999999E-2"/>
    <x v="0"/>
  </r>
  <r>
    <s v="5948.2"/>
    <x v="2"/>
    <x v="7"/>
    <x v="2"/>
    <s v="20A"/>
    <s v="Whole Plate"/>
    <s v="Microcystis sp"/>
    <b v="1"/>
    <n v="10"/>
    <n v="9.3333333333333304"/>
    <m/>
    <n v="2.8"/>
    <n v="2.01035999976E-4"/>
    <n v="2.8"/>
    <n v="2.01035999976E-4"/>
    <x v="0"/>
  </r>
  <r>
    <s v="5944.1"/>
    <x v="2"/>
    <x v="8"/>
    <x v="2"/>
    <s v="20A"/>
    <s v="160"/>
    <s v="Microcystis wesenbergii"/>
    <b v="1"/>
    <n v="10"/>
    <n v="36.375"/>
    <m/>
    <n v="914.20479166666701"/>
    <n v="0.17400059799791701"/>
    <n v="914.20479166666598"/>
    <n v="0.17400059799791701"/>
    <x v="0"/>
  </r>
  <r>
    <s v="5943.1"/>
    <x v="2"/>
    <x v="9"/>
    <x v="2"/>
    <s v="20A"/>
    <s v="160"/>
    <s v="Microcystis wesenbergii"/>
    <b v="1"/>
    <n v="10"/>
    <n v="40.5"/>
    <n v="10"/>
    <n v="3817.0406250000001"/>
    <n v="0.72649734215624995"/>
    <n v="3817.0406250000001"/>
    <n v="0.72649734215624995"/>
    <x v="0"/>
  </r>
  <r>
    <s v="5945.1"/>
    <x v="2"/>
    <x v="10"/>
    <x v="2"/>
    <s v="20A"/>
    <s v="Whole Plate"/>
    <s v="Microcystis wesenbergii"/>
    <b v="1"/>
    <n v="10"/>
    <n v="40.700000000000003"/>
    <n v="130"/>
    <n v="610.5"/>
    <n v="0.116196465"/>
    <n v="610.5"/>
    <n v="0.116196465"/>
    <x v="0"/>
  </r>
  <r>
    <s v="5945.2"/>
    <x v="2"/>
    <x v="10"/>
    <x v="2"/>
    <s v="20A"/>
    <s v="Whole Plate"/>
    <s v="Microcystis sp"/>
    <b v="1"/>
    <n v="10"/>
    <n v="18.571428571428601"/>
    <m/>
    <n v="13"/>
    <n v="9.3338142845999996E-4"/>
    <n v="13"/>
    <n v="9.3338142845999996E-4"/>
    <x v="0"/>
  </r>
  <r>
    <s v="5966.4"/>
    <x v="3"/>
    <x v="11"/>
    <x v="2"/>
    <m/>
    <m/>
    <s v="Microcystis sp"/>
    <b v="1"/>
    <m/>
    <n v="0"/>
    <m/>
    <n v="54"/>
    <n v="3.8771228566800001E-3"/>
    <n v="54"/>
    <n v="3.8771228566800001E-3"/>
    <x v="0"/>
  </r>
  <r>
    <s v="5932.1"/>
    <x v="4"/>
    <x v="12"/>
    <x v="3"/>
    <s v="20A"/>
    <s v="Whole Plate"/>
    <s v="Microcystis wesenbergii"/>
    <b v="1"/>
    <n v="10"/>
    <n v="58.4"/>
    <n v="69"/>
    <n v="519.76"/>
    <n v="9.8925920799999997E-2"/>
    <n v="519.76"/>
    <n v="9.8925920799999997E-2"/>
    <x v="0"/>
  </r>
  <r>
    <s v="5932.5"/>
    <x v="4"/>
    <x v="12"/>
    <x v="3"/>
    <s v="20A"/>
    <s v="Whole Plate"/>
    <s v="Microcystis sp"/>
    <b v="1"/>
    <n v="10"/>
    <n v="18"/>
    <m/>
    <n v="1.8"/>
    <n v="1.29237428556E-4"/>
    <n v="1.8"/>
    <n v="1.29237428556E-4"/>
    <x v="0"/>
  </r>
  <r>
    <s v="5936.1"/>
    <x v="0"/>
    <x v="0"/>
    <x v="3"/>
    <s v="20A"/>
    <s v="Whole Plate"/>
    <s v="Microcystis sp"/>
    <b v="1"/>
    <n v="10"/>
    <n v="41.6"/>
    <n v="15"/>
    <n v="145.6"/>
    <n v="1.0453871998752E-2"/>
    <n v="145.6"/>
    <n v="1.0453871998752E-2"/>
    <x v="0"/>
  </r>
  <r>
    <s v="5936.2"/>
    <x v="0"/>
    <x v="0"/>
    <x v="3"/>
    <s v="20A"/>
    <s v="Whole Plate"/>
    <s v="Microcystis wesenbergii"/>
    <b v="1"/>
    <n v="10"/>
    <n v="45.894736842105303"/>
    <m/>
    <n v="87.2"/>
    <n v="1.6596776000000001E-2"/>
    <n v="87.2"/>
    <n v="1.6596776000000001E-2"/>
    <x v="0"/>
  </r>
  <r>
    <s v="5939.1"/>
    <x v="0"/>
    <x v="1"/>
    <x v="3"/>
    <s v="20A"/>
    <s v="Whole Plate"/>
    <s v="Microcystis sp"/>
    <b v="1"/>
    <n v="10"/>
    <n v="48"/>
    <m/>
    <n v="24"/>
    <n v="1.72316571408E-3"/>
    <n v="24"/>
    <n v="1.72316571408E-3"/>
    <x v="0"/>
  </r>
  <r>
    <s v="5939.3"/>
    <x v="0"/>
    <x v="1"/>
    <x v="3"/>
    <s v="20A"/>
    <s v="Whole Plate"/>
    <s v="Microcystis wesenbergii"/>
    <b v="1"/>
    <n v="10"/>
    <n v="152.6"/>
    <m/>
    <n v="76.3"/>
    <n v="1.4522179E-2"/>
    <n v="76.3"/>
    <n v="1.4522179E-2"/>
    <x v="0"/>
  </r>
  <r>
    <s v="5940.1"/>
    <x v="1"/>
    <x v="2"/>
    <x v="3"/>
    <s v="20A"/>
    <s v="Whole Plate"/>
    <s v="Microcystis wesenbergii"/>
    <b v="1"/>
    <n v="10"/>
    <n v="34.25"/>
    <m/>
    <n v="27.4"/>
    <n v="5.2150419999999996E-3"/>
    <n v="27.4"/>
    <n v="5.2150419999999996E-3"/>
    <x v="0"/>
  </r>
  <r>
    <s v="5935.4"/>
    <x v="1"/>
    <x v="3"/>
    <x v="3"/>
    <s v="20A"/>
    <s v="Whole Plate"/>
    <s v="Microcystis wesenbergii"/>
    <b v="1"/>
    <n v="10"/>
    <n v="33.428571428571402"/>
    <m/>
    <n v="23.4"/>
    <n v="4.4537220000000002E-3"/>
    <n v="23.4"/>
    <n v="4.4537220000000002E-3"/>
    <x v="0"/>
  </r>
  <r>
    <s v="5933.1"/>
    <x v="1"/>
    <x v="4"/>
    <x v="3"/>
    <s v="20A"/>
    <s v="Whole Plate"/>
    <s v="Microcystis wesenbergii"/>
    <b v="1"/>
    <n v="10"/>
    <n v="46.65"/>
    <n v="113"/>
    <n v="620.44500000000005"/>
    <n v="0.11808929685"/>
    <n v="620.44500000000005"/>
    <n v="0.11808929685"/>
    <x v="0"/>
  </r>
  <r>
    <s v="5933.4"/>
    <x v="1"/>
    <x v="4"/>
    <x v="3"/>
    <s v="20A"/>
    <s v="Whole Plate"/>
    <s v="Microcystis sp"/>
    <b v="1"/>
    <n v="10"/>
    <n v="42"/>
    <m/>
    <n v="4.2"/>
    <n v="3.0155399996399998E-4"/>
    <n v="4.2"/>
    <n v="3.0155399996399998E-4"/>
    <x v="0"/>
  </r>
  <r>
    <s v="5937.2"/>
    <x v="1"/>
    <x v="5"/>
    <x v="3"/>
    <s v="20A"/>
    <s v="Whole Plate"/>
    <s v="Microcystis wesenbergii"/>
    <b v="1"/>
    <n v="10"/>
    <n v="51.8"/>
    <m/>
    <n v="25.9"/>
    <n v="4.9295470000000003E-3"/>
    <n v="25.9"/>
    <n v="4.9295470000000003E-3"/>
    <x v="0"/>
  </r>
  <r>
    <s v="5938.1"/>
    <x v="1"/>
    <x v="6"/>
    <x v="3"/>
    <s v="20A"/>
    <s v="Whole Plate"/>
    <s v="Microcystis wesenbergii"/>
    <b v="1"/>
    <n v="10"/>
    <n v="46.25"/>
    <n v="10"/>
    <n v="138.75"/>
    <n v="2.6408287499999999E-2"/>
    <n v="138.75"/>
    <n v="2.6408287499999999E-2"/>
    <x v="0"/>
  </r>
  <r>
    <s v="5938.5"/>
    <x v="1"/>
    <x v="6"/>
    <x v="3"/>
    <s v="20A"/>
    <s v="Whole Plate"/>
    <s v="Microcystis sp"/>
    <b v="1"/>
    <n v="10"/>
    <n v="19.3333333333333"/>
    <m/>
    <n v="5.8"/>
    <n v="4.1643171423600003E-4"/>
    <n v="5.8"/>
    <n v="4.1643171423600003E-4"/>
    <x v="0"/>
  </r>
  <r>
    <s v="5934.3"/>
    <x v="2"/>
    <x v="7"/>
    <x v="3"/>
    <s v="20A"/>
    <s v="Whole Plate"/>
    <s v="Microcystis wesenbergii"/>
    <b v="1"/>
    <n v="10"/>
    <n v="49.2"/>
    <n v="14"/>
    <n v="167.28"/>
    <n v="3.18384024E-2"/>
    <n v="167.28"/>
    <n v="3.18384024E-2"/>
    <x v="0"/>
  </r>
  <r>
    <s v="5930.2"/>
    <x v="2"/>
    <x v="8"/>
    <x v="3"/>
    <s v="20A"/>
    <s v="160"/>
    <s v="Microcystis wesenbergii"/>
    <b v="1"/>
    <n v="10"/>
    <n v="54.7"/>
    <n v="21"/>
    <n v="7045.66009027778"/>
    <n v="1.3410004849825701"/>
    <n v="7045.66009027778"/>
    <n v="1.3410004849825701"/>
    <x v="0"/>
  </r>
  <r>
    <s v="5931.1"/>
    <x v="2"/>
    <x v="9"/>
    <x v="3"/>
    <s v="20A"/>
    <s v="160"/>
    <s v="Microcystis wesenbergii"/>
    <b v="1"/>
    <n v="10"/>
    <n v="41.7"/>
    <n v="22"/>
    <n v="5502.1933749999998"/>
    <n v="1.0472324650637499"/>
    <n v="5502.1933749999998"/>
    <n v="1.0472324650637499"/>
    <x v="0"/>
  </r>
  <r>
    <s v="5931.2"/>
    <x v="2"/>
    <x v="9"/>
    <x v="3"/>
    <s v="20A"/>
    <s v="160"/>
    <s v="Microcystis sp"/>
    <b v="1"/>
    <n v="10"/>
    <n v="14"/>
    <m/>
    <n v="131.94708333333301"/>
    <n v="9.4736120863689998E-3"/>
    <n v="131.94708333333301"/>
    <n v="9.4736120863689998E-3"/>
    <x v="0"/>
  </r>
  <r>
    <s v="5929.1"/>
    <x v="2"/>
    <x v="10"/>
    <x v="3"/>
    <s v="20A"/>
    <s v="160"/>
    <s v="Microcystis wesenbergii"/>
    <b v="1"/>
    <n v="10"/>
    <n v="56.2"/>
    <n v="19"/>
    <n v="6885.7527916666704"/>
    <n v="1.31056532883792"/>
    <n v="6885.7527916666704"/>
    <n v="1.31056532883792"/>
    <x v="0"/>
  </r>
  <r>
    <s v="5929.3"/>
    <x v="2"/>
    <x v="10"/>
    <x v="3"/>
    <s v="20A"/>
    <s v="160"/>
    <s v="Microcystis sp"/>
    <b v="1"/>
    <n v="10"/>
    <n v="38.25"/>
    <m/>
    <n v="480.66437500000001"/>
    <n v="3.45110154574872E-2"/>
    <n v="480.66437500000001"/>
    <n v="3.45110154574872E-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5984.1"/>
    <x v="0"/>
    <x v="0"/>
    <x v="0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0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0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0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0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0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0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0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0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0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0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0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0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0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0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0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0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0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0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0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0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0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0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0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0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0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0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0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0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0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0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0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0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0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0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0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0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0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0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0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0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0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0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0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0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0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0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0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0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0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0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0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0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0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0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0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0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0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0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0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0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0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0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0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0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1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1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1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1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1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1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1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1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1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1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1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1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1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1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1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1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1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1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1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1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1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1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1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1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1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1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1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1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1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1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1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1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1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1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1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1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1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1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1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1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1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1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1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1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1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1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1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1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1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1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1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1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1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1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1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1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1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1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1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1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1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1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1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1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1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1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1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1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1"/>
    <s v="20A"/>
    <s v="Whole Plate"/>
    <s v="Pseudanabaena sp."/>
    <b v="1"/>
    <n v="10"/>
    <n v="7"/>
    <m/>
    <n v="0.7"/>
    <n v="2.73E-5"/>
    <n v="0.7"/>
    <n v="2.73E-5"/>
    <m/>
  </r>
  <r>
    <s v="5946.1"/>
    <x v="0"/>
    <x v="0"/>
    <x v="2"/>
    <s v="20A"/>
    <s v="Whole Plate"/>
    <s v="Microcystis wesenbergii"/>
    <b v="1"/>
    <n v="10"/>
    <n v="69"/>
    <m/>
    <n v="41.4"/>
    <n v="7.8796620000000008E-3"/>
    <n v="41.4"/>
    <n v="7.8796620000000008E-3"/>
    <s v="Microcystis spp._x000a_"/>
  </r>
  <r>
    <s v="5946.2"/>
    <x v="0"/>
    <x v="0"/>
    <x v="2"/>
    <s v="20A"/>
    <s v="Whole Plate"/>
    <s v="Microcystis sp"/>
    <b v="1"/>
    <n v="10"/>
    <n v="28.15"/>
    <n v="17"/>
    <n v="104.155"/>
    <n v="7.4781802062501004E-3"/>
    <n v="104.155"/>
    <n v="7.4781802062501004E-3"/>
    <s v="Microcystis spp._x000a_"/>
  </r>
  <r>
    <s v="5946.3"/>
    <x v="0"/>
    <x v="0"/>
    <x v="2"/>
    <s v="20A"/>
    <s v="Whole Plate"/>
    <s v="Dolichospermum sp"/>
    <b v="1"/>
    <n v="10"/>
    <n v="15.5714285714286"/>
    <m/>
    <n v="21.8"/>
    <n v="4.1419999999999998E-3"/>
    <n v="21.8"/>
    <n v="4.1419999999999998E-3"/>
    <m/>
  </r>
  <r>
    <s v="5946.4"/>
    <x v="0"/>
    <x v="0"/>
    <x v="2"/>
    <s v="20A"/>
    <s v="Whole Plate"/>
    <s v="Aphanocapsa sp"/>
    <b v="0"/>
    <n v="10"/>
    <n v="83"/>
    <m/>
    <n v="33.200000000000003"/>
    <n v="7.47E-5"/>
    <n v="0"/>
    <n v="0"/>
    <m/>
  </r>
  <r>
    <s v="5946.5"/>
    <x v="0"/>
    <x v="0"/>
    <x v="2"/>
    <s v="20A"/>
    <s v="Whole Plate"/>
    <s v="Phormidium sp"/>
    <b v="1"/>
    <n v="10"/>
    <n v="144"/>
    <m/>
    <n v="14.4"/>
    <n v="1.3440959999999999E-3"/>
    <n v="14.4"/>
    <n v="1.3440959999999999E-3"/>
    <m/>
  </r>
  <r>
    <s v="5946.6"/>
    <x v="0"/>
    <x v="0"/>
    <x v="2"/>
    <s v="20A"/>
    <s v="Whole Plate"/>
    <s v="Dolichospermum spiroides"/>
    <b v="1"/>
    <n v="10"/>
    <n v="16"/>
    <m/>
    <n v="1.6"/>
    <n v="4.1599999999999997E-4"/>
    <n v="1.6"/>
    <n v="4.1599999999999997E-4"/>
    <m/>
  </r>
  <r>
    <s v="5946.7"/>
    <x v="0"/>
    <x v="0"/>
    <x v="2"/>
    <s v="20A"/>
    <s v="Whole Plate"/>
    <s v="Pseudanabaena sp."/>
    <b v="1"/>
    <n v="10"/>
    <n v="12"/>
    <m/>
    <n v="1.2"/>
    <n v="4.6799999999999999E-5"/>
    <n v="1.2"/>
    <n v="4.6799999999999999E-5"/>
    <m/>
  </r>
  <r>
    <s v="5946.8"/>
    <x v="0"/>
    <x v="0"/>
    <x v="2"/>
    <s v="20A"/>
    <s v="Whole Plate"/>
    <s v="Oscillatoria sp"/>
    <b v="1"/>
    <n v="10"/>
    <n v="72"/>
    <m/>
    <n v="7.2"/>
    <n v="1.9472400000000001E-2"/>
    <n v="7.2"/>
    <n v="1.9472400000000001E-2"/>
    <m/>
  </r>
  <r>
    <s v="5965.1"/>
    <x v="0"/>
    <x v="1"/>
    <x v="2"/>
    <m/>
    <m/>
    <s v="Coelosphaerium cf natans"/>
    <b v="0"/>
    <m/>
    <n v="0"/>
    <m/>
    <n v="59"/>
    <n v="1.3569999999999999E-4"/>
    <n v="0"/>
    <n v="0"/>
    <m/>
  </r>
  <r>
    <s v="5965.2"/>
    <x v="0"/>
    <x v="1"/>
    <x v="2"/>
    <m/>
    <m/>
    <s v="Dolichospermum lemmermannii"/>
    <b v="1"/>
    <m/>
    <n v="0"/>
    <m/>
    <n v="6"/>
    <n v="6.6E-4"/>
    <n v="6"/>
    <n v="6.6E-4"/>
    <m/>
  </r>
  <r>
    <s v="5965.3"/>
    <x v="0"/>
    <x v="1"/>
    <x v="2"/>
    <m/>
    <m/>
    <s v="Dolichospermum planctonicum "/>
    <b v="1"/>
    <m/>
    <n v="0"/>
    <m/>
    <n v="15"/>
    <n v="5.5500000000000002E-3"/>
    <n v="15"/>
    <n v="5.5500000000000002E-3"/>
    <m/>
  </r>
  <r>
    <s v="5965.4"/>
    <x v="0"/>
    <x v="1"/>
    <x v="2"/>
    <m/>
    <m/>
    <s v="Geitlerinema splendidum"/>
    <b v="0"/>
    <m/>
    <n v="0"/>
    <m/>
    <n v="68"/>
    <n v="1.4959999999999999E-3"/>
    <n v="0"/>
    <n v="0"/>
    <m/>
  </r>
  <r>
    <s v="5965.5"/>
    <x v="0"/>
    <x v="1"/>
    <x v="2"/>
    <m/>
    <m/>
    <s v="Microcystis sp. (small)"/>
    <b v="1"/>
    <m/>
    <n v="0"/>
    <m/>
    <n v="1700"/>
    <n v="3.0939999999999999E-2"/>
    <n v="1700"/>
    <n v="3.0939999999999999E-2"/>
    <s v="Microcystis spp._x000a_"/>
  </r>
  <r>
    <s v="5965.6"/>
    <x v="0"/>
    <x v="1"/>
    <x v="2"/>
    <m/>
    <m/>
    <s v="Microcystis sp"/>
    <b v="1"/>
    <m/>
    <n v="0"/>
    <m/>
    <n v="95"/>
    <n v="6.8208642848999997E-3"/>
    <n v="95"/>
    <n v="6.8208642848999997E-3"/>
    <s v="Microcystis spp._x000a_"/>
  </r>
  <r>
    <s v="5965.7"/>
    <x v="0"/>
    <x v="1"/>
    <x v="2"/>
    <m/>
    <m/>
    <s v="Oscillatoria sp"/>
    <b v="1"/>
    <m/>
    <n v="0"/>
    <m/>
    <n v="20"/>
    <n v="5.4089999999999999E-2"/>
    <n v="20"/>
    <n v="5.4089999999999999E-2"/>
    <m/>
  </r>
  <r>
    <s v="5965.8"/>
    <x v="0"/>
    <x v="1"/>
    <x v="2"/>
    <m/>
    <m/>
    <s v="Phormidium sp"/>
    <b v="1"/>
    <m/>
    <n v="0"/>
    <m/>
    <n v="72"/>
    <n v="6.72048E-3"/>
    <n v="72"/>
    <n v="6.72048E-3"/>
    <m/>
  </r>
  <r>
    <s v="5965.9"/>
    <x v="0"/>
    <x v="1"/>
    <x v="2"/>
    <m/>
    <m/>
    <s v="Picocyanobacteria"/>
    <b v="1"/>
    <m/>
    <n v="0"/>
    <m/>
    <n v="33"/>
    <n v="1.7159999999999998E-5"/>
    <n v="33"/>
    <n v="1.7159999999999998E-5"/>
    <m/>
  </r>
  <r>
    <s v="5965.10"/>
    <x v="0"/>
    <x v="1"/>
    <x v="2"/>
    <m/>
    <m/>
    <s v="Pseudanabaena mucicola (rod)"/>
    <b v="0"/>
    <m/>
    <n v="0"/>
    <m/>
    <n v="29"/>
    <n v="1.3339999999999999E-3"/>
    <n v="0"/>
    <n v="0"/>
    <m/>
  </r>
  <r>
    <s v="5965.11"/>
    <x v="0"/>
    <x v="1"/>
    <x v="2"/>
    <m/>
    <m/>
    <s v="Pseudanabaena sp."/>
    <b v="1"/>
    <m/>
    <n v="0"/>
    <m/>
    <n v="25"/>
    <n v="9.7499999999999996E-4"/>
    <n v="25"/>
    <n v="9.7499999999999996E-4"/>
    <m/>
  </r>
  <r>
    <s v="5947.1"/>
    <x v="1"/>
    <x v="2"/>
    <x v="2"/>
    <s v="20A"/>
    <s v="Whole Plate"/>
    <s v="Microcystis wesenbergii"/>
    <b v="1"/>
    <n v="10"/>
    <n v="47.5"/>
    <m/>
    <n v="19"/>
    <n v="3.61627E-3"/>
    <n v="19"/>
    <n v="3.61627E-3"/>
    <s v="Microcystis spp._x000a_"/>
  </r>
  <r>
    <s v="5947.2"/>
    <x v="1"/>
    <x v="2"/>
    <x v="2"/>
    <s v="20A"/>
    <s v="Whole Plate"/>
    <s v="Anabaena torulosa"/>
    <b v="1"/>
    <n v="10"/>
    <n v="12"/>
    <m/>
    <n v="1.2"/>
    <n v="2.652E-4"/>
    <n v="1.2"/>
    <n v="2.652E-4"/>
    <m/>
  </r>
  <r>
    <s v="5947.3"/>
    <x v="1"/>
    <x v="2"/>
    <x v="2"/>
    <s v="20A"/>
    <s v="Whole Plate"/>
    <s v="Limnococcus limneticus_x000a_"/>
    <b v="0"/>
    <n v="10"/>
    <n v="31"/>
    <m/>
    <n v="6.2"/>
    <n v="2.7899999999999999E-3"/>
    <n v="0"/>
    <n v="0"/>
    <m/>
  </r>
  <r>
    <s v="5947.4"/>
    <x v="1"/>
    <x v="2"/>
    <x v="2"/>
    <s v="20A"/>
    <s v="Whole Plate"/>
    <s v="Aphanocapsa sp"/>
    <b v="0"/>
    <n v="10"/>
    <n v="107.571428571429"/>
    <m/>
    <n v="75.3"/>
    <n v="1.6942500000000001E-4"/>
    <n v="0"/>
    <n v="0"/>
    <m/>
  </r>
  <r>
    <s v="5947.5"/>
    <x v="1"/>
    <x v="2"/>
    <x v="2"/>
    <s v="20A"/>
    <s v="Whole Plate"/>
    <s v="Pseudanabaena sp."/>
    <b v="1"/>
    <n v="10"/>
    <n v="12"/>
    <m/>
    <n v="1.2"/>
    <n v="4.6799999999999999E-5"/>
    <n v="1.2"/>
    <n v="4.6799999999999999E-5"/>
    <m/>
  </r>
  <r>
    <s v="5947.6"/>
    <x v="1"/>
    <x v="2"/>
    <x v="2"/>
    <s v="20A"/>
    <s v="Whole Plate"/>
    <s v="Dolichospermum planctonicum "/>
    <b v="1"/>
    <n v="10"/>
    <n v="16"/>
    <m/>
    <n v="1.6"/>
    <n v="5.9199999999999997E-4"/>
    <n v="1.6"/>
    <n v="5.9199999999999997E-4"/>
    <m/>
  </r>
  <r>
    <s v="5964.1"/>
    <x v="1"/>
    <x v="3"/>
    <x v="2"/>
    <m/>
    <m/>
    <s v="Coelosphaerium cf natans"/>
    <b v="0"/>
    <m/>
    <n v="0"/>
    <m/>
    <n v="780"/>
    <n v="1.794E-3"/>
    <n v="0"/>
    <n v="0"/>
    <m/>
  </r>
  <r>
    <s v="5964.2"/>
    <x v="1"/>
    <x v="3"/>
    <x v="2"/>
    <m/>
    <m/>
    <s v="Dolichospermum lemmermannii"/>
    <b v="1"/>
    <m/>
    <n v="0"/>
    <m/>
    <n v="270"/>
    <n v="2.9700000000000001E-2"/>
    <n v="270"/>
    <n v="2.9700000000000001E-2"/>
    <m/>
  </r>
  <r>
    <s v="5964.3"/>
    <x v="1"/>
    <x v="3"/>
    <x v="2"/>
    <m/>
    <m/>
    <s v="Dolichospermum planctonicum "/>
    <b v="1"/>
    <m/>
    <n v="0"/>
    <m/>
    <n v="6"/>
    <n v="2.2200000000000002E-3"/>
    <n v="6"/>
    <n v="2.2200000000000002E-3"/>
    <m/>
  </r>
  <r>
    <s v="5964.4"/>
    <x v="1"/>
    <x v="3"/>
    <x v="2"/>
    <m/>
    <m/>
    <s v="Dolichospermum circinale"/>
    <b v="1"/>
    <m/>
    <n v="0"/>
    <m/>
    <n v="19"/>
    <n v="1.093716E-2"/>
    <n v="19"/>
    <n v="1.093716E-2"/>
    <m/>
  </r>
  <r>
    <s v="5964.5"/>
    <x v="1"/>
    <x v="3"/>
    <x v="2"/>
    <m/>
    <m/>
    <s v="Merismopedia sp"/>
    <b v="0"/>
    <m/>
    <n v="0"/>
    <m/>
    <n v="12"/>
    <n v="2.6400000000000002E-4"/>
    <n v="0"/>
    <n v="0"/>
    <m/>
  </r>
  <r>
    <s v="5964.6"/>
    <x v="1"/>
    <x v="3"/>
    <x v="2"/>
    <m/>
    <m/>
    <s v="Microcystis sp"/>
    <b v="1"/>
    <m/>
    <n v="0"/>
    <m/>
    <n v="16"/>
    <n v="1.14877714272E-3"/>
    <n v="16"/>
    <n v="1.14877714272E-3"/>
    <s v="Microcystis spp._x000a_"/>
  </r>
  <r>
    <s v="5964.7"/>
    <x v="1"/>
    <x v="3"/>
    <x v="2"/>
    <m/>
    <m/>
    <s v="Microcystis wesenbergii"/>
    <b v="1"/>
    <m/>
    <n v="0"/>
    <m/>
    <n v="500"/>
    <n v="9.5165E-2"/>
    <n v="500"/>
    <n v="9.5165E-2"/>
    <s v="Microcystis spp._x000a_"/>
  </r>
  <r>
    <s v="5964.8"/>
    <x v="1"/>
    <x v="3"/>
    <x v="2"/>
    <m/>
    <m/>
    <s v="Phormidium sp"/>
    <b v="1"/>
    <m/>
    <n v="0"/>
    <m/>
    <n v="8"/>
    <n v="7.4671999999999998E-4"/>
    <n v="8"/>
    <n v="7.4671999999999998E-4"/>
    <m/>
  </r>
  <r>
    <s v="5964.9"/>
    <x v="1"/>
    <x v="3"/>
    <x v="2"/>
    <m/>
    <m/>
    <s v="Picocyanobacteria"/>
    <b v="1"/>
    <m/>
    <n v="0"/>
    <m/>
    <n v="180"/>
    <n v="9.3599999999999998E-5"/>
    <n v="180"/>
    <n v="9.3599999999999998E-5"/>
    <m/>
  </r>
  <r>
    <s v="5964.10"/>
    <x v="1"/>
    <x v="3"/>
    <x v="2"/>
    <m/>
    <m/>
    <s v="Pseudanabaena mucicola (rod)"/>
    <b v="0"/>
    <m/>
    <n v="0"/>
    <m/>
    <n v="23"/>
    <n v="1.0579999999999999E-3"/>
    <n v="0"/>
    <n v="0"/>
    <m/>
  </r>
  <r>
    <s v="5964.11"/>
    <x v="1"/>
    <x v="3"/>
    <x v="2"/>
    <m/>
    <m/>
    <s v="Pseudanabaena sp."/>
    <b v="1"/>
    <m/>
    <n v="0"/>
    <m/>
    <n v="30"/>
    <n v="1.17E-3"/>
    <n v="30"/>
    <n v="1.17E-3"/>
    <m/>
  </r>
  <r>
    <s v="5964.12"/>
    <x v="1"/>
    <x v="3"/>
    <x v="2"/>
    <m/>
    <m/>
    <s v="Woronichinia naegeliana"/>
    <b v="1"/>
    <m/>
    <n v="0"/>
    <m/>
    <n v="100"/>
    <n v="0"/>
    <n v="100"/>
    <n v="0"/>
    <m/>
  </r>
  <r>
    <s v="5964.13"/>
    <x v="1"/>
    <x v="3"/>
    <x v="2"/>
    <m/>
    <m/>
    <s v="Limnococcus limneticus_x000a_"/>
    <b v="0"/>
    <m/>
    <n v="0"/>
    <m/>
    <n v="1"/>
    <n v="4.4999999999999999E-4"/>
    <n v="0"/>
    <n v="0"/>
    <m/>
  </r>
  <r>
    <s v="5942.1"/>
    <x v="1"/>
    <x v="4"/>
    <x v="2"/>
    <s v="20A"/>
    <s v="160"/>
    <s v="Microcystis wesenbergii"/>
    <b v="1"/>
    <n v="10"/>
    <n v="37.15"/>
    <n v="15"/>
    <n v="4084.8617881944401"/>
    <n v="0.77747174414704801"/>
    <n v="4084.8617881944401"/>
    <n v="0.77747174414704801"/>
    <s v="Microcystis spp._x000a_"/>
  </r>
  <r>
    <s v="5942.2"/>
    <x v="1"/>
    <x v="4"/>
    <x v="2"/>
    <s v="20A"/>
    <s v="160"/>
    <s v="Pseudanabaena sp."/>
    <b v="1"/>
    <n v="10"/>
    <n v="5"/>
    <m/>
    <n v="31.415972222222202"/>
    <n v="1.2252229166666701E-3"/>
    <n v="31.415972222222202"/>
    <n v="1.2252229166666701E-3"/>
    <m/>
  </r>
  <r>
    <s v="5942.3"/>
    <x v="1"/>
    <x v="4"/>
    <x v="2"/>
    <s v="20A"/>
    <s v="160"/>
    <s v="Oscillatoria sp"/>
    <b v="1"/>
    <n v="10"/>
    <n v="392"/>
    <m/>
    <n v="1231.5061111111099"/>
    <n v="3.3306082775000001"/>
    <n v="1231.5061111111099"/>
    <n v="3.3306082775000001"/>
    <m/>
  </r>
  <r>
    <s v="5942.4"/>
    <x v="1"/>
    <x v="4"/>
    <x v="2"/>
    <s v="20A"/>
    <s v="160"/>
    <s v="Dolichospermum circinale"/>
    <b v="1"/>
    <n v="10"/>
    <n v="18"/>
    <m/>
    <n v="169.64625000000001"/>
    <n v="9.7655167350000002E-2"/>
    <n v="169.64625000000001"/>
    <n v="9.7655167350000002E-2"/>
    <m/>
  </r>
  <r>
    <s v="5942.5"/>
    <x v="1"/>
    <x v="4"/>
    <x v="2"/>
    <s v="20A"/>
    <s v="160"/>
    <s v="Microcystis sp"/>
    <b v="1"/>
    <n v="10"/>
    <n v="33"/>
    <m/>
    <n v="207.34541666666701"/>
    <n v="1.4887104707151299E-2"/>
    <n v="207.34541666666701"/>
    <n v="1.4887104707151299E-2"/>
    <s v="Microcystis spp._x000a_"/>
  </r>
  <r>
    <s v="5962.1"/>
    <x v="1"/>
    <x v="5"/>
    <x v="2"/>
    <m/>
    <m/>
    <s v="Aphanocapsa sp"/>
    <b v="0"/>
    <m/>
    <n v="0"/>
    <m/>
    <n v="4"/>
    <n v="9.0000000000000002E-6"/>
    <n v="0"/>
    <n v="0"/>
    <m/>
  </r>
  <r>
    <s v="5962.2"/>
    <x v="1"/>
    <x v="5"/>
    <x v="2"/>
    <m/>
    <m/>
    <s v="Dolichospermum lemmermannii"/>
    <b v="1"/>
    <m/>
    <n v="0"/>
    <m/>
    <n v="1"/>
    <n v="1.1E-4"/>
    <n v="1"/>
    <n v="1.1E-4"/>
    <m/>
  </r>
  <r>
    <s v="5962.3"/>
    <x v="1"/>
    <x v="5"/>
    <x v="2"/>
    <m/>
    <m/>
    <s v="Dolichospermum planctonicum "/>
    <b v="1"/>
    <m/>
    <n v="0"/>
    <m/>
    <n v="14"/>
    <n v="5.1799999999999997E-3"/>
    <n v="14"/>
    <n v="5.1799999999999997E-3"/>
    <m/>
  </r>
  <r>
    <s v="5962.4"/>
    <x v="1"/>
    <x v="5"/>
    <x v="2"/>
    <m/>
    <m/>
    <s v="Dolichospermum circinale"/>
    <b v="1"/>
    <m/>
    <n v="0"/>
    <m/>
    <n v="1"/>
    <n v="5.7563999999999998E-4"/>
    <n v="1"/>
    <n v="5.7563999999999998E-4"/>
    <m/>
  </r>
  <r>
    <s v="5962.5"/>
    <x v="1"/>
    <x v="5"/>
    <x v="2"/>
    <m/>
    <m/>
    <s v="Geitlerinema splendidum"/>
    <b v="0"/>
    <m/>
    <n v="0"/>
    <m/>
    <n v="20"/>
    <n v="4.4000000000000002E-4"/>
    <n v="0"/>
    <n v="0"/>
    <m/>
  </r>
  <r>
    <s v="5962.6"/>
    <x v="1"/>
    <x v="5"/>
    <x v="2"/>
    <m/>
    <m/>
    <s v="Microcystis wesenbergii"/>
    <b v="1"/>
    <m/>
    <n v="0"/>
    <m/>
    <n v="190"/>
    <n v="3.6162699999999999E-2"/>
    <n v="190"/>
    <n v="3.6162699999999999E-2"/>
    <s v="Microcystis spp._x000a_"/>
  </r>
  <r>
    <s v="5962.7"/>
    <x v="1"/>
    <x v="5"/>
    <x v="2"/>
    <m/>
    <m/>
    <s v="Phormidium sp"/>
    <b v="1"/>
    <m/>
    <n v="0"/>
    <m/>
    <n v="10"/>
    <n v="9.3340000000000003E-4"/>
    <n v="10"/>
    <n v="9.3340000000000003E-4"/>
    <m/>
  </r>
  <r>
    <s v="5962.8"/>
    <x v="1"/>
    <x v="5"/>
    <x v="2"/>
    <m/>
    <m/>
    <s v="Picocyanobacteria"/>
    <b v="1"/>
    <m/>
    <n v="0"/>
    <m/>
    <n v="660"/>
    <n v="3.4319999999999999E-4"/>
    <n v="660"/>
    <n v="3.4319999999999999E-4"/>
    <m/>
  </r>
  <r>
    <s v="5962.9"/>
    <x v="1"/>
    <x v="5"/>
    <x v="2"/>
    <m/>
    <m/>
    <s v="Pseudanabaena mucicola (rod)"/>
    <b v="0"/>
    <m/>
    <n v="0"/>
    <m/>
    <n v="29"/>
    <n v="1.3339999999999999E-3"/>
    <n v="0"/>
    <n v="0"/>
    <m/>
  </r>
  <r>
    <s v="5962.10"/>
    <x v="1"/>
    <x v="5"/>
    <x v="2"/>
    <m/>
    <m/>
    <s v="Pseudanabaena sp."/>
    <b v="1"/>
    <m/>
    <n v="0"/>
    <m/>
    <n v="1"/>
    <n v="3.8999999999999999E-5"/>
    <n v="1"/>
    <n v="3.8999999999999999E-5"/>
    <m/>
  </r>
  <r>
    <s v="5963.1"/>
    <x v="1"/>
    <x v="6"/>
    <x v="2"/>
    <m/>
    <m/>
    <s v="Aphanocapsa sp"/>
    <b v="0"/>
    <m/>
    <n v="0"/>
    <m/>
    <n v="13"/>
    <n v="2.9249999999999999E-5"/>
    <n v="0"/>
    <n v="0"/>
    <m/>
  </r>
  <r>
    <s v="5963.2"/>
    <x v="1"/>
    <x v="6"/>
    <x v="2"/>
    <m/>
    <m/>
    <s v="Dolichospermum lemmermannii"/>
    <b v="1"/>
    <m/>
    <n v="0"/>
    <m/>
    <n v="2"/>
    <n v="2.2000000000000001E-4"/>
    <n v="2"/>
    <n v="2.2000000000000001E-4"/>
    <m/>
  </r>
  <r>
    <s v="5963.3"/>
    <x v="1"/>
    <x v="6"/>
    <x v="2"/>
    <m/>
    <m/>
    <s v="Dolichospermum planctonicum "/>
    <b v="1"/>
    <m/>
    <n v="0"/>
    <m/>
    <n v="10"/>
    <n v="3.7000000000000002E-3"/>
    <n v="10"/>
    <n v="3.7000000000000002E-3"/>
    <m/>
  </r>
  <r>
    <s v="5963.4"/>
    <x v="1"/>
    <x v="6"/>
    <x v="2"/>
    <m/>
    <m/>
    <s v="Dolichospermum circinale"/>
    <b v="1"/>
    <m/>
    <n v="0"/>
    <m/>
    <n v="17"/>
    <n v="9.7858800000000003E-3"/>
    <n v="17"/>
    <n v="9.7858800000000003E-3"/>
    <m/>
  </r>
  <r>
    <s v="5963.5"/>
    <x v="1"/>
    <x v="6"/>
    <x v="2"/>
    <m/>
    <m/>
    <s v="Dolichospermum sp"/>
    <b v="1"/>
    <m/>
    <n v="0"/>
    <m/>
    <n v="3"/>
    <n v="5.6999999999999998E-4"/>
    <n v="3"/>
    <n v="5.6999999999999998E-4"/>
    <m/>
  </r>
  <r>
    <s v="5963.6"/>
    <x v="1"/>
    <x v="6"/>
    <x v="2"/>
    <m/>
    <m/>
    <s v="Microcystis wesenbergii"/>
    <b v="1"/>
    <m/>
    <n v="0"/>
    <m/>
    <n v="2000"/>
    <n v="0.38066"/>
    <n v="2000"/>
    <n v="0.38066"/>
    <s v="Microcystis spp._x000a_"/>
  </r>
  <r>
    <s v="5963.7"/>
    <x v="1"/>
    <x v="6"/>
    <x v="2"/>
    <m/>
    <m/>
    <s v="Phormidium sp"/>
    <b v="1"/>
    <m/>
    <n v="0"/>
    <m/>
    <n v="60"/>
    <n v="5.6004000000000002E-3"/>
    <n v="60"/>
    <n v="5.6004000000000002E-3"/>
    <m/>
  </r>
  <r>
    <s v="5963.8"/>
    <x v="1"/>
    <x v="6"/>
    <x v="2"/>
    <m/>
    <m/>
    <s v="Picocyanobacteria"/>
    <b v="1"/>
    <m/>
    <n v="0"/>
    <m/>
    <n v="2000"/>
    <n v="1.0399999999999999E-3"/>
    <n v="2000"/>
    <n v="1.0399999999999999E-3"/>
    <m/>
  </r>
  <r>
    <s v="5963.9"/>
    <x v="1"/>
    <x v="6"/>
    <x v="2"/>
    <m/>
    <m/>
    <s v="Pseudanabaena mucicola (rod)"/>
    <b v="0"/>
    <m/>
    <n v="0"/>
    <m/>
    <n v="160"/>
    <n v="7.3600000000000002E-3"/>
    <n v="0"/>
    <n v="0"/>
    <m/>
  </r>
  <r>
    <s v="5963.10"/>
    <x v="1"/>
    <x v="6"/>
    <x v="2"/>
    <m/>
    <m/>
    <s v="Pseudanabaena sp."/>
    <b v="1"/>
    <m/>
    <n v="0"/>
    <m/>
    <n v="19"/>
    <n v="7.4100000000000001E-4"/>
    <n v="19"/>
    <n v="7.4100000000000001E-4"/>
    <m/>
  </r>
  <r>
    <s v="5963.11"/>
    <x v="1"/>
    <x v="6"/>
    <x v="2"/>
    <m/>
    <m/>
    <s v="Oscillatoria sp"/>
    <b v="1"/>
    <m/>
    <n v="0"/>
    <m/>
    <n v="10"/>
    <n v="2.7045E-2"/>
    <n v="10"/>
    <n v="2.7045E-2"/>
    <m/>
  </r>
  <r>
    <s v="5948.1"/>
    <x v="2"/>
    <x v="7"/>
    <x v="2"/>
    <s v="20A"/>
    <s v="Whole Plate"/>
    <s v="Microcystis wesenbergii"/>
    <b v="1"/>
    <n v="10"/>
    <n v="38.25"/>
    <n v="9"/>
    <n v="110.925"/>
    <n v="2.1112355249999999E-2"/>
    <n v="110.925"/>
    <n v="2.1112355249999999E-2"/>
    <s v="Microcystis spp._x000a_"/>
  </r>
  <r>
    <s v="5948.2"/>
    <x v="2"/>
    <x v="7"/>
    <x v="2"/>
    <s v="20A"/>
    <s v="Whole Plate"/>
    <s v="Microcystis sp"/>
    <b v="1"/>
    <n v="10"/>
    <n v="9.3333333333333304"/>
    <m/>
    <n v="2.8"/>
    <n v="2.01035999976E-4"/>
    <n v="2.8"/>
    <n v="2.01035999976E-4"/>
    <s v="Microcystis spp._x000a_"/>
  </r>
  <r>
    <s v="5948.3"/>
    <x v="2"/>
    <x v="7"/>
    <x v="2"/>
    <s v="20A"/>
    <s v="Whole Plate"/>
    <s v="Pseudanabaena sp."/>
    <b v="1"/>
    <n v="10"/>
    <n v="4.4285714285714297"/>
    <m/>
    <n v="3.1"/>
    <n v="1.209E-4"/>
    <n v="3.1"/>
    <n v="1.209E-4"/>
    <m/>
  </r>
  <r>
    <s v="5944.1"/>
    <x v="2"/>
    <x v="8"/>
    <x v="2"/>
    <s v="20A"/>
    <s v="160"/>
    <s v="Microcystis wesenbergii"/>
    <b v="1"/>
    <n v="10"/>
    <n v="36.375"/>
    <m/>
    <n v="914.20479166666701"/>
    <n v="0.17400059799791701"/>
    <n v="914.20479166666598"/>
    <n v="0.17400059799791701"/>
    <s v="Microcystis spp._x000a_"/>
  </r>
  <r>
    <s v="5944.2"/>
    <x v="2"/>
    <x v="8"/>
    <x v="2"/>
    <s v="20A"/>
    <s v="160"/>
    <s v="Pseudanabaena sp."/>
    <b v="1"/>
    <n v="10"/>
    <n v="8.3333333333333304"/>
    <m/>
    <n v="157.079861111111"/>
    <n v="6.1261145833333298E-3"/>
    <n v="157.079861111111"/>
    <n v="6.1261145833333298E-3"/>
    <m/>
  </r>
  <r>
    <s v="5944.3"/>
    <x v="2"/>
    <x v="8"/>
    <x v="2"/>
    <s v="20A"/>
    <s v="160"/>
    <s v="Phormidium sp"/>
    <b v="1"/>
    <n v="10"/>
    <n v="64"/>
    <m/>
    <n v="201.062222222222"/>
    <n v="1.8767147822222201E-2"/>
    <n v="201.062222222222"/>
    <n v="1.8767147822222201E-2"/>
    <m/>
  </r>
  <r>
    <s v="5944.4"/>
    <x v="2"/>
    <x v="8"/>
    <x v="2"/>
    <s v="20A"/>
    <s v="160"/>
    <s v="Dolichospermum circinale"/>
    <b v="1"/>
    <n v="10"/>
    <n v="22"/>
    <m/>
    <n v="69.115138888888893"/>
    <n v="3.9785438550000003E-2"/>
    <n v="69.115138888888893"/>
    <n v="3.9785438550000003E-2"/>
    <m/>
  </r>
  <r>
    <s v="5944.5"/>
    <x v="2"/>
    <x v="8"/>
    <x v="2"/>
    <s v="20A"/>
    <s v="160"/>
    <s v="Geitlerinema sp"/>
    <b v="0"/>
    <n v="10"/>
    <n v="43"/>
    <m/>
    <n v="135.08868055555601"/>
    <n v="2.9719509722222299E-3"/>
    <n v="0"/>
    <n v="0"/>
    <m/>
  </r>
  <r>
    <s v="5943.1"/>
    <x v="2"/>
    <x v="9"/>
    <x v="2"/>
    <s v="20A"/>
    <s v="160"/>
    <s v="Microcystis wesenbergii"/>
    <b v="1"/>
    <n v="10"/>
    <n v="40.5"/>
    <n v="10"/>
    <n v="3817.0406250000001"/>
    <n v="0.72649734215624995"/>
    <n v="3817.0406250000001"/>
    <n v="0.72649734215624995"/>
    <s v="Microcystis spp._x000a_"/>
  </r>
  <r>
    <s v="5943.2"/>
    <x v="2"/>
    <x v="9"/>
    <x v="2"/>
    <s v="20A"/>
    <s v="160"/>
    <s v="Pseudanabaena sp."/>
    <b v="1"/>
    <n v="10"/>
    <n v="9.5"/>
    <m/>
    <n v="298.45173611111102"/>
    <n v="1.16396177083333E-2"/>
    <n v="298.45173611111102"/>
    <n v="1.16396177083333E-2"/>
    <m/>
  </r>
  <r>
    <s v="5943.3"/>
    <x v="2"/>
    <x v="9"/>
    <x v="2"/>
    <s v="20A"/>
    <s v="160"/>
    <s v="Dolichospermum sp"/>
    <b v="1"/>
    <n v="10"/>
    <n v="28"/>
    <m/>
    <n v="175.92944444444399"/>
    <n v="3.3426594444444402E-2"/>
    <n v="175.92944444444399"/>
    <n v="3.3426594444444402E-2"/>
    <m/>
  </r>
  <r>
    <s v="5945.1"/>
    <x v="2"/>
    <x v="10"/>
    <x v="2"/>
    <s v="20A"/>
    <s v="Whole Plate"/>
    <s v="Microcystis wesenbergii"/>
    <b v="1"/>
    <n v="10"/>
    <n v="40.700000000000003"/>
    <n v="130"/>
    <n v="610.5"/>
    <n v="0.116196465"/>
    <n v="610.5"/>
    <n v="0.116196465"/>
    <s v="Microcystis spp._x000a_"/>
  </r>
  <r>
    <s v="5945.2"/>
    <x v="2"/>
    <x v="10"/>
    <x v="2"/>
    <s v="20A"/>
    <s v="Whole Plate"/>
    <s v="Microcystis sp"/>
    <b v="1"/>
    <n v="10"/>
    <n v="18.571428571428601"/>
    <m/>
    <n v="13"/>
    <n v="9.3338142845999996E-4"/>
    <n v="13"/>
    <n v="9.3338142845999996E-4"/>
    <s v="Microcystis spp._x000a_"/>
  </r>
  <r>
    <s v="5945.3"/>
    <x v="2"/>
    <x v="10"/>
    <x v="2"/>
    <s v="20A"/>
    <s v="Whole Plate"/>
    <s v="Phormidium sp"/>
    <b v="1"/>
    <n v="10"/>
    <n v="12"/>
    <m/>
    <n v="1.2"/>
    <n v="1.12008E-4"/>
    <n v="1.2"/>
    <n v="1.12008E-4"/>
    <m/>
  </r>
  <r>
    <s v="5945.4"/>
    <x v="2"/>
    <x v="10"/>
    <x v="2"/>
    <s v="20A"/>
    <s v="Whole Plate"/>
    <s v="Dolichospermum circinale"/>
    <b v="1"/>
    <n v="10"/>
    <n v="16"/>
    <m/>
    <n v="1.6"/>
    <n v="9.21024E-4"/>
    <n v="1.6"/>
    <n v="9.21024E-4"/>
    <m/>
  </r>
  <r>
    <s v="5945.5"/>
    <x v="2"/>
    <x v="10"/>
    <x v="2"/>
    <s v="20A"/>
    <s v="Whole Plate"/>
    <s v="Pseudanabaena sp."/>
    <b v="1"/>
    <n v="10"/>
    <n v="4.6666666666666696"/>
    <m/>
    <n v="1.4"/>
    <n v="5.4599999999999999E-5"/>
    <n v="1.4"/>
    <n v="5.4599999999999999E-5"/>
    <m/>
  </r>
  <r>
    <s v="5966.1"/>
    <x v="3"/>
    <x v="11"/>
    <x v="2"/>
    <m/>
    <m/>
    <s v="Dolichospermum lemmermannii"/>
    <b v="1"/>
    <m/>
    <n v="0"/>
    <m/>
    <n v="3"/>
    <n v="3.3E-4"/>
    <n v="3"/>
    <n v="3.3E-4"/>
    <m/>
  </r>
  <r>
    <s v="5966.2"/>
    <x v="3"/>
    <x v="11"/>
    <x v="2"/>
    <m/>
    <m/>
    <s v="Dolichospermum planctonicum "/>
    <b v="1"/>
    <m/>
    <n v="0"/>
    <m/>
    <n v="1"/>
    <n v="3.6999999999999999E-4"/>
    <n v="1"/>
    <n v="3.6999999999999999E-4"/>
    <m/>
  </r>
  <r>
    <s v="5966.3"/>
    <x v="3"/>
    <x v="11"/>
    <x v="2"/>
    <m/>
    <m/>
    <s v="Dolichospermum circinale"/>
    <b v="1"/>
    <m/>
    <n v="0"/>
    <m/>
    <n v="1"/>
    <n v="5.7563999999999998E-4"/>
    <n v="1"/>
    <n v="5.7563999999999998E-4"/>
    <m/>
  </r>
  <r>
    <s v="5966.4"/>
    <x v="3"/>
    <x v="11"/>
    <x v="2"/>
    <m/>
    <m/>
    <s v="Microcystis sp"/>
    <b v="1"/>
    <m/>
    <n v="0"/>
    <m/>
    <n v="54"/>
    <n v="3.8771228566800001E-3"/>
    <n v="54"/>
    <n v="3.8771228566800001E-3"/>
    <s v="Microcystis spp._x000a_"/>
  </r>
  <r>
    <s v="5966.5"/>
    <x v="3"/>
    <x v="11"/>
    <x v="2"/>
    <m/>
    <m/>
    <s v="Pseudanabaena sp."/>
    <b v="1"/>
    <m/>
    <n v="0"/>
    <m/>
    <n v="1"/>
    <n v="3.8999999999999999E-5"/>
    <n v="1"/>
    <n v="3.8999999999999999E-5"/>
    <m/>
  </r>
  <r>
    <s v="5932.1"/>
    <x v="4"/>
    <x v="12"/>
    <x v="3"/>
    <s v="20A"/>
    <s v="Whole Plate"/>
    <s v="Microcystis wesenbergii"/>
    <b v="1"/>
    <n v="10"/>
    <n v="58.4"/>
    <n v="69"/>
    <n v="519.76"/>
    <n v="9.8925920799999997E-2"/>
    <n v="519.76"/>
    <n v="9.8925920799999997E-2"/>
    <s v="Microcystis spp._x000a_"/>
  </r>
  <r>
    <s v="5932.2"/>
    <x v="4"/>
    <x v="12"/>
    <x v="3"/>
    <s v="20A"/>
    <s v="Whole Plate"/>
    <s v="Anabaena torulosa"/>
    <b v="1"/>
    <n v="10"/>
    <n v="8"/>
    <m/>
    <n v="0.8"/>
    <n v="1.7679999999999999E-4"/>
    <n v="0.8"/>
    <n v="1.7679999999999999E-4"/>
    <m/>
  </r>
  <r>
    <s v="5932.3"/>
    <x v="4"/>
    <x v="12"/>
    <x v="3"/>
    <s v="20A"/>
    <s v="Whole Plate"/>
    <s v="Pseudanabaena sp."/>
    <b v="1"/>
    <n v="10"/>
    <n v="10.5"/>
    <m/>
    <n v="2.1"/>
    <n v="8.1899999999999999E-5"/>
    <n v="2.1"/>
    <n v="8.1899999999999999E-5"/>
    <m/>
  </r>
  <r>
    <s v="5932.4"/>
    <x v="4"/>
    <x v="12"/>
    <x v="3"/>
    <s v="20A"/>
    <s v="Whole Plate"/>
    <s v="Dolichospermum circinale"/>
    <b v="1"/>
    <n v="10"/>
    <n v="22.3333333333333"/>
    <m/>
    <n v="13.4"/>
    <n v="7.7135759999999998E-3"/>
    <n v="13.4"/>
    <n v="7.7135759999999998E-3"/>
    <m/>
  </r>
  <r>
    <s v="5932.5"/>
    <x v="4"/>
    <x v="12"/>
    <x v="3"/>
    <s v="20A"/>
    <s v="Whole Plate"/>
    <s v="Microcystis sp"/>
    <b v="1"/>
    <n v="10"/>
    <n v="18"/>
    <m/>
    <n v="1.8"/>
    <n v="1.29237428556E-4"/>
    <n v="1.8"/>
    <n v="1.29237428556E-4"/>
    <s v="Microcystis spp._x000a_"/>
  </r>
  <r>
    <s v="5932.6"/>
    <x v="4"/>
    <x v="12"/>
    <x v="3"/>
    <s v="20A"/>
    <s v="Whole Plate"/>
    <s v="Aphanocapsa sp"/>
    <b v="0"/>
    <n v="10"/>
    <n v="59"/>
    <m/>
    <n v="11.8"/>
    <n v="2.6550000000000002E-5"/>
    <n v="0"/>
    <n v="0"/>
    <m/>
  </r>
  <r>
    <s v="5932.7"/>
    <x v="4"/>
    <x v="12"/>
    <x v="3"/>
    <s v="20A"/>
    <s v="Whole Plate"/>
    <s v="Dolichospermum lemmermannii"/>
    <b v="1"/>
    <n v="10"/>
    <n v="17"/>
    <m/>
    <n v="3.4"/>
    <n v="3.7399999999999998E-4"/>
    <n v="3.4"/>
    <n v="3.7399999999999998E-4"/>
    <m/>
  </r>
  <r>
    <s v="5932.8"/>
    <x v="4"/>
    <x v="12"/>
    <x v="3"/>
    <s v="20A"/>
    <s v="Whole Plate"/>
    <s v="Oscillatoria sp"/>
    <b v="1"/>
    <n v="10"/>
    <n v="52"/>
    <m/>
    <n v="5.2"/>
    <n v="1.40634E-2"/>
    <n v="5.2"/>
    <n v="1.40634E-2"/>
    <m/>
  </r>
  <r>
    <s v="5936.1"/>
    <x v="0"/>
    <x v="0"/>
    <x v="3"/>
    <s v="20A"/>
    <s v="Whole Plate"/>
    <s v="Microcystis sp"/>
    <b v="1"/>
    <n v="10"/>
    <n v="41.6"/>
    <n v="15"/>
    <n v="145.6"/>
    <n v="1.0453871998752E-2"/>
    <n v="145.6"/>
    <n v="1.0453871998752E-2"/>
    <s v="Microcystis spp._x000a_"/>
  </r>
  <r>
    <s v="5936.2"/>
    <x v="0"/>
    <x v="0"/>
    <x v="3"/>
    <s v="20A"/>
    <s v="Whole Plate"/>
    <s v="Microcystis wesenbergii"/>
    <b v="1"/>
    <n v="10"/>
    <n v="45.894736842105303"/>
    <m/>
    <n v="87.2"/>
    <n v="1.6596776000000001E-2"/>
    <n v="87.2"/>
    <n v="1.6596776000000001E-2"/>
    <s v="Microcystis spp._x000a_"/>
  </r>
  <r>
    <s v="5936.3"/>
    <x v="0"/>
    <x v="0"/>
    <x v="3"/>
    <s v="20A"/>
    <s v="Whole Plate"/>
    <s v="Aphanocapsa sp"/>
    <b v="0"/>
    <n v="10"/>
    <n v="44.5"/>
    <m/>
    <n v="17.8"/>
    <n v="4.0049999999999998E-5"/>
    <n v="0"/>
    <n v="0"/>
    <m/>
  </r>
  <r>
    <s v="5936.4"/>
    <x v="0"/>
    <x v="0"/>
    <x v="3"/>
    <s v="20A"/>
    <s v="Whole Plate"/>
    <s v="Dolichospermum sp"/>
    <b v="1"/>
    <n v="10"/>
    <n v="17.25"/>
    <m/>
    <n v="13.8"/>
    <n v="2.6220000000000002E-3"/>
    <n v="13.8"/>
    <n v="2.6220000000000002E-3"/>
    <m/>
  </r>
  <r>
    <s v="5936.5"/>
    <x v="0"/>
    <x v="0"/>
    <x v="3"/>
    <s v="20A"/>
    <s v="Whole Plate"/>
    <s v="Dolichospermum planctonicum "/>
    <b v="1"/>
    <n v="10"/>
    <n v="12"/>
    <m/>
    <n v="1.2"/>
    <n v="4.44E-4"/>
    <n v="1.2"/>
    <n v="4.44E-4"/>
    <m/>
  </r>
  <r>
    <s v="5936.6"/>
    <x v="0"/>
    <x v="0"/>
    <x v="3"/>
    <s v="20A"/>
    <s v="Whole Plate"/>
    <s v="Pseudanabaena sp."/>
    <b v="1"/>
    <n v="10"/>
    <n v="15.8"/>
    <m/>
    <n v="7.9"/>
    <n v="3.0810000000000001E-4"/>
    <n v="7.9"/>
    <n v="3.0810000000000001E-4"/>
    <m/>
  </r>
  <r>
    <s v="5936.7"/>
    <x v="0"/>
    <x v="0"/>
    <x v="3"/>
    <s v="20A"/>
    <s v="Whole Plate"/>
    <s v="Anabaena torulosa"/>
    <b v="1"/>
    <n v="10"/>
    <n v="23.5"/>
    <m/>
    <n v="4.7"/>
    <n v="1.0387E-3"/>
    <n v="4.7"/>
    <n v="1.0387E-3"/>
    <m/>
  </r>
  <r>
    <s v="5936.8"/>
    <x v="0"/>
    <x v="0"/>
    <x v="3"/>
    <s v="20A"/>
    <s v="Whole Plate"/>
    <s v="Dolichospermum lemmermannii"/>
    <b v="1"/>
    <n v="10"/>
    <n v="68"/>
    <m/>
    <n v="6.8"/>
    <n v="7.4799999999999997E-4"/>
    <n v="6.8"/>
    <n v="7.4799999999999997E-4"/>
    <m/>
  </r>
  <r>
    <s v="5936.9"/>
    <x v="0"/>
    <x v="0"/>
    <x v="3"/>
    <s v="20A"/>
    <s v="Whole Plate"/>
    <s v="Oscillatoria sp"/>
    <b v="1"/>
    <n v="10"/>
    <n v="38"/>
    <m/>
    <n v="11.4"/>
    <n v="3.0831299999999999E-2"/>
    <n v="11.4"/>
    <n v="3.0831299999999999E-2"/>
    <m/>
  </r>
  <r>
    <s v="5936.10"/>
    <x v="0"/>
    <x v="0"/>
    <x v="3"/>
    <s v="20A"/>
    <s v="Whole Plate"/>
    <s v="Dolichospermum spiroides"/>
    <b v="1"/>
    <n v="10"/>
    <n v="22"/>
    <m/>
    <n v="2.2000000000000002"/>
    <n v="5.7200000000000003E-4"/>
    <n v="2.2000000000000002"/>
    <n v="5.7200000000000003E-4"/>
    <m/>
  </r>
  <r>
    <s v="5939.1"/>
    <x v="0"/>
    <x v="1"/>
    <x v="3"/>
    <s v="20A"/>
    <s v="Whole Plate"/>
    <s v="Microcystis sp"/>
    <b v="1"/>
    <n v="10"/>
    <n v="48"/>
    <m/>
    <n v="24"/>
    <n v="1.72316571408E-3"/>
    <n v="24"/>
    <n v="1.72316571408E-3"/>
    <s v="Microcystis spp._x000a_"/>
  </r>
  <r>
    <s v="5939.2"/>
    <x v="0"/>
    <x v="1"/>
    <x v="3"/>
    <s v="20A"/>
    <s v="Whole Plate"/>
    <s v="Dolichospermum sp"/>
    <b v="1"/>
    <n v="10"/>
    <n v="15.125"/>
    <m/>
    <n v="12.1"/>
    <n v="2.2989999999999998E-3"/>
    <n v="12.1"/>
    <n v="2.2989999999999998E-3"/>
    <m/>
  </r>
  <r>
    <s v="5939.3"/>
    <x v="0"/>
    <x v="1"/>
    <x v="3"/>
    <s v="20A"/>
    <s v="Whole Plate"/>
    <s v="Microcystis wesenbergii"/>
    <b v="1"/>
    <n v="10"/>
    <n v="152.6"/>
    <m/>
    <n v="76.3"/>
    <n v="1.4522179E-2"/>
    <n v="76.3"/>
    <n v="1.4522179E-2"/>
    <s v="Microcystis spp._x000a_"/>
  </r>
  <r>
    <s v="5939.4"/>
    <x v="0"/>
    <x v="1"/>
    <x v="3"/>
    <s v="20A"/>
    <s v="Whole Plate"/>
    <s v="Coelosphaerium cf natans"/>
    <b v="0"/>
    <n v="10"/>
    <n v="39"/>
    <m/>
    <n v="7.8"/>
    <n v="1.7940000000000001E-5"/>
    <n v="0"/>
    <n v="0"/>
    <m/>
  </r>
  <r>
    <s v="5939.5"/>
    <x v="0"/>
    <x v="1"/>
    <x v="3"/>
    <s v="20A"/>
    <s v="Whole Plate"/>
    <s v="Dolichospermum spiroides"/>
    <b v="1"/>
    <n v="10"/>
    <n v="16.5"/>
    <m/>
    <n v="3.3"/>
    <n v="8.5800000000000004E-4"/>
    <n v="3.3"/>
    <n v="8.5800000000000004E-4"/>
    <m/>
  </r>
  <r>
    <s v="5939.6"/>
    <x v="0"/>
    <x v="1"/>
    <x v="3"/>
    <s v="20A"/>
    <s v="Whole Plate"/>
    <s v="Anabaena torulosa"/>
    <b v="1"/>
    <n v="10"/>
    <n v="19"/>
    <m/>
    <n v="3.8"/>
    <n v="8.3980000000000003E-4"/>
    <n v="3.8"/>
    <n v="8.3980000000000003E-4"/>
    <m/>
  </r>
  <r>
    <s v="5939.7"/>
    <x v="0"/>
    <x v="1"/>
    <x v="3"/>
    <s v="20A"/>
    <s v="Whole Plate"/>
    <s v="Dolichospermum lemmermannii"/>
    <b v="1"/>
    <n v="10"/>
    <n v="72"/>
    <m/>
    <n v="7.2"/>
    <n v="7.9199999999999995E-4"/>
    <n v="7.2"/>
    <n v="7.9199999999999995E-4"/>
    <m/>
  </r>
  <r>
    <s v="5940.1"/>
    <x v="1"/>
    <x v="2"/>
    <x v="3"/>
    <s v="20A"/>
    <s v="Whole Plate"/>
    <s v="Microcystis wesenbergii"/>
    <b v="1"/>
    <n v="10"/>
    <n v="34.25"/>
    <m/>
    <n v="27.4"/>
    <n v="5.2150419999999996E-3"/>
    <n v="27.4"/>
    <n v="5.2150419999999996E-3"/>
    <s v="Microcystis spp._x000a_"/>
  </r>
  <r>
    <s v="5940.2"/>
    <x v="1"/>
    <x v="2"/>
    <x v="3"/>
    <s v="20A"/>
    <s v="Whole Plate"/>
    <s v="Pseudanabaena sp."/>
    <b v="1"/>
    <n v="10"/>
    <n v="5"/>
    <m/>
    <n v="2"/>
    <n v="7.7999999999999999E-5"/>
    <n v="2"/>
    <n v="7.7999999999999999E-5"/>
    <m/>
  </r>
  <r>
    <s v="5940.3"/>
    <x v="1"/>
    <x v="2"/>
    <x v="3"/>
    <s v="20A"/>
    <s v="Whole Plate"/>
    <s v="Aphanocapsa sp"/>
    <b v="0"/>
    <n v="10"/>
    <n v="79"/>
    <m/>
    <n v="31.6"/>
    <n v="7.1099999999999994E-5"/>
    <n v="0"/>
    <n v="0"/>
    <m/>
  </r>
  <r>
    <s v="5940.4"/>
    <x v="1"/>
    <x v="2"/>
    <x v="3"/>
    <s v="20A"/>
    <s v="Whole Plate"/>
    <s v="Dolichospermum lemmermannii"/>
    <b v="1"/>
    <n v="10"/>
    <n v="73"/>
    <m/>
    <n v="7.3"/>
    <n v="8.03E-4"/>
    <n v="7.3"/>
    <n v="8.03E-4"/>
    <m/>
  </r>
  <r>
    <s v="5935.1"/>
    <x v="1"/>
    <x v="3"/>
    <x v="3"/>
    <s v="20A"/>
    <s v="Whole Plate"/>
    <s v="Coelosphaerium cf natans"/>
    <b v="0"/>
    <n v="10"/>
    <n v="53.4"/>
    <n v="120"/>
    <n v="747.6"/>
    <n v="1.71948E-3"/>
    <n v="0"/>
    <n v="0"/>
    <m/>
  </r>
  <r>
    <s v="5935.2"/>
    <x v="1"/>
    <x v="3"/>
    <x v="3"/>
    <s v="20A"/>
    <s v="Whole Plate"/>
    <s v="Dolichospermum lemmermannii"/>
    <b v="1"/>
    <n v="10"/>
    <n v="27.3"/>
    <n v="3"/>
    <n v="62.79"/>
    <n v="6.9068999999999997E-3"/>
    <n v="62.79"/>
    <n v="6.9068999999999997E-3"/>
    <m/>
  </r>
  <r>
    <s v="5935.3"/>
    <x v="1"/>
    <x v="3"/>
    <x v="3"/>
    <s v="20A"/>
    <s v="Whole Plate"/>
    <s v="Anabaena torulosa"/>
    <b v="1"/>
    <n v="10"/>
    <n v="17.6666666666667"/>
    <m/>
    <n v="10.6"/>
    <n v="2.3425999999999998E-3"/>
    <n v="10.6"/>
    <n v="2.3425999999999998E-3"/>
    <m/>
  </r>
  <r>
    <s v="5935.4"/>
    <x v="1"/>
    <x v="3"/>
    <x v="3"/>
    <s v="20A"/>
    <s v="Whole Plate"/>
    <s v="Microcystis wesenbergii"/>
    <b v="1"/>
    <n v="10"/>
    <n v="33.428571428571402"/>
    <m/>
    <n v="23.4"/>
    <n v="4.4537220000000002E-3"/>
    <n v="23.4"/>
    <n v="4.4537220000000002E-3"/>
    <s v="Microcystis spp._x000a_"/>
  </r>
  <r>
    <s v="5935.5"/>
    <x v="1"/>
    <x v="3"/>
    <x v="3"/>
    <s v="20A"/>
    <s v="Whole Plate"/>
    <s v="Dolichospermum sp"/>
    <b v="1"/>
    <n v="10"/>
    <n v="7.6666666666666696"/>
    <m/>
    <n v="2.2999999999999998"/>
    <n v="4.37E-4"/>
    <n v="2.2999999999999998"/>
    <n v="4.37E-4"/>
    <m/>
  </r>
  <r>
    <s v="5935.6"/>
    <x v="1"/>
    <x v="3"/>
    <x v="3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935.7"/>
    <x v="1"/>
    <x v="3"/>
    <x v="3"/>
    <s v="20A"/>
    <s v="Whole Plate"/>
    <s v="Aphanocapsa sp"/>
    <b v="0"/>
    <n v="10"/>
    <n v="480"/>
    <m/>
    <n v="48"/>
    <n v="1.08E-4"/>
    <n v="0"/>
    <n v="0"/>
    <m/>
  </r>
  <r>
    <s v="5935.8"/>
    <x v="1"/>
    <x v="3"/>
    <x v="3"/>
    <s v="20A"/>
    <s v="Whole Plate"/>
    <s v="Pseudanabaena sp."/>
    <b v="1"/>
    <n v="10"/>
    <n v="20.3333333333333"/>
    <m/>
    <n v="6.1"/>
    <n v="2.3790000000000001E-4"/>
    <n v="6.1"/>
    <n v="2.3790000000000001E-4"/>
    <m/>
  </r>
  <r>
    <s v="5933.1"/>
    <x v="1"/>
    <x v="4"/>
    <x v="3"/>
    <s v="20A"/>
    <s v="Whole Plate"/>
    <s v="Microcystis wesenbergii"/>
    <b v="1"/>
    <n v="10"/>
    <n v="46.65"/>
    <n v="113"/>
    <n v="620.44500000000005"/>
    <n v="0.11808929685"/>
    <n v="620.44500000000005"/>
    <n v="0.11808929685"/>
    <s v="Microcystis spp._x000a_"/>
  </r>
  <r>
    <s v="5933.2"/>
    <x v="1"/>
    <x v="4"/>
    <x v="3"/>
    <s v="20A"/>
    <s v="Whole Plate"/>
    <s v="Dolichospermum circinale"/>
    <b v="1"/>
    <n v="10"/>
    <n v="27.4166666666667"/>
    <m/>
    <n v="32.9"/>
    <n v="1.8938555999999999E-2"/>
    <n v="32.9"/>
    <n v="1.8938555999999999E-2"/>
    <m/>
  </r>
  <r>
    <s v="5933.3"/>
    <x v="1"/>
    <x v="4"/>
    <x v="3"/>
    <s v="20A"/>
    <s v="Whole Plate"/>
    <s v="Aphanocapsa sp"/>
    <b v="0"/>
    <n v="10"/>
    <n v="99"/>
    <m/>
    <n v="39.6"/>
    <n v="8.9099999999999997E-5"/>
    <n v="0"/>
    <n v="0"/>
    <m/>
  </r>
  <r>
    <s v="5933.4"/>
    <x v="1"/>
    <x v="4"/>
    <x v="3"/>
    <s v="20A"/>
    <s v="Whole Plate"/>
    <s v="Microcystis sp"/>
    <b v="1"/>
    <n v="10"/>
    <n v="42"/>
    <m/>
    <n v="4.2"/>
    <n v="3.0155399996399998E-4"/>
    <n v="4.2"/>
    <n v="3.0155399996399998E-4"/>
    <s v="Microcystis spp._x000a_"/>
  </r>
  <r>
    <s v="5933.5"/>
    <x v="1"/>
    <x v="4"/>
    <x v="3"/>
    <s v="20A"/>
    <s v="Whole Plate"/>
    <s v="Oscillatoria sp"/>
    <b v="1"/>
    <n v="10"/>
    <n v="141"/>
    <m/>
    <n v="28.2"/>
    <n v="7.6266899999999999E-2"/>
    <n v="28.2"/>
    <n v="7.6266899999999999E-2"/>
    <m/>
  </r>
  <r>
    <s v="5933.6"/>
    <x v="1"/>
    <x v="4"/>
    <x v="3"/>
    <s v="20A"/>
    <s v="Whole Plate"/>
    <s v="Dolichospermum planctonicum "/>
    <b v="1"/>
    <n v="10"/>
    <n v="20"/>
    <m/>
    <n v="2"/>
    <n v="7.3999999999999999E-4"/>
    <n v="2"/>
    <n v="7.3999999999999999E-4"/>
    <m/>
  </r>
  <r>
    <s v="5933.7"/>
    <x v="1"/>
    <x v="4"/>
    <x v="3"/>
    <s v="20A"/>
    <s v="Whole Plate"/>
    <s v="Anabaena torulosa"/>
    <b v="1"/>
    <n v="10"/>
    <n v="21.5"/>
    <m/>
    <n v="4.3"/>
    <n v="9.5029999999999995E-4"/>
    <n v="4.3"/>
    <n v="9.5029999999999995E-4"/>
    <m/>
  </r>
  <r>
    <s v="5933.8"/>
    <x v="1"/>
    <x v="4"/>
    <x v="3"/>
    <s v="20A"/>
    <s v="Whole Plate"/>
    <s v="Woronichinia naegeliana"/>
    <b v="1"/>
    <n v="10"/>
    <n v="192"/>
    <m/>
    <n v="19.2"/>
    <n v="0"/>
    <n v="19.2"/>
    <n v="0"/>
    <m/>
  </r>
  <r>
    <s v="5933.9"/>
    <x v="1"/>
    <x v="4"/>
    <x v="3"/>
    <s v="20A"/>
    <s v="Whole Plate"/>
    <s v="Dolichospermum sp"/>
    <b v="1"/>
    <n v="10"/>
    <n v="12"/>
    <m/>
    <n v="4.8"/>
    <n v="9.1200000000000005E-4"/>
    <n v="4.8"/>
    <n v="9.1200000000000005E-4"/>
    <m/>
  </r>
  <r>
    <s v="5933.10"/>
    <x v="1"/>
    <x v="4"/>
    <x v="3"/>
    <s v="20A"/>
    <s v="Whole Plate"/>
    <s v="Limnococcus limneticus_x000a_"/>
    <b v="0"/>
    <n v="10"/>
    <n v="20"/>
    <m/>
    <n v="2"/>
    <n v="8.9999999999999998E-4"/>
    <n v="0"/>
    <n v="0"/>
    <m/>
  </r>
  <r>
    <s v="5937.1"/>
    <x v="1"/>
    <x v="5"/>
    <x v="3"/>
    <s v="20A"/>
    <s v="Whole Plate"/>
    <s v="Oscillatoria sp"/>
    <b v="1"/>
    <n v="10"/>
    <n v="98"/>
    <m/>
    <n v="29.4"/>
    <n v="7.9512299999999994E-2"/>
    <n v="29.4"/>
    <n v="7.9512299999999994E-2"/>
    <m/>
  </r>
  <r>
    <s v="5937.2"/>
    <x v="1"/>
    <x v="5"/>
    <x v="3"/>
    <s v="20A"/>
    <s v="Whole Plate"/>
    <s v="Microcystis wesenbergii"/>
    <b v="1"/>
    <n v="10"/>
    <n v="51.8"/>
    <m/>
    <n v="25.9"/>
    <n v="4.9295470000000003E-3"/>
    <n v="25.9"/>
    <n v="4.9295470000000003E-3"/>
    <s v="Microcystis spp._x000a_"/>
  </r>
  <r>
    <s v="5937.3"/>
    <x v="1"/>
    <x v="5"/>
    <x v="3"/>
    <s v="20A"/>
    <s v="Whole Plate"/>
    <s v="Aphanocapsa sp"/>
    <b v="0"/>
    <n v="10"/>
    <n v="137.666666666667"/>
    <m/>
    <n v="82.6"/>
    <n v="1.8584999999999999E-4"/>
    <n v="0"/>
    <n v="0"/>
    <m/>
  </r>
  <r>
    <s v="5937.4"/>
    <x v="1"/>
    <x v="5"/>
    <x v="3"/>
    <s v="20A"/>
    <s v="Whole Plate"/>
    <s v="Dolichospermum sp"/>
    <b v="1"/>
    <n v="10"/>
    <n v="11.2"/>
    <m/>
    <n v="5.6"/>
    <n v="1.0640000000000001E-3"/>
    <n v="5.6"/>
    <n v="1.0640000000000001E-3"/>
    <m/>
  </r>
  <r>
    <s v="5937.5"/>
    <x v="1"/>
    <x v="5"/>
    <x v="3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5937.6"/>
    <x v="1"/>
    <x v="5"/>
    <x v="3"/>
    <s v="20A"/>
    <s v="Whole Plate"/>
    <s v="Dolichospermum circinale"/>
    <b v="1"/>
    <n v="10"/>
    <n v="24"/>
    <m/>
    <n v="2.4"/>
    <n v="1.381536E-3"/>
    <n v="2.4"/>
    <n v="1.381536E-3"/>
    <m/>
  </r>
  <r>
    <s v="5937.7"/>
    <x v="1"/>
    <x v="5"/>
    <x v="3"/>
    <s v="20A"/>
    <s v="Whole Plate"/>
    <s v="Limnococcus limneticus_x000a_"/>
    <b v="0"/>
    <n v="10"/>
    <n v="18"/>
    <m/>
    <n v="3.6"/>
    <n v="1.6199999999999999E-3"/>
    <n v="0"/>
    <n v="0"/>
    <m/>
  </r>
  <r>
    <s v="5938.1"/>
    <x v="1"/>
    <x v="6"/>
    <x v="3"/>
    <s v="20A"/>
    <s v="Whole Plate"/>
    <s v="Microcystis wesenbergii"/>
    <b v="1"/>
    <n v="10"/>
    <n v="46.25"/>
    <n v="10"/>
    <n v="138.75"/>
    <n v="2.6408287499999999E-2"/>
    <n v="138.75"/>
    <n v="2.6408287499999999E-2"/>
    <s v="Microcystis spp._x000a_"/>
  </r>
  <r>
    <s v="5938.2"/>
    <x v="1"/>
    <x v="6"/>
    <x v="3"/>
    <s v="20A"/>
    <s v="Whole Plate"/>
    <s v="Aphanocapsa sp"/>
    <b v="0"/>
    <n v="10"/>
    <n v="88.4"/>
    <m/>
    <n v="44.2"/>
    <n v="9.9450000000000005E-5"/>
    <n v="0"/>
    <n v="0"/>
    <m/>
  </r>
  <r>
    <s v="5938.3"/>
    <x v="1"/>
    <x v="6"/>
    <x v="3"/>
    <s v="20A"/>
    <s v="Whole Plate"/>
    <s v="Dolichospermum planctonicum "/>
    <b v="1"/>
    <n v="10"/>
    <n v="15.4"/>
    <m/>
    <n v="15.4"/>
    <n v="5.6979999999999999E-3"/>
    <n v="15.4"/>
    <n v="5.6979999999999999E-3"/>
    <m/>
  </r>
  <r>
    <s v="5938.4"/>
    <x v="1"/>
    <x v="6"/>
    <x v="3"/>
    <s v="20A"/>
    <s v="Whole Plate"/>
    <s v="Oscillatoria sp"/>
    <b v="1"/>
    <n v="10"/>
    <n v="27.75"/>
    <m/>
    <n v="11.1"/>
    <n v="3.001995E-2"/>
    <n v="11.1"/>
    <n v="3.001995E-2"/>
    <m/>
  </r>
  <r>
    <s v="5938.5"/>
    <x v="1"/>
    <x v="6"/>
    <x v="3"/>
    <s v="20A"/>
    <s v="Whole Plate"/>
    <s v="Microcystis sp"/>
    <b v="1"/>
    <n v="10"/>
    <n v="19.3333333333333"/>
    <m/>
    <n v="5.8"/>
    <n v="4.1643171423600003E-4"/>
    <n v="5.8"/>
    <n v="4.1643171423600003E-4"/>
    <s v="Microcystis spp._x000a_"/>
  </r>
  <r>
    <s v="5938.6"/>
    <x v="1"/>
    <x v="6"/>
    <x v="3"/>
    <s v="20A"/>
    <s v="Whole Plate"/>
    <s v="Dolichospermum sp"/>
    <b v="1"/>
    <n v="10"/>
    <n v="12"/>
    <m/>
    <n v="2.4"/>
    <n v="4.5600000000000003E-4"/>
    <n v="2.4"/>
    <n v="4.5600000000000003E-4"/>
    <m/>
  </r>
  <r>
    <s v="5934.1"/>
    <x v="2"/>
    <x v="7"/>
    <x v="3"/>
    <s v="20A"/>
    <s v="Whole Plate"/>
    <s v="Pseudanabaena sp."/>
    <b v="1"/>
    <n v="10"/>
    <n v="12.8571428571429"/>
    <m/>
    <n v="18"/>
    <n v="7.0200000000000004E-4"/>
    <n v="18"/>
    <n v="7.0200000000000004E-4"/>
    <m/>
  </r>
  <r>
    <s v="5934.2"/>
    <x v="2"/>
    <x v="7"/>
    <x v="3"/>
    <s v="20A"/>
    <s v="Whole Plate"/>
    <s v="Dolichospermum sp"/>
    <b v="1"/>
    <n v="10"/>
    <n v="18.3333333333333"/>
    <m/>
    <n v="5.5"/>
    <n v="1.0449999999999999E-3"/>
    <n v="5.5"/>
    <n v="1.0449999999999999E-3"/>
    <m/>
  </r>
  <r>
    <s v="5934.3"/>
    <x v="2"/>
    <x v="7"/>
    <x v="3"/>
    <s v="20A"/>
    <s v="Whole Plate"/>
    <s v="Microcystis wesenbergii"/>
    <b v="1"/>
    <n v="10"/>
    <n v="49.2"/>
    <n v="14"/>
    <n v="167.28"/>
    <n v="3.18384024E-2"/>
    <n v="167.28"/>
    <n v="3.18384024E-2"/>
    <s v="Microcystis spp._x000a_"/>
  </r>
  <r>
    <s v="5930.1"/>
    <x v="2"/>
    <x v="8"/>
    <x v="3"/>
    <s v="20A"/>
    <s v="160"/>
    <s v="Dolichospermum circinale"/>
    <b v="1"/>
    <n v="10"/>
    <n v="34.3333333333333"/>
    <m/>
    <n v="323.58451388888898"/>
    <n v="0.18626818957499999"/>
    <n v="323.58451388888898"/>
    <n v="0.18626818957499999"/>
    <m/>
  </r>
  <r>
    <s v="5930.2"/>
    <x v="2"/>
    <x v="8"/>
    <x v="3"/>
    <s v="20A"/>
    <s v="160"/>
    <s v="Microcystis wesenbergii"/>
    <b v="1"/>
    <n v="10"/>
    <n v="54.7"/>
    <n v="21"/>
    <n v="7045.66009027778"/>
    <n v="1.3410004849825701"/>
    <n v="7045.66009027778"/>
    <n v="1.3410004849825701"/>
    <s v="Microcystis spp._x000a_"/>
  </r>
  <r>
    <s v="5930.3"/>
    <x v="2"/>
    <x v="8"/>
    <x v="3"/>
    <s v="20A"/>
    <s v="160"/>
    <s v="Dolichospermum sp"/>
    <b v="1"/>
    <n v="10"/>
    <n v="5"/>
    <m/>
    <n v="15.707986111111101"/>
    <n v="2.9845173611111101E-3"/>
    <n v="15.707986111111101"/>
    <n v="2.9845173611111101E-3"/>
    <m/>
  </r>
  <r>
    <s v="5930.4"/>
    <x v="2"/>
    <x v="8"/>
    <x v="3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5931.1"/>
    <x v="2"/>
    <x v="9"/>
    <x v="3"/>
    <s v="20A"/>
    <s v="160"/>
    <s v="Microcystis wesenbergii"/>
    <b v="1"/>
    <n v="10"/>
    <n v="41.7"/>
    <n v="22"/>
    <n v="5502.1933749999998"/>
    <n v="1.0472324650637499"/>
    <n v="5502.1933749999998"/>
    <n v="1.0472324650637499"/>
    <s v="Microcystis spp._x000a_"/>
  </r>
  <r>
    <s v="5931.2"/>
    <x v="2"/>
    <x v="9"/>
    <x v="3"/>
    <s v="20A"/>
    <s v="160"/>
    <s v="Microcystis sp"/>
    <b v="1"/>
    <n v="10"/>
    <n v="14"/>
    <m/>
    <n v="131.94708333333301"/>
    <n v="9.4736120863689998E-3"/>
    <n v="131.94708333333301"/>
    <n v="9.4736120863689998E-3"/>
    <s v="Microcystis spp._x000a_"/>
  </r>
  <r>
    <s v="5931.3"/>
    <x v="2"/>
    <x v="9"/>
    <x v="3"/>
    <s v="20A"/>
    <s v="160"/>
    <s v="Dolichospermum circinale"/>
    <b v="1"/>
    <n v="10"/>
    <n v="40"/>
    <m/>
    <n v="251.32777777777801"/>
    <n v="0.14467432199999999"/>
    <n v="251.32777777777801"/>
    <n v="0.14467432199999999"/>
    <m/>
  </r>
  <r>
    <s v="5931.4"/>
    <x v="2"/>
    <x v="9"/>
    <x v="3"/>
    <s v="20A"/>
    <s v="160"/>
    <s v="Dolichospermum planctonicum "/>
    <b v="1"/>
    <n v="10"/>
    <n v="26"/>
    <m/>
    <n v="81.681527777777802"/>
    <n v="3.02221652777778E-2"/>
    <n v="81.681527777777802"/>
    <n v="3.02221652777778E-2"/>
    <m/>
  </r>
  <r>
    <s v="5931.5"/>
    <x v="2"/>
    <x v="9"/>
    <x v="3"/>
    <s v="20A"/>
    <s v="160"/>
    <s v="Pseudanabaena sp."/>
    <b v="1"/>
    <n v="10"/>
    <n v="11"/>
    <m/>
    <n v="241.90298611111101"/>
    <n v="9.4342164583333301E-3"/>
    <n v="241.90298611111101"/>
    <n v="9.4342164583333301E-3"/>
    <m/>
  </r>
  <r>
    <s v="5929.1"/>
    <x v="2"/>
    <x v="10"/>
    <x v="3"/>
    <s v="20A"/>
    <s v="160"/>
    <s v="Microcystis wesenbergii"/>
    <b v="1"/>
    <n v="10"/>
    <n v="56.2"/>
    <n v="19"/>
    <n v="6885.7527916666704"/>
    <n v="1.31056532883792"/>
    <n v="6885.7527916666704"/>
    <n v="1.31056532883792"/>
    <s v="Microcystis spp._x000a_"/>
  </r>
  <r>
    <s v="5929.2"/>
    <x v="2"/>
    <x v="10"/>
    <x v="3"/>
    <s v="20A"/>
    <s v="160"/>
    <s v="Merismopedia sp"/>
    <b v="0"/>
    <n v="10"/>
    <n v="16"/>
    <m/>
    <n v="50.265555555555601"/>
    <n v="1.1058422222222199E-3"/>
    <n v="0"/>
    <n v="0"/>
    <m/>
  </r>
  <r>
    <s v="5929.3"/>
    <x v="2"/>
    <x v="10"/>
    <x v="3"/>
    <s v="20A"/>
    <s v="160"/>
    <s v="Microcystis sp"/>
    <b v="1"/>
    <n v="10"/>
    <n v="38.25"/>
    <m/>
    <n v="480.66437500000001"/>
    <n v="3.45110154574872E-2"/>
    <n v="480.66437500000001"/>
    <n v="3.45110154574872E-2"/>
    <s v="Microcystis spp._x000a_"/>
  </r>
  <r>
    <s v="5929.4"/>
    <x v="2"/>
    <x v="10"/>
    <x v="3"/>
    <s v="20A"/>
    <s v="160"/>
    <s v="Dolichospermum sp"/>
    <b v="1"/>
    <n v="10"/>
    <n v="17.399999999999999"/>
    <m/>
    <n v="273.318958333333"/>
    <n v="5.1930602083333298E-2"/>
    <n v="273.318958333333"/>
    <n v="5.1930602083333298E-2"/>
    <m/>
  </r>
  <r>
    <s v="5929.5"/>
    <x v="2"/>
    <x v="10"/>
    <x v="3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941.1"/>
    <x v="3"/>
    <x v="11"/>
    <x v="3"/>
    <s v="20A"/>
    <s v="Whole Plate"/>
    <s v="Dolichospermum circinale"/>
    <b v="1"/>
    <n v="10"/>
    <n v="28.571428571428601"/>
    <m/>
    <n v="20"/>
    <n v="1.15128E-2"/>
    <n v="20"/>
    <n v="1.15128E-2"/>
    <m/>
  </r>
  <r>
    <s v="5941.2"/>
    <x v="3"/>
    <x v="11"/>
    <x v="3"/>
    <s v="20A"/>
    <s v="Whole Plate"/>
    <s v="Pseudanabaena sp."/>
    <b v="1"/>
    <n v="10"/>
    <n v="11.5"/>
    <m/>
    <n v="2.2999999999999998"/>
    <n v="8.9699999999999998E-5"/>
    <n v="2.2999999999999998"/>
    <n v="8.9699999999999998E-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8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  <i>
      <x v="4"/>
      <x v="12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7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  <i>
      <x v="4"/>
      <x v="12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/>
  </dataFields>
  <formats count="25">
    <format dxfId="27">
      <pivotArea outline="0" fieldPosition="0">
        <references count="1">
          <reference field="1" count="4" selected="0">
            <x v="0"/>
            <x v="1"/>
            <x v="2"/>
            <x v="3"/>
          </reference>
        </references>
      </pivotArea>
    </format>
    <format dxfId="25">
      <pivotArea outline="0" fieldPosition="0">
        <references count="3">
          <reference field="1" count="1" selected="0">
            <x v="2"/>
          </reference>
          <reference field="2" count="2" selected="0">
            <x v="8"/>
            <x v="9"/>
          </reference>
          <reference field="3" count="1" selected="0">
            <x v="0"/>
          </reference>
        </references>
      </pivotArea>
    </format>
    <format dxfId="24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0"/>
          </reference>
        </references>
      </pivotArea>
    </format>
    <format dxfId="23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</references>
      </pivotArea>
    </format>
    <format dxfId="22">
      <pivotArea outline="0" fieldPosition="0">
        <references count="2">
          <reference field="1" count="2" selected="0">
            <x v="0"/>
            <x v="1"/>
          </reference>
          <reference field="3" count="1" selected="0">
            <x v="0"/>
          </reference>
        </references>
      </pivotArea>
    </format>
    <format dxfId="21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0"/>
          </reference>
        </references>
      </pivotArea>
    </format>
    <format dxfId="20">
      <pivotArea outline="0" fieldPosition="0">
        <references count="2">
          <reference field="1" count="2" selected="0">
            <x v="0"/>
            <x v="1"/>
          </reference>
          <reference field="3" count="1" selected="0">
            <x v="1"/>
          </reference>
        </references>
      </pivotArea>
    </format>
    <format dxfId="19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1"/>
          </reference>
        </references>
      </pivotArea>
    </format>
    <format dxfId="18">
      <pivotArea outline="0" fieldPosition="0">
        <references count="3">
          <reference field="1" count="1" selected="0">
            <x v="2"/>
          </reference>
          <reference field="2" count="2" selected="0">
            <x v="8"/>
            <x v="9"/>
          </reference>
          <reference field="3" count="1" selected="0">
            <x v="1"/>
          </reference>
        </references>
      </pivotArea>
    </format>
    <format dxfId="17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2"/>
          </reference>
        </references>
      </pivotArea>
    </format>
    <format dxfId="16">
      <pivotArea outline="0" fieldPosition="0">
        <references count="3">
          <reference field="1" count="1" selected="0">
            <x v="1"/>
          </reference>
          <reference field="2" count="2" selected="0">
            <x v="2"/>
            <x v="3"/>
          </reference>
          <reference field="3" count="1" selected="0">
            <x v="2"/>
          </reference>
        </references>
      </pivotArea>
    </format>
    <format dxfId="15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2"/>
          </reference>
        </references>
      </pivotArea>
    </format>
    <format dxfId="14">
      <pivotArea outline="0" fieldPosition="0">
        <references count="3">
          <reference field="1" count="1" selected="0">
            <x v="2"/>
          </reference>
          <reference field="2" count="2" selected="0">
            <x v="7"/>
            <x v="8"/>
          </reference>
          <reference field="3" count="1" selected="0">
            <x v="2"/>
          </reference>
        </references>
      </pivotArea>
    </format>
    <format dxfId="13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2"/>
          </reference>
        </references>
      </pivotArea>
    </format>
    <format dxfId="12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2"/>
          </reference>
        </references>
      </pivotArea>
    </format>
    <format dxfId="11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3"/>
          </reference>
        </references>
      </pivotArea>
    </format>
    <format dxfId="10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3"/>
          </reference>
        </references>
      </pivotArea>
    </format>
    <format dxfId="9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3"/>
          </reference>
        </references>
      </pivotArea>
    </format>
    <format dxfId="8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3"/>
          </reference>
        </references>
      </pivotArea>
    </format>
    <format dxfId="7">
      <pivotArea outline="0" fieldPosition="0">
        <references count="3">
          <reference field="1" count="1" selected="0">
            <x v="1"/>
          </reference>
          <reference field="2" count="3" selected="0">
            <x v="2"/>
            <x v="3"/>
            <x v="4"/>
          </reference>
          <reference field="3" count="1" selected="0">
            <x v="3"/>
          </reference>
        </references>
      </pivotArea>
    </format>
    <format dxfId="6">
      <pivotArea outline="0" fieldPosition="0">
        <references count="3">
          <reference field="1" count="1" selected="0">
            <x v="1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5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1"/>
          </reference>
        </references>
      </pivotArea>
    </format>
    <format dxfId="4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1"/>
          </reference>
        </references>
      </pivotArea>
    </format>
    <format dxfId="3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2"/>
          </reference>
        </references>
      </pivotArea>
    </format>
    <format dxfId="2">
      <pivotArea outline="0" fieldPosition="0">
        <references count="3">
          <reference field="1" count="1" selected="0">
            <x v="2"/>
          </reference>
          <reference field="2" count="3" selected="0">
            <x v="8"/>
            <x v="9"/>
            <x v="10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7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3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  <i>
      <x v="4"/>
      <x v="12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formats count="1">
    <format dxfId="1">
      <pivotArea outline="0" fieldPosition="0">
        <references count="3">
          <reference field="1" count="3" selected="0">
            <x v="0"/>
            <x v="1"/>
            <x v="2"/>
          </reference>
          <reference field="3" count="1" selected="0">
            <x v="0"/>
          </reference>
          <reference field="15" count="0" selected="0"/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99" totalsRowShown="0">
  <autoFilter ref="A1:P299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75" totalsRowShown="0">
  <autoFilter ref="A1:P7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9.36328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17.5</v>
      </c>
      <c r="K2">
        <v>16</v>
      </c>
      <c r="L2">
        <v>63</v>
      </c>
      <c r="M2">
        <v>4.5233099994599997E-3</v>
      </c>
      <c r="N2">
        <v>63</v>
      </c>
      <c r="O2">
        <v>4.5233099994599997E-3</v>
      </c>
      <c r="P2" s="1" t="s">
        <v>23</v>
      </c>
    </row>
    <row r="3" spans="1:16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12</v>
      </c>
      <c r="L3">
        <v>10.8</v>
      </c>
      <c r="M3">
        <v>4.2119999999999999E-4</v>
      </c>
      <c r="N3">
        <v>10.8</v>
      </c>
      <c r="O3">
        <v>4.2119999999999999E-4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10</v>
      </c>
      <c r="L4">
        <v>4</v>
      </c>
      <c r="M4">
        <v>4.4000000000000002E-4</v>
      </c>
      <c r="N4">
        <v>4</v>
      </c>
      <c r="O4">
        <v>4.4000000000000002E-4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22</v>
      </c>
      <c r="L5">
        <v>2.2000000000000002</v>
      </c>
      <c r="M5">
        <v>4.862E-4</v>
      </c>
      <c r="N5">
        <v>2.2000000000000002</v>
      </c>
      <c r="O5">
        <v>4.862E-4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0</v>
      </c>
      <c r="I6">
        <v>10</v>
      </c>
      <c r="J6">
        <v>126</v>
      </c>
      <c r="L6">
        <v>12.6</v>
      </c>
      <c r="M6">
        <v>2.8350000000000001E-5</v>
      </c>
      <c r="N6">
        <v>0</v>
      </c>
      <c r="O6">
        <v>0</v>
      </c>
    </row>
    <row r="7" spans="1:16" ht="29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87.3333333333333</v>
      </c>
      <c r="L7">
        <v>26.2</v>
      </c>
      <c r="M7">
        <v>4.986646E-3</v>
      </c>
      <c r="N7">
        <v>26.2</v>
      </c>
      <c r="O7">
        <v>4.986646E-3</v>
      </c>
      <c r="P7" s="1" t="s">
        <v>23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96</v>
      </c>
      <c r="L8">
        <v>9.6</v>
      </c>
      <c r="M8">
        <v>2.5963199999999999E-2</v>
      </c>
      <c r="N8">
        <v>9.6</v>
      </c>
      <c r="O8">
        <v>2.5963199999999999E-2</v>
      </c>
    </row>
    <row r="9" spans="1:16" ht="29" x14ac:dyDescent="0.35">
      <c r="A9" t="s">
        <v>36</v>
      </c>
      <c r="B9" t="s">
        <v>17</v>
      </c>
      <c r="C9" t="s">
        <v>37</v>
      </c>
      <c r="D9" t="s">
        <v>19</v>
      </c>
      <c r="E9" t="s">
        <v>20</v>
      </c>
      <c r="F9" t="s">
        <v>21</v>
      </c>
      <c r="G9" t="s">
        <v>22</v>
      </c>
      <c r="H9" t="b">
        <v>1</v>
      </c>
      <c r="I9">
        <v>10</v>
      </c>
      <c r="J9">
        <v>122.6</v>
      </c>
      <c r="L9">
        <v>183.9</v>
      </c>
      <c r="M9">
        <v>1.3203757284138E-2</v>
      </c>
      <c r="N9">
        <v>183.9</v>
      </c>
      <c r="O9">
        <v>1.3203757284138E-2</v>
      </c>
      <c r="P9" s="1" t="s">
        <v>23</v>
      </c>
    </row>
    <row r="10" spans="1:16" x14ac:dyDescent="0.35">
      <c r="A10" t="s">
        <v>38</v>
      </c>
      <c r="B10" t="s">
        <v>17</v>
      </c>
      <c r="C10" t="s">
        <v>37</v>
      </c>
      <c r="D10" t="s">
        <v>19</v>
      </c>
      <c r="E10" t="s">
        <v>20</v>
      </c>
      <c r="F10" t="s">
        <v>21</v>
      </c>
      <c r="G10" t="s">
        <v>35</v>
      </c>
      <c r="H10" t="b">
        <v>1</v>
      </c>
      <c r="I10">
        <v>10</v>
      </c>
      <c r="J10">
        <v>42.6666666666667</v>
      </c>
      <c r="L10">
        <v>12.8</v>
      </c>
      <c r="M10">
        <v>3.4617599999999998E-2</v>
      </c>
      <c r="N10">
        <v>12.8</v>
      </c>
      <c r="O10">
        <v>3.4617599999999998E-2</v>
      </c>
    </row>
    <row r="11" spans="1:16" x14ac:dyDescent="0.35">
      <c r="A11" t="s">
        <v>39</v>
      </c>
      <c r="B11" t="s">
        <v>17</v>
      </c>
      <c r="C11" t="s">
        <v>37</v>
      </c>
      <c r="D11" t="s">
        <v>19</v>
      </c>
      <c r="E11" t="s">
        <v>20</v>
      </c>
      <c r="F11" t="s">
        <v>21</v>
      </c>
      <c r="G11" t="s">
        <v>40</v>
      </c>
      <c r="H11" t="b">
        <v>1</v>
      </c>
      <c r="I11">
        <v>10</v>
      </c>
      <c r="J11">
        <v>253.666666666667</v>
      </c>
      <c r="L11">
        <v>380.5</v>
      </c>
      <c r="M11">
        <v>3.5515869999999998E-2</v>
      </c>
      <c r="N11">
        <v>380.5</v>
      </c>
      <c r="O11">
        <v>3.5515869999999998E-2</v>
      </c>
    </row>
    <row r="12" spans="1:16" ht="29" x14ac:dyDescent="0.35">
      <c r="A12" t="s">
        <v>41</v>
      </c>
      <c r="B12" t="s">
        <v>17</v>
      </c>
      <c r="C12" t="s">
        <v>37</v>
      </c>
      <c r="D12" t="s">
        <v>19</v>
      </c>
      <c r="E12" t="s">
        <v>20</v>
      </c>
      <c r="F12" t="s">
        <v>21</v>
      </c>
      <c r="G12" t="s">
        <v>33</v>
      </c>
      <c r="H12" t="b">
        <v>1</v>
      </c>
      <c r="I12">
        <v>10</v>
      </c>
      <c r="J12">
        <v>37</v>
      </c>
      <c r="L12">
        <v>14.8</v>
      </c>
      <c r="M12">
        <v>2.816884E-3</v>
      </c>
      <c r="N12">
        <v>14.8</v>
      </c>
      <c r="O12">
        <v>2.816884E-3</v>
      </c>
      <c r="P12" s="1" t="s">
        <v>23</v>
      </c>
    </row>
    <row r="13" spans="1:16" x14ac:dyDescent="0.35">
      <c r="A13" t="s">
        <v>42</v>
      </c>
      <c r="B13" t="s">
        <v>17</v>
      </c>
      <c r="C13" t="s">
        <v>37</v>
      </c>
      <c r="D13" t="s">
        <v>19</v>
      </c>
      <c r="E13" t="s">
        <v>20</v>
      </c>
      <c r="F13" t="s">
        <v>21</v>
      </c>
      <c r="G13" t="s">
        <v>29</v>
      </c>
      <c r="H13" t="b">
        <v>1</v>
      </c>
      <c r="I13">
        <v>10</v>
      </c>
      <c r="J13">
        <v>15</v>
      </c>
      <c r="L13">
        <v>1.5</v>
      </c>
      <c r="M13">
        <v>3.3149999999999998E-4</v>
      </c>
      <c r="N13">
        <v>1.5</v>
      </c>
      <c r="O13">
        <v>3.3149999999999998E-4</v>
      </c>
    </row>
    <row r="14" spans="1:16" x14ac:dyDescent="0.35">
      <c r="A14" t="s">
        <v>43</v>
      </c>
      <c r="B14" t="s">
        <v>17</v>
      </c>
      <c r="C14" t="s">
        <v>37</v>
      </c>
      <c r="D14" t="s">
        <v>19</v>
      </c>
      <c r="E14" t="s">
        <v>20</v>
      </c>
      <c r="F14" t="s">
        <v>21</v>
      </c>
      <c r="G14" t="s">
        <v>25</v>
      </c>
      <c r="H14" t="b">
        <v>1</v>
      </c>
      <c r="I14">
        <v>10</v>
      </c>
      <c r="J14">
        <v>20.5</v>
      </c>
      <c r="K14">
        <v>3</v>
      </c>
      <c r="L14">
        <v>47.15</v>
      </c>
      <c r="M14">
        <v>1.8388499999999999E-3</v>
      </c>
      <c r="N14">
        <v>47.15</v>
      </c>
      <c r="O14">
        <v>1.8388499999999999E-3</v>
      </c>
    </row>
    <row r="15" spans="1:16" x14ac:dyDescent="0.35">
      <c r="A15" t="s">
        <v>44</v>
      </c>
      <c r="B15" t="s">
        <v>17</v>
      </c>
      <c r="C15" t="s">
        <v>37</v>
      </c>
      <c r="D15" t="s">
        <v>19</v>
      </c>
      <c r="E15" t="s">
        <v>20</v>
      </c>
      <c r="F15" t="s">
        <v>21</v>
      </c>
      <c r="G15" t="s">
        <v>45</v>
      </c>
      <c r="H15" t="b">
        <v>0</v>
      </c>
      <c r="I15">
        <v>10</v>
      </c>
      <c r="J15">
        <v>37.200000000000003</v>
      </c>
      <c r="L15">
        <v>18.600000000000001</v>
      </c>
      <c r="M15">
        <v>4.278E-5</v>
      </c>
      <c r="N15">
        <v>0</v>
      </c>
      <c r="O15">
        <v>0</v>
      </c>
    </row>
    <row r="16" spans="1:16" x14ac:dyDescent="0.35">
      <c r="A16" t="s">
        <v>46</v>
      </c>
      <c r="B16" t="s">
        <v>17</v>
      </c>
      <c r="C16" t="s">
        <v>37</v>
      </c>
      <c r="D16" t="s">
        <v>19</v>
      </c>
      <c r="E16" t="s">
        <v>20</v>
      </c>
      <c r="F16" t="s">
        <v>21</v>
      </c>
      <c r="G16" t="s">
        <v>47</v>
      </c>
      <c r="H16" t="b">
        <v>1</v>
      </c>
      <c r="I16">
        <v>10</v>
      </c>
      <c r="J16">
        <v>95.5</v>
      </c>
      <c r="L16">
        <v>38.200000000000003</v>
      </c>
      <c r="M16">
        <v>1.6540599999999999E-2</v>
      </c>
      <c r="N16">
        <v>38.200000000000003</v>
      </c>
      <c r="O16">
        <v>1.6540599999999999E-2</v>
      </c>
    </row>
    <row r="17" spans="1:16" x14ac:dyDescent="0.35">
      <c r="A17" t="s">
        <v>48</v>
      </c>
      <c r="B17" t="s">
        <v>17</v>
      </c>
      <c r="C17" t="s">
        <v>37</v>
      </c>
      <c r="D17" t="s">
        <v>19</v>
      </c>
      <c r="E17" t="s">
        <v>20</v>
      </c>
      <c r="F17" t="s">
        <v>21</v>
      </c>
      <c r="G17" t="s">
        <v>49</v>
      </c>
      <c r="H17" t="b">
        <v>1</v>
      </c>
      <c r="I17">
        <v>10</v>
      </c>
      <c r="J17">
        <v>36</v>
      </c>
      <c r="L17">
        <v>3.6</v>
      </c>
      <c r="M17">
        <v>9.3599999999999998E-4</v>
      </c>
      <c r="N17">
        <v>3.6</v>
      </c>
      <c r="O17">
        <v>9.3599999999999998E-4</v>
      </c>
    </row>
    <row r="18" spans="1:16" ht="29" x14ac:dyDescent="0.35">
      <c r="A18" t="s">
        <v>50</v>
      </c>
      <c r="B18" t="s">
        <v>51</v>
      </c>
      <c r="C18" t="s">
        <v>52</v>
      </c>
      <c r="D18" t="s">
        <v>19</v>
      </c>
      <c r="E18" t="s">
        <v>20</v>
      </c>
      <c r="F18" t="s">
        <v>21</v>
      </c>
      <c r="G18" t="s">
        <v>33</v>
      </c>
      <c r="H18" t="b">
        <v>1</v>
      </c>
      <c r="I18">
        <v>10</v>
      </c>
      <c r="J18">
        <v>35.875</v>
      </c>
      <c r="L18">
        <v>57.4</v>
      </c>
      <c r="M18">
        <v>1.0924942E-2</v>
      </c>
      <c r="N18">
        <v>57.4</v>
      </c>
      <c r="O18">
        <v>1.0924942E-2</v>
      </c>
      <c r="P18" s="1" t="s">
        <v>23</v>
      </c>
    </row>
    <row r="19" spans="1:16" x14ac:dyDescent="0.35">
      <c r="A19" t="s">
        <v>53</v>
      </c>
      <c r="B19" t="s">
        <v>51</v>
      </c>
      <c r="C19" t="s">
        <v>52</v>
      </c>
      <c r="D19" t="s">
        <v>19</v>
      </c>
      <c r="E19" t="s">
        <v>20</v>
      </c>
      <c r="F19" t="s">
        <v>21</v>
      </c>
      <c r="G19" t="s">
        <v>54</v>
      </c>
      <c r="H19" t="b">
        <v>1</v>
      </c>
      <c r="I19">
        <v>10</v>
      </c>
      <c r="J19">
        <v>16</v>
      </c>
      <c r="L19">
        <v>4.8</v>
      </c>
      <c r="M19">
        <v>1.776E-3</v>
      </c>
      <c r="N19">
        <v>4.8</v>
      </c>
      <c r="O19">
        <v>1.776E-3</v>
      </c>
    </row>
    <row r="20" spans="1:16" ht="29" x14ac:dyDescent="0.35">
      <c r="A20" t="s">
        <v>55</v>
      </c>
      <c r="B20" t="s">
        <v>51</v>
      </c>
      <c r="C20" t="s">
        <v>52</v>
      </c>
      <c r="D20" t="s">
        <v>19</v>
      </c>
      <c r="E20" t="s">
        <v>20</v>
      </c>
      <c r="F20" t="s">
        <v>21</v>
      </c>
      <c r="G20" s="1" t="s">
        <v>56</v>
      </c>
      <c r="H20" t="b">
        <v>0</v>
      </c>
      <c r="I20">
        <v>10</v>
      </c>
      <c r="J20">
        <v>24.75</v>
      </c>
      <c r="L20">
        <v>9.9</v>
      </c>
      <c r="M20">
        <v>4.4549999999999998E-3</v>
      </c>
      <c r="N20">
        <v>0</v>
      </c>
      <c r="O20">
        <v>0</v>
      </c>
    </row>
    <row r="21" spans="1:16" x14ac:dyDescent="0.35">
      <c r="A21" t="s">
        <v>57</v>
      </c>
      <c r="B21" t="s">
        <v>51</v>
      </c>
      <c r="C21" t="s">
        <v>52</v>
      </c>
      <c r="D21" t="s">
        <v>19</v>
      </c>
      <c r="E21" t="s">
        <v>20</v>
      </c>
      <c r="F21" t="s">
        <v>21</v>
      </c>
      <c r="G21" t="s">
        <v>45</v>
      </c>
      <c r="H21" t="b">
        <v>0</v>
      </c>
      <c r="I21">
        <v>10</v>
      </c>
      <c r="J21">
        <v>32</v>
      </c>
      <c r="L21">
        <v>3.2</v>
      </c>
      <c r="M21">
        <v>7.3599999999999998E-6</v>
      </c>
      <c r="N21">
        <v>0</v>
      </c>
      <c r="O21">
        <v>0</v>
      </c>
    </row>
    <row r="22" spans="1:16" x14ac:dyDescent="0.35">
      <c r="A22" t="s">
        <v>58</v>
      </c>
      <c r="B22" t="s">
        <v>51</v>
      </c>
      <c r="C22" t="s">
        <v>52</v>
      </c>
      <c r="D22" t="s">
        <v>19</v>
      </c>
      <c r="E22" t="s">
        <v>20</v>
      </c>
      <c r="F22" t="s">
        <v>21</v>
      </c>
      <c r="G22" t="s">
        <v>25</v>
      </c>
      <c r="H22" t="b">
        <v>1</v>
      </c>
      <c r="I22">
        <v>10</v>
      </c>
      <c r="J22">
        <v>18</v>
      </c>
      <c r="L22">
        <v>1.8</v>
      </c>
      <c r="M22">
        <v>7.0199999999999999E-5</v>
      </c>
      <c r="N22">
        <v>1.8</v>
      </c>
      <c r="O22">
        <v>7.0199999999999999E-5</v>
      </c>
    </row>
    <row r="23" spans="1:16" ht="29" x14ac:dyDescent="0.35">
      <c r="A23" t="s">
        <v>59</v>
      </c>
      <c r="B23" t="s">
        <v>51</v>
      </c>
      <c r="C23" t="s">
        <v>60</v>
      </c>
      <c r="D23" t="s">
        <v>19</v>
      </c>
      <c r="E23" t="s">
        <v>20</v>
      </c>
      <c r="F23" t="s">
        <v>21</v>
      </c>
      <c r="G23" t="s">
        <v>33</v>
      </c>
      <c r="H23" t="b">
        <v>1</v>
      </c>
      <c r="I23">
        <v>10</v>
      </c>
      <c r="J23">
        <v>46.909090909090899</v>
      </c>
      <c r="L23">
        <v>51.6</v>
      </c>
      <c r="M23">
        <v>9.8210280000000007E-3</v>
      </c>
      <c r="N23">
        <v>51.6</v>
      </c>
      <c r="O23">
        <v>9.8210280000000007E-3</v>
      </c>
      <c r="P23" s="1" t="s">
        <v>23</v>
      </c>
    </row>
    <row r="24" spans="1:16" x14ac:dyDescent="0.35">
      <c r="A24" t="s">
        <v>61</v>
      </c>
      <c r="B24" t="s">
        <v>51</v>
      </c>
      <c r="C24" t="s">
        <v>60</v>
      </c>
      <c r="D24" t="s">
        <v>19</v>
      </c>
      <c r="E24" t="s">
        <v>20</v>
      </c>
      <c r="F24" t="s">
        <v>21</v>
      </c>
      <c r="G24" t="s">
        <v>35</v>
      </c>
      <c r="H24" t="b">
        <v>1</v>
      </c>
      <c r="I24">
        <v>10</v>
      </c>
      <c r="J24">
        <v>16</v>
      </c>
      <c r="L24">
        <v>1.6</v>
      </c>
      <c r="M24">
        <v>4.3271999999999998E-3</v>
      </c>
      <c r="N24">
        <v>1.6</v>
      </c>
      <c r="O24">
        <v>4.3271999999999998E-3</v>
      </c>
    </row>
    <row r="25" spans="1:16" x14ac:dyDescent="0.35">
      <c r="A25" t="s">
        <v>62</v>
      </c>
      <c r="B25" t="s">
        <v>51</v>
      </c>
      <c r="C25" t="s">
        <v>60</v>
      </c>
      <c r="D25" t="s">
        <v>19</v>
      </c>
      <c r="E25" t="s">
        <v>20</v>
      </c>
      <c r="F25" t="s">
        <v>21</v>
      </c>
      <c r="G25" t="s">
        <v>27</v>
      </c>
      <c r="H25" t="b">
        <v>1</v>
      </c>
      <c r="I25">
        <v>10</v>
      </c>
      <c r="J25">
        <v>21.266666666666701</v>
      </c>
      <c r="L25">
        <v>31.9</v>
      </c>
      <c r="M25">
        <v>3.509E-3</v>
      </c>
      <c r="N25">
        <v>31.9</v>
      </c>
      <c r="O25">
        <v>3.509E-3</v>
      </c>
    </row>
    <row r="26" spans="1:16" x14ac:dyDescent="0.35">
      <c r="A26" t="s">
        <v>63</v>
      </c>
      <c r="B26" t="s">
        <v>51</v>
      </c>
      <c r="C26" t="s">
        <v>60</v>
      </c>
      <c r="D26" t="s">
        <v>19</v>
      </c>
      <c r="E26" t="s">
        <v>20</v>
      </c>
      <c r="F26" t="s">
        <v>21</v>
      </c>
      <c r="G26" t="s">
        <v>31</v>
      </c>
      <c r="H26" t="b">
        <v>0</v>
      </c>
      <c r="I26">
        <v>10</v>
      </c>
      <c r="J26">
        <v>264</v>
      </c>
      <c r="L26">
        <v>26.4</v>
      </c>
      <c r="M26">
        <v>5.94E-5</v>
      </c>
      <c r="N26">
        <v>0</v>
      </c>
      <c r="O26">
        <v>0</v>
      </c>
    </row>
    <row r="27" spans="1:16" x14ac:dyDescent="0.35">
      <c r="A27" t="s">
        <v>64</v>
      </c>
      <c r="B27" t="s">
        <v>51</v>
      </c>
      <c r="C27" t="s">
        <v>60</v>
      </c>
      <c r="D27" t="s">
        <v>19</v>
      </c>
      <c r="E27" t="s">
        <v>20</v>
      </c>
      <c r="F27" t="s">
        <v>21</v>
      </c>
      <c r="G27" t="s">
        <v>40</v>
      </c>
      <c r="H27" t="b">
        <v>1</v>
      </c>
      <c r="I27">
        <v>10</v>
      </c>
      <c r="J27">
        <v>307.0625</v>
      </c>
      <c r="L27">
        <v>491.3</v>
      </c>
      <c r="M27">
        <v>4.5857941999999999E-2</v>
      </c>
      <c r="N27">
        <v>491.3</v>
      </c>
      <c r="O27">
        <v>4.5857941999999999E-2</v>
      </c>
    </row>
    <row r="28" spans="1:16" x14ac:dyDescent="0.35">
      <c r="A28" t="s">
        <v>65</v>
      </c>
      <c r="B28" t="s">
        <v>51</v>
      </c>
      <c r="C28" t="s">
        <v>60</v>
      </c>
      <c r="D28" t="s">
        <v>19</v>
      </c>
      <c r="E28" t="s">
        <v>20</v>
      </c>
      <c r="F28" t="s">
        <v>21</v>
      </c>
      <c r="G28" t="s">
        <v>45</v>
      </c>
      <c r="H28" t="b">
        <v>0</v>
      </c>
      <c r="I28">
        <v>10</v>
      </c>
      <c r="J28">
        <v>28</v>
      </c>
      <c r="L28">
        <v>5.6</v>
      </c>
      <c r="M28">
        <v>1.288E-5</v>
      </c>
      <c r="N28">
        <v>0</v>
      </c>
      <c r="O28">
        <v>0</v>
      </c>
    </row>
    <row r="29" spans="1:16" x14ac:dyDescent="0.35">
      <c r="A29" t="s">
        <v>66</v>
      </c>
      <c r="B29" t="s">
        <v>51</v>
      </c>
      <c r="C29" t="s">
        <v>60</v>
      </c>
      <c r="D29" t="s">
        <v>19</v>
      </c>
      <c r="E29" t="s">
        <v>20</v>
      </c>
      <c r="F29" t="s">
        <v>21</v>
      </c>
      <c r="G29" t="s">
        <v>25</v>
      </c>
      <c r="H29" t="b">
        <v>1</v>
      </c>
      <c r="I29">
        <v>10</v>
      </c>
      <c r="J29">
        <v>14</v>
      </c>
      <c r="L29">
        <v>1.4</v>
      </c>
      <c r="M29">
        <v>5.4599999999999999E-5</v>
      </c>
      <c r="N29">
        <v>1.4</v>
      </c>
      <c r="O29">
        <v>5.4599999999999999E-5</v>
      </c>
    </row>
    <row r="30" spans="1:16" x14ac:dyDescent="0.35">
      <c r="A30" t="s">
        <v>67</v>
      </c>
      <c r="B30" t="s">
        <v>51</v>
      </c>
      <c r="C30" t="s">
        <v>60</v>
      </c>
      <c r="D30" t="s">
        <v>19</v>
      </c>
      <c r="E30" t="s">
        <v>20</v>
      </c>
      <c r="F30" t="s">
        <v>21</v>
      </c>
      <c r="G30" t="s">
        <v>29</v>
      </c>
      <c r="H30" t="b">
        <v>1</v>
      </c>
      <c r="I30">
        <v>10</v>
      </c>
      <c r="J30">
        <v>19.5</v>
      </c>
      <c r="L30">
        <v>3.9</v>
      </c>
      <c r="M30">
        <v>8.6189999999999997E-4</v>
      </c>
      <c r="N30">
        <v>3.9</v>
      </c>
      <c r="O30">
        <v>8.6189999999999997E-4</v>
      </c>
    </row>
    <row r="31" spans="1:16" x14ac:dyDescent="0.35">
      <c r="A31" t="s">
        <v>68</v>
      </c>
      <c r="B31" t="s">
        <v>51</v>
      </c>
      <c r="C31" t="s">
        <v>60</v>
      </c>
      <c r="D31" t="s">
        <v>19</v>
      </c>
      <c r="E31" t="s">
        <v>20</v>
      </c>
      <c r="F31" t="s">
        <v>21</v>
      </c>
      <c r="G31" t="s">
        <v>69</v>
      </c>
      <c r="H31" t="b">
        <v>1</v>
      </c>
      <c r="I31">
        <v>10</v>
      </c>
      <c r="J31">
        <v>21</v>
      </c>
      <c r="L31">
        <v>2.1</v>
      </c>
      <c r="M31">
        <v>1.2088439999999999E-3</v>
      </c>
      <c r="N31">
        <v>2.1</v>
      </c>
      <c r="O31">
        <v>1.2088439999999999E-3</v>
      </c>
    </row>
    <row r="32" spans="1:16" ht="29" x14ac:dyDescent="0.35">
      <c r="A32" t="s">
        <v>70</v>
      </c>
      <c r="B32" t="s">
        <v>51</v>
      </c>
      <c r="C32" t="s">
        <v>71</v>
      </c>
      <c r="D32" t="s">
        <v>19</v>
      </c>
      <c r="E32" t="s">
        <v>20</v>
      </c>
      <c r="F32" t="s">
        <v>21</v>
      </c>
      <c r="G32" t="s">
        <v>22</v>
      </c>
      <c r="H32" t="b">
        <v>1</v>
      </c>
      <c r="I32">
        <v>10</v>
      </c>
      <c r="J32">
        <v>26.5</v>
      </c>
      <c r="L32">
        <v>21.2</v>
      </c>
      <c r="M32">
        <v>1.522129714104E-3</v>
      </c>
      <c r="N32">
        <v>21.2</v>
      </c>
      <c r="O32">
        <v>1.522129714104E-3</v>
      </c>
      <c r="P32" s="1" t="s">
        <v>23</v>
      </c>
    </row>
    <row r="33" spans="1:16" ht="29" x14ac:dyDescent="0.35">
      <c r="A33" t="s">
        <v>72</v>
      </c>
      <c r="B33" t="s">
        <v>51</v>
      </c>
      <c r="C33" t="s">
        <v>71</v>
      </c>
      <c r="D33" t="s">
        <v>19</v>
      </c>
      <c r="E33" t="s">
        <v>20</v>
      </c>
      <c r="F33" t="s">
        <v>21</v>
      </c>
      <c r="G33" t="s">
        <v>33</v>
      </c>
      <c r="H33" t="b">
        <v>1</v>
      </c>
      <c r="I33">
        <v>10</v>
      </c>
      <c r="J33">
        <v>48.4</v>
      </c>
      <c r="K33">
        <v>206</v>
      </c>
      <c r="L33">
        <v>1093.8399999999999</v>
      </c>
      <c r="M33">
        <v>0.20819056720000001</v>
      </c>
      <c r="N33">
        <v>1093.8399999999999</v>
      </c>
      <c r="O33">
        <v>0.20819056720000001</v>
      </c>
      <c r="P33" s="1" t="s">
        <v>23</v>
      </c>
    </row>
    <row r="34" spans="1:16" x14ac:dyDescent="0.35">
      <c r="A34" t="s">
        <v>73</v>
      </c>
      <c r="B34" t="s">
        <v>51</v>
      </c>
      <c r="C34" t="s">
        <v>71</v>
      </c>
      <c r="D34" t="s">
        <v>19</v>
      </c>
      <c r="E34" t="s">
        <v>20</v>
      </c>
      <c r="F34" t="s">
        <v>21</v>
      </c>
      <c r="G34" t="s">
        <v>25</v>
      </c>
      <c r="H34" t="b">
        <v>1</v>
      </c>
      <c r="I34">
        <v>10</v>
      </c>
      <c r="J34">
        <v>3.3333333333333299</v>
      </c>
      <c r="L34">
        <v>3</v>
      </c>
      <c r="M34">
        <v>1.17E-4</v>
      </c>
      <c r="N34">
        <v>3</v>
      </c>
      <c r="O34">
        <v>1.17E-4</v>
      </c>
    </row>
    <row r="35" spans="1:16" x14ac:dyDescent="0.35">
      <c r="A35" t="s">
        <v>74</v>
      </c>
      <c r="B35" t="s">
        <v>51</v>
      </c>
      <c r="C35" t="s">
        <v>71</v>
      </c>
      <c r="D35" t="s">
        <v>19</v>
      </c>
      <c r="E35" t="s">
        <v>20</v>
      </c>
      <c r="F35" t="s">
        <v>21</v>
      </c>
      <c r="G35" t="s">
        <v>31</v>
      </c>
      <c r="H35" t="b">
        <v>0</v>
      </c>
      <c r="I35">
        <v>10</v>
      </c>
      <c r="J35">
        <v>23</v>
      </c>
      <c r="L35">
        <v>4.5999999999999996</v>
      </c>
      <c r="M35">
        <v>1.0349999999999999E-5</v>
      </c>
      <c r="N35">
        <v>0</v>
      </c>
      <c r="O35">
        <v>0</v>
      </c>
    </row>
    <row r="36" spans="1:16" ht="29" x14ac:dyDescent="0.35">
      <c r="A36" t="s">
        <v>75</v>
      </c>
      <c r="B36" t="s">
        <v>51</v>
      </c>
      <c r="C36" t="s">
        <v>76</v>
      </c>
      <c r="D36" t="s">
        <v>19</v>
      </c>
      <c r="E36" t="s">
        <v>20</v>
      </c>
      <c r="F36" t="s">
        <v>21</v>
      </c>
      <c r="G36" t="s">
        <v>22</v>
      </c>
      <c r="H36" t="b">
        <v>1</v>
      </c>
      <c r="I36">
        <v>10</v>
      </c>
      <c r="J36">
        <v>37.200000000000003</v>
      </c>
      <c r="L36">
        <v>18.600000000000001</v>
      </c>
      <c r="M36">
        <v>1.335453428412E-3</v>
      </c>
      <c r="N36">
        <v>18.600000000000001</v>
      </c>
      <c r="O36">
        <v>1.335453428412E-3</v>
      </c>
      <c r="P36" s="1" t="s">
        <v>23</v>
      </c>
    </row>
    <row r="37" spans="1:16" ht="29" x14ac:dyDescent="0.35">
      <c r="A37" t="s">
        <v>77</v>
      </c>
      <c r="B37" t="s">
        <v>51</v>
      </c>
      <c r="C37" t="s">
        <v>76</v>
      </c>
      <c r="D37" t="s">
        <v>19</v>
      </c>
      <c r="E37" t="s">
        <v>20</v>
      </c>
      <c r="F37" t="s">
        <v>21</v>
      </c>
      <c r="G37" t="s">
        <v>33</v>
      </c>
      <c r="H37" t="b">
        <v>1</v>
      </c>
      <c r="I37">
        <v>10</v>
      </c>
      <c r="J37">
        <v>44.9444444444444</v>
      </c>
      <c r="L37">
        <v>80.900000000000006</v>
      </c>
      <c r="M37">
        <v>1.5397697E-2</v>
      </c>
      <c r="N37">
        <v>80.900000000000006</v>
      </c>
      <c r="O37">
        <v>1.5397697E-2</v>
      </c>
      <c r="P37" s="1" t="s">
        <v>23</v>
      </c>
    </row>
    <row r="38" spans="1:16" ht="29" x14ac:dyDescent="0.35">
      <c r="A38" t="s">
        <v>78</v>
      </c>
      <c r="B38" t="s">
        <v>51</v>
      </c>
      <c r="C38" t="s">
        <v>76</v>
      </c>
      <c r="D38" t="s">
        <v>19</v>
      </c>
      <c r="E38" t="s">
        <v>20</v>
      </c>
      <c r="F38" t="s">
        <v>21</v>
      </c>
      <c r="G38" s="1" t="s">
        <v>56</v>
      </c>
      <c r="H38" t="b">
        <v>0</v>
      </c>
      <c r="I38">
        <v>10</v>
      </c>
      <c r="J38">
        <v>13</v>
      </c>
      <c r="L38">
        <v>2.6</v>
      </c>
      <c r="M38">
        <v>1.17E-3</v>
      </c>
      <c r="N38">
        <v>0</v>
      </c>
      <c r="O38">
        <v>0</v>
      </c>
    </row>
    <row r="39" spans="1:16" x14ac:dyDescent="0.35">
      <c r="A39" t="s">
        <v>79</v>
      </c>
      <c r="B39" t="s">
        <v>51</v>
      </c>
      <c r="C39" t="s">
        <v>76</v>
      </c>
      <c r="D39" t="s">
        <v>19</v>
      </c>
      <c r="E39" t="s">
        <v>20</v>
      </c>
      <c r="F39" t="s">
        <v>21</v>
      </c>
      <c r="G39" t="s">
        <v>54</v>
      </c>
      <c r="H39" t="b">
        <v>1</v>
      </c>
      <c r="I39">
        <v>10</v>
      </c>
      <c r="J39">
        <v>13.5833333333333</v>
      </c>
      <c r="L39">
        <v>16.3</v>
      </c>
      <c r="M39">
        <v>6.0309999999999999E-3</v>
      </c>
      <c r="N39">
        <v>16.3</v>
      </c>
      <c r="O39">
        <v>6.0309999999999999E-3</v>
      </c>
    </row>
    <row r="40" spans="1:16" x14ac:dyDescent="0.35">
      <c r="A40" t="s">
        <v>80</v>
      </c>
      <c r="B40" t="s">
        <v>51</v>
      </c>
      <c r="C40" t="s">
        <v>76</v>
      </c>
      <c r="D40" t="s">
        <v>19</v>
      </c>
      <c r="E40" t="s">
        <v>20</v>
      </c>
      <c r="F40" t="s">
        <v>21</v>
      </c>
      <c r="G40" t="s">
        <v>69</v>
      </c>
      <c r="H40" t="b">
        <v>1</v>
      </c>
      <c r="I40">
        <v>10</v>
      </c>
      <c r="J40">
        <v>19</v>
      </c>
      <c r="L40">
        <v>3.8</v>
      </c>
      <c r="M40">
        <v>2.187432E-3</v>
      </c>
      <c r="N40">
        <v>3.8</v>
      </c>
      <c r="O40">
        <v>2.187432E-3</v>
      </c>
    </row>
    <row r="41" spans="1:16" x14ac:dyDescent="0.35">
      <c r="A41" t="s">
        <v>81</v>
      </c>
      <c r="B41" t="s">
        <v>51</v>
      </c>
      <c r="C41" t="s">
        <v>76</v>
      </c>
      <c r="D41" t="s">
        <v>19</v>
      </c>
      <c r="E41" t="s">
        <v>20</v>
      </c>
      <c r="F41" t="s">
        <v>21</v>
      </c>
      <c r="G41" t="s">
        <v>31</v>
      </c>
      <c r="H41" t="b">
        <v>0</v>
      </c>
      <c r="I41">
        <v>10</v>
      </c>
      <c r="J41">
        <v>160</v>
      </c>
      <c r="L41">
        <v>16</v>
      </c>
      <c r="M41">
        <v>3.6000000000000001E-5</v>
      </c>
      <c r="N41">
        <v>0</v>
      </c>
      <c r="O41">
        <v>0</v>
      </c>
    </row>
    <row r="42" spans="1:16" ht="29" x14ac:dyDescent="0.35">
      <c r="A42" t="s">
        <v>82</v>
      </c>
      <c r="B42" t="s">
        <v>51</v>
      </c>
      <c r="C42" t="s">
        <v>83</v>
      </c>
      <c r="D42" t="s">
        <v>19</v>
      </c>
      <c r="E42" t="s">
        <v>20</v>
      </c>
      <c r="F42" t="s">
        <v>21</v>
      </c>
      <c r="G42" t="s">
        <v>33</v>
      </c>
      <c r="H42" t="b">
        <v>1</v>
      </c>
      <c r="I42">
        <v>10</v>
      </c>
      <c r="J42">
        <v>46.15</v>
      </c>
      <c r="K42">
        <v>58</v>
      </c>
      <c r="L42">
        <v>359.97</v>
      </c>
      <c r="M42">
        <v>6.8513090099999993E-2</v>
      </c>
      <c r="N42">
        <v>359.97</v>
      </c>
      <c r="O42">
        <v>6.8513090099999993E-2</v>
      </c>
      <c r="P42" s="1" t="s">
        <v>23</v>
      </c>
    </row>
    <row r="43" spans="1:16" x14ac:dyDescent="0.35">
      <c r="A43" t="s">
        <v>84</v>
      </c>
      <c r="B43" t="s">
        <v>51</v>
      </c>
      <c r="C43" t="s">
        <v>83</v>
      </c>
      <c r="D43" t="s">
        <v>19</v>
      </c>
      <c r="E43" t="s">
        <v>20</v>
      </c>
      <c r="F43" t="s">
        <v>21</v>
      </c>
      <c r="G43" t="s">
        <v>54</v>
      </c>
      <c r="H43" t="b">
        <v>1</v>
      </c>
      <c r="I43">
        <v>10</v>
      </c>
      <c r="J43">
        <v>17.100000000000001</v>
      </c>
      <c r="L43">
        <v>34.200000000000003</v>
      </c>
      <c r="M43">
        <v>1.2654E-2</v>
      </c>
      <c r="N43">
        <v>34.200000000000003</v>
      </c>
      <c r="O43">
        <v>1.2654E-2</v>
      </c>
    </row>
    <row r="44" spans="1:16" ht="29" x14ac:dyDescent="0.35">
      <c r="A44" t="s">
        <v>85</v>
      </c>
      <c r="B44" t="s">
        <v>51</v>
      </c>
      <c r="C44" t="s">
        <v>83</v>
      </c>
      <c r="D44" t="s">
        <v>19</v>
      </c>
      <c r="E44" t="s">
        <v>20</v>
      </c>
      <c r="F44" t="s">
        <v>21</v>
      </c>
      <c r="G44" t="s">
        <v>22</v>
      </c>
      <c r="H44" t="b">
        <v>1</v>
      </c>
      <c r="I44">
        <v>10</v>
      </c>
      <c r="J44">
        <v>29.8571428571429</v>
      </c>
      <c r="L44">
        <v>20.9</v>
      </c>
      <c r="M44">
        <v>1.5005901426780001E-3</v>
      </c>
      <c r="N44">
        <v>20.9</v>
      </c>
      <c r="O44">
        <v>1.5005901426780001E-3</v>
      </c>
      <c r="P44" s="1" t="s">
        <v>23</v>
      </c>
    </row>
    <row r="45" spans="1:16" x14ac:dyDescent="0.35">
      <c r="A45" t="s">
        <v>86</v>
      </c>
      <c r="B45" t="s">
        <v>51</v>
      </c>
      <c r="C45" t="s">
        <v>83</v>
      </c>
      <c r="D45" t="s">
        <v>19</v>
      </c>
      <c r="E45" t="s">
        <v>20</v>
      </c>
      <c r="F45" t="s">
        <v>21</v>
      </c>
      <c r="G45" t="s">
        <v>69</v>
      </c>
      <c r="H45" t="b">
        <v>1</v>
      </c>
      <c r="I45">
        <v>10</v>
      </c>
      <c r="J45">
        <v>18.5</v>
      </c>
      <c r="L45">
        <v>7.4</v>
      </c>
      <c r="M45">
        <v>4.2597360000000001E-3</v>
      </c>
      <c r="N45">
        <v>7.4</v>
      </c>
      <c r="O45">
        <v>4.2597360000000001E-3</v>
      </c>
    </row>
    <row r="46" spans="1:16" ht="29" x14ac:dyDescent="0.35">
      <c r="A46" t="s">
        <v>87</v>
      </c>
      <c r="B46" t="s">
        <v>88</v>
      </c>
      <c r="C46" t="s">
        <v>89</v>
      </c>
      <c r="D46" t="s">
        <v>19</v>
      </c>
      <c r="E46" t="s">
        <v>20</v>
      </c>
      <c r="F46" t="s">
        <v>21</v>
      </c>
      <c r="G46" t="s">
        <v>33</v>
      </c>
      <c r="H46" t="b">
        <v>1</v>
      </c>
      <c r="I46">
        <v>10</v>
      </c>
      <c r="J46">
        <v>69.099999999999994</v>
      </c>
      <c r="K46">
        <v>37</v>
      </c>
      <c r="L46">
        <v>393.87</v>
      </c>
      <c r="M46">
        <v>7.4965277100000005E-2</v>
      </c>
      <c r="N46">
        <v>393.87</v>
      </c>
      <c r="O46">
        <v>7.4965277100000005E-2</v>
      </c>
      <c r="P46" s="1" t="s">
        <v>23</v>
      </c>
    </row>
    <row r="47" spans="1:16" ht="29" x14ac:dyDescent="0.35">
      <c r="A47" t="s">
        <v>90</v>
      </c>
      <c r="B47" t="s">
        <v>88</v>
      </c>
      <c r="C47" t="s">
        <v>89</v>
      </c>
      <c r="D47" t="s">
        <v>19</v>
      </c>
      <c r="E47" t="s">
        <v>20</v>
      </c>
      <c r="F47" t="s">
        <v>21</v>
      </c>
      <c r="G47" t="s">
        <v>22</v>
      </c>
      <c r="H47" t="b">
        <v>1</v>
      </c>
      <c r="I47">
        <v>10</v>
      </c>
      <c r="J47">
        <v>18.8333333333333</v>
      </c>
      <c r="L47">
        <v>11.3</v>
      </c>
      <c r="M47">
        <v>8.11323857046E-4</v>
      </c>
      <c r="N47">
        <v>11.3</v>
      </c>
      <c r="O47">
        <v>8.11323857046E-4</v>
      </c>
      <c r="P47" s="1" t="s">
        <v>23</v>
      </c>
    </row>
    <row r="48" spans="1:16" x14ac:dyDescent="0.35">
      <c r="A48" t="s">
        <v>91</v>
      </c>
      <c r="B48" t="s">
        <v>88</v>
      </c>
      <c r="C48" t="s">
        <v>89</v>
      </c>
      <c r="D48" t="s">
        <v>19</v>
      </c>
      <c r="E48" t="s">
        <v>20</v>
      </c>
      <c r="F48" t="s">
        <v>21</v>
      </c>
      <c r="G48" t="s">
        <v>25</v>
      </c>
      <c r="H48" t="b">
        <v>1</v>
      </c>
      <c r="I48">
        <v>10</v>
      </c>
      <c r="J48">
        <v>5.1428571428571397</v>
      </c>
      <c r="L48">
        <v>3.6</v>
      </c>
      <c r="M48">
        <v>1.404E-4</v>
      </c>
      <c r="N48">
        <v>3.6</v>
      </c>
      <c r="O48">
        <v>1.404E-4</v>
      </c>
    </row>
    <row r="49" spans="1:16" ht="29" x14ac:dyDescent="0.35">
      <c r="A49" t="s">
        <v>92</v>
      </c>
      <c r="B49" t="s">
        <v>88</v>
      </c>
      <c r="C49" t="s">
        <v>93</v>
      </c>
      <c r="D49" t="s">
        <v>19</v>
      </c>
      <c r="E49" t="s">
        <v>20</v>
      </c>
      <c r="F49" t="s">
        <v>94</v>
      </c>
      <c r="G49" t="s">
        <v>33</v>
      </c>
      <c r="H49" t="b">
        <v>1</v>
      </c>
      <c r="I49">
        <v>10</v>
      </c>
      <c r="J49">
        <v>54.3</v>
      </c>
      <c r="K49">
        <v>27</v>
      </c>
      <c r="L49">
        <v>8017.6702708333296</v>
      </c>
      <c r="M49">
        <v>1.5260031826477101</v>
      </c>
      <c r="N49">
        <v>8017.6702708333296</v>
      </c>
      <c r="O49">
        <v>1.5260031826477101</v>
      </c>
      <c r="P49" s="1" t="s">
        <v>23</v>
      </c>
    </row>
    <row r="50" spans="1:16" x14ac:dyDescent="0.35">
      <c r="A50" t="s">
        <v>95</v>
      </c>
      <c r="B50" t="s">
        <v>88</v>
      </c>
      <c r="C50" t="s">
        <v>93</v>
      </c>
      <c r="D50" t="s">
        <v>19</v>
      </c>
      <c r="E50" t="s">
        <v>20</v>
      </c>
      <c r="F50" t="s">
        <v>94</v>
      </c>
      <c r="G50" t="s">
        <v>25</v>
      </c>
      <c r="H50" t="b">
        <v>1</v>
      </c>
      <c r="I50">
        <v>10</v>
      </c>
      <c r="J50">
        <v>4.28571428571429</v>
      </c>
      <c r="L50">
        <v>188.495833333333</v>
      </c>
      <c r="M50">
        <v>7.3513374999999897E-3</v>
      </c>
      <c r="N50">
        <v>188.495833333333</v>
      </c>
      <c r="O50">
        <v>7.3513374999999897E-3</v>
      </c>
    </row>
    <row r="51" spans="1:16" ht="29" x14ac:dyDescent="0.35">
      <c r="A51" t="s">
        <v>96</v>
      </c>
      <c r="B51" t="s">
        <v>88</v>
      </c>
      <c r="C51" t="s">
        <v>97</v>
      </c>
      <c r="D51" t="s">
        <v>19</v>
      </c>
      <c r="E51" t="s">
        <v>20</v>
      </c>
      <c r="F51" t="s">
        <v>94</v>
      </c>
      <c r="G51" t="s">
        <v>33</v>
      </c>
      <c r="H51" t="b">
        <v>1</v>
      </c>
      <c r="I51">
        <v>10</v>
      </c>
      <c r="J51">
        <v>45.25</v>
      </c>
      <c r="K51">
        <v>48</v>
      </c>
      <c r="L51">
        <v>9666.69465277778</v>
      </c>
      <c r="M51">
        <v>1.8398619932631901</v>
      </c>
      <c r="N51">
        <v>9666.69465277778</v>
      </c>
      <c r="O51">
        <v>1.8398619932631901</v>
      </c>
      <c r="P51" s="1" t="s">
        <v>23</v>
      </c>
    </row>
    <row r="52" spans="1:16" ht="29" x14ac:dyDescent="0.35">
      <c r="A52" t="s">
        <v>98</v>
      </c>
      <c r="B52" t="s">
        <v>88</v>
      </c>
      <c r="C52" t="s">
        <v>97</v>
      </c>
      <c r="D52" t="s">
        <v>19</v>
      </c>
      <c r="E52" t="s">
        <v>20</v>
      </c>
      <c r="F52" t="s">
        <v>94</v>
      </c>
      <c r="G52" t="s">
        <v>22</v>
      </c>
      <c r="H52" t="b">
        <v>1</v>
      </c>
      <c r="I52">
        <v>10</v>
      </c>
      <c r="J52">
        <v>15</v>
      </c>
      <c r="L52">
        <v>94.247916666666697</v>
      </c>
      <c r="M52">
        <v>6.76686577597787E-3</v>
      </c>
      <c r="N52">
        <v>94.247916666666598</v>
      </c>
      <c r="O52">
        <v>6.76686577597787E-3</v>
      </c>
      <c r="P52" s="1" t="s">
        <v>23</v>
      </c>
    </row>
    <row r="53" spans="1:16" x14ac:dyDescent="0.35">
      <c r="A53" t="s">
        <v>99</v>
      </c>
      <c r="B53" t="s">
        <v>88</v>
      </c>
      <c r="C53" t="s">
        <v>97</v>
      </c>
      <c r="D53" t="s">
        <v>19</v>
      </c>
      <c r="E53" t="s">
        <v>20</v>
      </c>
      <c r="F53" t="s">
        <v>94</v>
      </c>
      <c r="G53" t="s">
        <v>25</v>
      </c>
      <c r="H53" t="b">
        <v>1</v>
      </c>
      <c r="I53">
        <v>10</v>
      </c>
      <c r="J53">
        <v>4.6363636363636402</v>
      </c>
      <c r="L53">
        <v>160.221458333333</v>
      </c>
      <c r="M53">
        <v>6.2486368749999901E-3</v>
      </c>
      <c r="N53">
        <v>160.221458333333</v>
      </c>
      <c r="O53">
        <v>6.2486368749999901E-3</v>
      </c>
    </row>
    <row r="54" spans="1:16" x14ac:dyDescent="0.35">
      <c r="A54" t="s">
        <v>100</v>
      </c>
      <c r="B54" t="s">
        <v>88</v>
      </c>
      <c r="C54" t="s">
        <v>97</v>
      </c>
      <c r="D54" t="s">
        <v>19</v>
      </c>
      <c r="E54" t="s">
        <v>20</v>
      </c>
      <c r="F54" t="s">
        <v>94</v>
      </c>
      <c r="G54" t="s">
        <v>35</v>
      </c>
      <c r="H54" t="b">
        <v>1</v>
      </c>
      <c r="I54">
        <v>10</v>
      </c>
      <c r="J54">
        <v>32</v>
      </c>
      <c r="L54">
        <v>100.531111111111</v>
      </c>
      <c r="M54">
        <v>0.27188638999999998</v>
      </c>
      <c r="N54">
        <v>100.531111111111</v>
      </c>
      <c r="O54">
        <v>0.27188638999999998</v>
      </c>
    </row>
    <row r="55" spans="1:16" x14ac:dyDescent="0.35">
      <c r="A55" t="s">
        <v>101</v>
      </c>
      <c r="B55" t="s">
        <v>88</v>
      </c>
      <c r="C55" t="s">
        <v>97</v>
      </c>
      <c r="D55" t="s">
        <v>19</v>
      </c>
      <c r="E55" t="s">
        <v>20</v>
      </c>
      <c r="F55" t="s">
        <v>94</v>
      </c>
      <c r="G55" t="s">
        <v>54</v>
      </c>
      <c r="H55" t="b">
        <v>1</v>
      </c>
      <c r="I55">
        <v>10</v>
      </c>
      <c r="J55">
        <v>180</v>
      </c>
      <c r="L55">
        <v>565.48749999999995</v>
      </c>
      <c r="M55">
        <v>0.209230375</v>
      </c>
      <c r="N55">
        <v>565.48749999999995</v>
      </c>
      <c r="O55">
        <v>0.209230375</v>
      </c>
    </row>
    <row r="56" spans="1:16" ht="29" x14ac:dyDescent="0.35">
      <c r="A56" t="s">
        <v>102</v>
      </c>
      <c r="B56" t="s">
        <v>88</v>
      </c>
      <c r="C56" t="s">
        <v>103</v>
      </c>
      <c r="D56" t="s">
        <v>19</v>
      </c>
      <c r="E56" t="s">
        <v>20</v>
      </c>
      <c r="F56" t="s">
        <v>21</v>
      </c>
      <c r="G56" t="s">
        <v>33</v>
      </c>
      <c r="H56" t="b">
        <v>1</v>
      </c>
      <c r="I56">
        <v>10</v>
      </c>
      <c r="J56">
        <v>50.8</v>
      </c>
      <c r="K56">
        <v>110</v>
      </c>
      <c r="L56">
        <v>660.4</v>
      </c>
      <c r="M56">
        <v>0.12569393200000001</v>
      </c>
      <c r="N56">
        <v>660.4</v>
      </c>
      <c r="O56">
        <v>0.12569393200000001</v>
      </c>
      <c r="P56" s="1" t="s">
        <v>23</v>
      </c>
    </row>
    <row r="57" spans="1:16" x14ac:dyDescent="0.35">
      <c r="A57" t="s">
        <v>104</v>
      </c>
      <c r="B57" t="s">
        <v>88</v>
      </c>
      <c r="C57" t="s">
        <v>103</v>
      </c>
      <c r="D57" t="s">
        <v>19</v>
      </c>
      <c r="E57" t="s">
        <v>20</v>
      </c>
      <c r="F57" t="s">
        <v>21</v>
      </c>
      <c r="G57" t="s">
        <v>25</v>
      </c>
      <c r="H57" t="b">
        <v>1</v>
      </c>
      <c r="I57">
        <v>10</v>
      </c>
      <c r="J57">
        <v>7.8571428571428603</v>
      </c>
      <c r="L57">
        <v>5.5</v>
      </c>
      <c r="M57">
        <v>2.1450000000000001E-4</v>
      </c>
      <c r="N57">
        <v>5.5</v>
      </c>
      <c r="O57">
        <v>2.1450000000000001E-4</v>
      </c>
    </row>
    <row r="58" spans="1:16" ht="29" x14ac:dyDescent="0.35">
      <c r="A58" t="s">
        <v>105</v>
      </c>
      <c r="B58" t="s">
        <v>88</v>
      </c>
      <c r="C58" t="s">
        <v>103</v>
      </c>
      <c r="D58" t="s">
        <v>19</v>
      </c>
      <c r="E58" t="s">
        <v>20</v>
      </c>
      <c r="F58" t="s">
        <v>21</v>
      </c>
      <c r="G58" t="s">
        <v>22</v>
      </c>
      <c r="H58" t="b">
        <v>1</v>
      </c>
      <c r="I58">
        <v>10</v>
      </c>
      <c r="J58">
        <v>29.5</v>
      </c>
      <c r="L58">
        <v>11.8</v>
      </c>
      <c r="M58">
        <v>8.4722314275599998E-4</v>
      </c>
      <c r="N58">
        <v>11.8</v>
      </c>
      <c r="O58">
        <v>8.4722314275599998E-4</v>
      </c>
      <c r="P58" s="1" t="s">
        <v>23</v>
      </c>
    </row>
    <row r="59" spans="1:16" x14ac:dyDescent="0.35">
      <c r="A59" t="s">
        <v>106</v>
      </c>
      <c r="B59" t="s">
        <v>88</v>
      </c>
      <c r="C59" t="s">
        <v>103</v>
      </c>
      <c r="D59" t="s">
        <v>19</v>
      </c>
      <c r="E59" t="s">
        <v>20</v>
      </c>
      <c r="F59" t="s">
        <v>21</v>
      </c>
      <c r="G59" t="s">
        <v>29</v>
      </c>
      <c r="H59" t="b">
        <v>1</v>
      </c>
      <c r="I59">
        <v>10</v>
      </c>
      <c r="J59">
        <v>18</v>
      </c>
      <c r="L59">
        <v>1.8</v>
      </c>
      <c r="M59">
        <v>3.9780000000000002E-4</v>
      </c>
      <c r="N59">
        <v>1.8</v>
      </c>
      <c r="O59">
        <v>3.9780000000000002E-4</v>
      </c>
    </row>
    <row r="60" spans="1:16" x14ac:dyDescent="0.35">
      <c r="A60" t="s">
        <v>107</v>
      </c>
      <c r="B60" t="s">
        <v>108</v>
      </c>
      <c r="C60" t="s">
        <v>109</v>
      </c>
      <c r="D60" t="s">
        <v>19</v>
      </c>
      <c r="E60" t="s">
        <v>20</v>
      </c>
      <c r="F60" t="s">
        <v>21</v>
      </c>
      <c r="G60" t="s">
        <v>54</v>
      </c>
      <c r="H60" t="b">
        <v>1</v>
      </c>
      <c r="I60">
        <v>10</v>
      </c>
      <c r="J60">
        <v>15.5714285714286</v>
      </c>
      <c r="L60">
        <v>21.8</v>
      </c>
      <c r="M60">
        <v>8.0660000000000003E-3</v>
      </c>
      <c r="N60">
        <v>21.8</v>
      </c>
      <c r="O60">
        <v>8.0660000000000003E-3</v>
      </c>
    </row>
    <row r="61" spans="1:16" x14ac:dyDescent="0.35">
      <c r="A61" t="s">
        <v>110</v>
      </c>
      <c r="B61" t="s">
        <v>108</v>
      </c>
      <c r="C61" t="s">
        <v>109</v>
      </c>
      <c r="D61" t="s">
        <v>19</v>
      </c>
      <c r="E61" t="s">
        <v>20</v>
      </c>
      <c r="F61" t="s">
        <v>21</v>
      </c>
      <c r="G61" t="s">
        <v>111</v>
      </c>
      <c r="H61" t="b">
        <v>1</v>
      </c>
      <c r="I61">
        <v>10</v>
      </c>
      <c r="J61">
        <v>420</v>
      </c>
      <c r="L61">
        <v>84</v>
      </c>
      <c r="M61">
        <v>0</v>
      </c>
      <c r="N61">
        <v>84</v>
      </c>
      <c r="O61">
        <v>0</v>
      </c>
    </row>
    <row r="62" spans="1:16" x14ac:dyDescent="0.35">
      <c r="A62" t="s">
        <v>112</v>
      </c>
      <c r="B62" t="s">
        <v>108</v>
      </c>
      <c r="C62" t="s">
        <v>109</v>
      </c>
      <c r="D62" t="s">
        <v>19</v>
      </c>
      <c r="E62" t="s">
        <v>20</v>
      </c>
      <c r="F62" t="s">
        <v>21</v>
      </c>
      <c r="G62" t="s">
        <v>69</v>
      </c>
      <c r="H62" t="b">
        <v>1</v>
      </c>
      <c r="I62">
        <v>10</v>
      </c>
      <c r="J62">
        <v>20.882352941176499</v>
      </c>
      <c r="L62">
        <v>35.5</v>
      </c>
      <c r="M62">
        <v>2.043522E-2</v>
      </c>
      <c r="N62">
        <v>35.5</v>
      </c>
      <c r="O62">
        <v>2.043522E-2</v>
      </c>
    </row>
    <row r="63" spans="1:16" x14ac:dyDescent="0.35">
      <c r="A63" t="s">
        <v>113</v>
      </c>
      <c r="B63" t="s">
        <v>108</v>
      </c>
      <c r="C63" t="s">
        <v>109</v>
      </c>
      <c r="D63" t="s">
        <v>19</v>
      </c>
      <c r="E63" t="s">
        <v>20</v>
      </c>
      <c r="F63" t="s">
        <v>21</v>
      </c>
      <c r="G63" t="s">
        <v>40</v>
      </c>
      <c r="H63" t="b">
        <v>1</v>
      </c>
      <c r="I63">
        <v>10</v>
      </c>
      <c r="J63">
        <v>104</v>
      </c>
      <c r="L63">
        <v>20.8</v>
      </c>
      <c r="M63">
        <v>1.9414720000000001E-3</v>
      </c>
      <c r="N63">
        <v>20.8</v>
      </c>
      <c r="O63">
        <v>1.9414720000000001E-3</v>
      </c>
    </row>
    <row r="64" spans="1:16" x14ac:dyDescent="0.35">
      <c r="A64" t="s">
        <v>114</v>
      </c>
      <c r="B64" t="s">
        <v>108</v>
      </c>
      <c r="C64" t="s">
        <v>109</v>
      </c>
      <c r="D64" t="s">
        <v>19</v>
      </c>
      <c r="E64" t="s">
        <v>20</v>
      </c>
      <c r="F64" t="s">
        <v>21</v>
      </c>
      <c r="G64" t="s">
        <v>29</v>
      </c>
      <c r="H64" t="b">
        <v>1</v>
      </c>
      <c r="I64">
        <v>10</v>
      </c>
      <c r="J64">
        <v>32.5</v>
      </c>
      <c r="L64">
        <v>13</v>
      </c>
      <c r="M64">
        <v>2.8730000000000001E-3</v>
      </c>
      <c r="N64">
        <v>13</v>
      </c>
      <c r="O64">
        <v>2.8730000000000001E-3</v>
      </c>
    </row>
    <row r="65" spans="1:16" x14ac:dyDescent="0.35">
      <c r="A65" t="s">
        <v>115</v>
      </c>
      <c r="B65" t="s">
        <v>108</v>
      </c>
      <c r="C65" t="s">
        <v>109</v>
      </c>
      <c r="D65" t="s">
        <v>19</v>
      </c>
      <c r="E65" t="s">
        <v>20</v>
      </c>
      <c r="F65" t="s">
        <v>21</v>
      </c>
      <c r="G65" t="s">
        <v>35</v>
      </c>
      <c r="H65" t="b">
        <v>1</v>
      </c>
      <c r="I65">
        <v>10</v>
      </c>
      <c r="J65">
        <v>48</v>
      </c>
      <c r="L65">
        <v>4.8</v>
      </c>
      <c r="M65">
        <v>1.2981599999999999E-2</v>
      </c>
      <c r="N65">
        <v>4.8</v>
      </c>
      <c r="O65">
        <v>1.2981599999999999E-2</v>
      </c>
    </row>
    <row r="66" spans="1:16" x14ac:dyDescent="0.35">
      <c r="A66" t="s">
        <v>116</v>
      </c>
      <c r="B66" t="s">
        <v>108</v>
      </c>
      <c r="C66" t="s">
        <v>109</v>
      </c>
      <c r="D66" t="s">
        <v>19</v>
      </c>
      <c r="E66" t="s">
        <v>20</v>
      </c>
      <c r="F66" t="s">
        <v>21</v>
      </c>
      <c r="G66" t="s">
        <v>25</v>
      </c>
      <c r="H66" t="b">
        <v>1</v>
      </c>
      <c r="I66">
        <v>10</v>
      </c>
      <c r="J66">
        <v>24.3333333333333</v>
      </c>
      <c r="L66">
        <v>7.3</v>
      </c>
      <c r="M66">
        <v>2.8469999999999998E-4</v>
      </c>
      <c r="N66">
        <v>7.3</v>
      </c>
      <c r="O66">
        <v>2.8469999999999998E-4</v>
      </c>
    </row>
    <row r="67" spans="1:16" x14ac:dyDescent="0.35">
      <c r="A67" t="s">
        <v>117</v>
      </c>
      <c r="B67" t="s">
        <v>17</v>
      </c>
      <c r="C67" t="s">
        <v>18</v>
      </c>
      <c r="D67" t="s">
        <v>118</v>
      </c>
      <c r="E67" t="s">
        <v>20</v>
      </c>
      <c r="F67" t="s">
        <v>21</v>
      </c>
      <c r="G67" t="s">
        <v>27</v>
      </c>
      <c r="H67" t="b">
        <v>1</v>
      </c>
      <c r="I67">
        <v>10</v>
      </c>
      <c r="J67">
        <v>13.6666666666667</v>
      </c>
      <c r="L67">
        <v>4.0999999999999996</v>
      </c>
      <c r="M67">
        <v>4.5100000000000001E-4</v>
      </c>
      <c r="N67">
        <v>4.0999999999999996</v>
      </c>
      <c r="O67">
        <v>4.5100000000000001E-4</v>
      </c>
    </row>
    <row r="68" spans="1:16" x14ac:dyDescent="0.35">
      <c r="A68" t="s">
        <v>119</v>
      </c>
      <c r="B68" t="s">
        <v>17</v>
      </c>
      <c r="C68" t="s">
        <v>18</v>
      </c>
      <c r="D68" t="s">
        <v>118</v>
      </c>
      <c r="E68" t="s">
        <v>20</v>
      </c>
      <c r="F68" t="s">
        <v>21</v>
      </c>
      <c r="G68" t="s">
        <v>29</v>
      </c>
      <c r="H68" t="b">
        <v>1</v>
      </c>
      <c r="I68">
        <v>10</v>
      </c>
      <c r="J68">
        <v>15.214285714285699</v>
      </c>
      <c r="L68">
        <v>21.3</v>
      </c>
      <c r="M68">
        <v>4.7073000000000002E-3</v>
      </c>
      <c r="N68">
        <v>21.3</v>
      </c>
      <c r="O68">
        <v>4.7073000000000002E-3</v>
      </c>
    </row>
    <row r="69" spans="1:16" ht="29" x14ac:dyDescent="0.35">
      <c r="A69" t="s">
        <v>120</v>
      </c>
      <c r="B69" t="s">
        <v>17</v>
      </c>
      <c r="C69" t="s">
        <v>18</v>
      </c>
      <c r="D69" t="s">
        <v>118</v>
      </c>
      <c r="E69" t="s">
        <v>20</v>
      </c>
      <c r="F69" t="s">
        <v>21</v>
      </c>
      <c r="G69" t="s">
        <v>22</v>
      </c>
      <c r="H69" t="b">
        <v>1</v>
      </c>
      <c r="I69">
        <v>10</v>
      </c>
      <c r="J69">
        <v>36</v>
      </c>
      <c r="L69">
        <v>39.6</v>
      </c>
      <c r="M69">
        <v>2.843223428232E-3</v>
      </c>
      <c r="N69">
        <v>39.6</v>
      </c>
      <c r="O69">
        <v>2.843223428232E-3</v>
      </c>
      <c r="P69" s="1" t="s">
        <v>23</v>
      </c>
    </row>
    <row r="70" spans="1:16" x14ac:dyDescent="0.35">
      <c r="A70" t="s">
        <v>121</v>
      </c>
      <c r="B70" t="s">
        <v>17</v>
      </c>
      <c r="C70" t="s">
        <v>18</v>
      </c>
      <c r="D70" t="s">
        <v>118</v>
      </c>
      <c r="E70" t="s">
        <v>20</v>
      </c>
      <c r="F70" t="s">
        <v>21</v>
      </c>
      <c r="G70" t="s">
        <v>54</v>
      </c>
      <c r="H70" t="b">
        <v>1</v>
      </c>
      <c r="I70">
        <v>10</v>
      </c>
      <c r="J70">
        <v>16.6666666666667</v>
      </c>
      <c r="L70">
        <v>5</v>
      </c>
      <c r="M70">
        <v>1.8500000000000001E-3</v>
      </c>
      <c r="N70">
        <v>5</v>
      </c>
      <c r="O70">
        <v>1.8500000000000001E-3</v>
      </c>
    </row>
    <row r="71" spans="1:16" ht="29" x14ac:dyDescent="0.35">
      <c r="A71" t="s">
        <v>122</v>
      </c>
      <c r="B71" t="s">
        <v>17</v>
      </c>
      <c r="C71" t="s">
        <v>18</v>
      </c>
      <c r="D71" t="s">
        <v>118</v>
      </c>
      <c r="E71" t="s">
        <v>20</v>
      </c>
      <c r="F71" t="s">
        <v>21</v>
      </c>
      <c r="G71" t="s">
        <v>33</v>
      </c>
      <c r="H71" t="b">
        <v>1</v>
      </c>
      <c r="I71">
        <v>10</v>
      </c>
      <c r="J71">
        <v>58.3333333333333</v>
      </c>
      <c r="L71">
        <v>17.5</v>
      </c>
      <c r="M71">
        <v>3.3307749999999998E-3</v>
      </c>
      <c r="N71">
        <v>17.5</v>
      </c>
      <c r="O71">
        <v>3.3307749999999998E-3</v>
      </c>
      <c r="P71" s="1" t="s">
        <v>23</v>
      </c>
    </row>
    <row r="72" spans="1:16" x14ac:dyDescent="0.35">
      <c r="A72" t="s">
        <v>123</v>
      </c>
      <c r="B72" t="s">
        <v>17</v>
      </c>
      <c r="C72" t="s">
        <v>18</v>
      </c>
      <c r="D72" t="s">
        <v>118</v>
      </c>
      <c r="E72" t="s">
        <v>20</v>
      </c>
      <c r="F72" t="s">
        <v>21</v>
      </c>
      <c r="G72" t="s">
        <v>25</v>
      </c>
      <c r="H72" t="b">
        <v>1</v>
      </c>
      <c r="I72">
        <v>10</v>
      </c>
      <c r="J72">
        <v>14.3333333333333</v>
      </c>
      <c r="L72">
        <v>17.2</v>
      </c>
      <c r="M72">
        <v>6.7080000000000004E-4</v>
      </c>
      <c r="N72">
        <v>17.2</v>
      </c>
      <c r="O72">
        <v>6.7080000000000004E-4</v>
      </c>
    </row>
    <row r="73" spans="1:16" x14ac:dyDescent="0.35">
      <c r="A73" t="s">
        <v>124</v>
      </c>
      <c r="B73" t="s">
        <v>17</v>
      </c>
      <c r="C73" t="s">
        <v>18</v>
      </c>
      <c r="D73" t="s">
        <v>118</v>
      </c>
      <c r="E73" t="s">
        <v>20</v>
      </c>
      <c r="F73" t="s">
        <v>21</v>
      </c>
      <c r="G73" t="s">
        <v>35</v>
      </c>
      <c r="H73" t="b">
        <v>1</v>
      </c>
      <c r="I73">
        <v>10</v>
      </c>
      <c r="J73">
        <v>161</v>
      </c>
      <c r="L73">
        <v>32.200000000000003</v>
      </c>
      <c r="M73">
        <v>8.7084900000000007E-2</v>
      </c>
      <c r="N73">
        <v>32.200000000000003</v>
      </c>
      <c r="O73">
        <v>8.7084900000000007E-2</v>
      </c>
    </row>
    <row r="74" spans="1:16" x14ac:dyDescent="0.35">
      <c r="A74" t="s">
        <v>125</v>
      </c>
      <c r="B74" t="s">
        <v>17</v>
      </c>
      <c r="C74" t="s">
        <v>18</v>
      </c>
      <c r="D74" t="s">
        <v>118</v>
      </c>
      <c r="E74" t="s">
        <v>20</v>
      </c>
      <c r="F74" t="s">
        <v>21</v>
      </c>
      <c r="G74" t="s">
        <v>40</v>
      </c>
      <c r="H74" t="b">
        <v>1</v>
      </c>
      <c r="I74">
        <v>10</v>
      </c>
      <c r="J74">
        <v>78</v>
      </c>
      <c r="L74">
        <v>7.8</v>
      </c>
      <c r="M74">
        <v>7.2805199999999997E-4</v>
      </c>
      <c r="N74">
        <v>7.8</v>
      </c>
      <c r="O74">
        <v>7.2805199999999997E-4</v>
      </c>
    </row>
    <row r="75" spans="1:16" ht="29" x14ac:dyDescent="0.35">
      <c r="A75" t="s">
        <v>126</v>
      </c>
      <c r="B75" t="s">
        <v>17</v>
      </c>
      <c r="C75" t="s">
        <v>37</v>
      </c>
      <c r="D75" t="s">
        <v>118</v>
      </c>
      <c r="E75" t="s">
        <v>20</v>
      </c>
      <c r="F75" t="s">
        <v>21</v>
      </c>
      <c r="G75" t="s">
        <v>22</v>
      </c>
      <c r="H75" t="b">
        <v>1</v>
      </c>
      <c r="I75">
        <v>10</v>
      </c>
      <c r="J75">
        <v>69.95</v>
      </c>
      <c r="K75">
        <v>80</v>
      </c>
      <c r="L75">
        <v>699.5</v>
      </c>
      <c r="M75">
        <v>5.0223100708290003E-2</v>
      </c>
      <c r="N75">
        <v>699.5</v>
      </c>
      <c r="O75">
        <v>5.0223100708290003E-2</v>
      </c>
      <c r="P75" s="1" t="s">
        <v>23</v>
      </c>
    </row>
    <row r="76" spans="1:16" x14ac:dyDescent="0.35">
      <c r="A76" t="s">
        <v>127</v>
      </c>
      <c r="B76" t="s">
        <v>17</v>
      </c>
      <c r="C76" t="s">
        <v>37</v>
      </c>
      <c r="D76" t="s">
        <v>118</v>
      </c>
      <c r="E76" t="s">
        <v>20</v>
      </c>
      <c r="F76" t="s">
        <v>21</v>
      </c>
      <c r="G76" t="s">
        <v>25</v>
      </c>
      <c r="H76" t="b">
        <v>1</v>
      </c>
      <c r="I76">
        <v>10</v>
      </c>
      <c r="J76">
        <v>7.5</v>
      </c>
      <c r="L76">
        <v>4.5</v>
      </c>
      <c r="M76">
        <v>1.7550000000000001E-4</v>
      </c>
      <c r="N76">
        <v>4.5</v>
      </c>
      <c r="O76">
        <v>1.7550000000000001E-4</v>
      </c>
    </row>
    <row r="77" spans="1:16" x14ac:dyDescent="0.35">
      <c r="A77" t="s">
        <v>128</v>
      </c>
      <c r="B77" t="s">
        <v>17</v>
      </c>
      <c r="C77" t="s">
        <v>37</v>
      </c>
      <c r="D77" t="s">
        <v>118</v>
      </c>
      <c r="E77" t="s">
        <v>20</v>
      </c>
      <c r="F77" t="s">
        <v>21</v>
      </c>
      <c r="G77" t="s">
        <v>27</v>
      </c>
      <c r="H77" t="b">
        <v>1</v>
      </c>
      <c r="I77">
        <v>10</v>
      </c>
      <c r="J77">
        <v>19.5</v>
      </c>
      <c r="L77">
        <v>11.7</v>
      </c>
      <c r="M77">
        <v>1.2869999999999999E-3</v>
      </c>
      <c r="N77">
        <v>11.7</v>
      </c>
      <c r="O77">
        <v>1.2869999999999999E-3</v>
      </c>
    </row>
    <row r="78" spans="1:16" x14ac:dyDescent="0.35">
      <c r="A78" t="s">
        <v>129</v>
      </c>
      <c r="B78" t="s">
        <v>17</v>
      </c>
      <c r="C78" t="s">
        <v>37</v>
      </c>
      <c r="D78" t="s">
        <v>118</v>
      </c>
      <c r="E78" t="s">
        <v>20</v>
      </c>
      <c r="F78" t="s">
        <v>21</v>
      </c>
      <c r="G78" t="s">
        <v>29</v>
      </c>
      <c r="H78" t="b">
        <v>1</v>
      </c>
      <c r="I78">
        <v>10</v>
      </c>
      <c r="J78">
        <v>25.8</v>
      </c>
      <c r="L78">
        <v>12.9</v>
      </c>
      <c r="M78">
        <v>2.8509E-3</v>
      </c>
      <c r="N78">
        <v>12.9</v>
      </c>
      <c r="O78">
        <v>2.8509E-3</v>
      </c>
    </row>
    <row r="79" spans="1:16" ht="29" x14ac:dyDescent="0.35">
      <c r="A79" t="s">
        <v>130</v>
      </c>
      <c r="B79" t="s">
        <v>17</v>
      </c>
      <c r="C79" t="s">
        <v>37</v>
      </c>
      <c r="D79" t="s">
        <v>118</v>
      </c>
      <c r="E79" t="s">
        <v>20</v>
      </c>
      <c r="F79" t="s">
        <v>21</v>
      </c>
      <c r="G79" t="s">
        <v>33</v>
      </c>
      <c r="H79" t="b">
        <v>1</v>
      </c>
      <c r="I79">
        <v>10</v>
      </c>
      <c r="J79">
        <v>38.25</v>
      </c>
      <c r="L79">
        <v>30.6</v>
      </c>
      <c r="M79">
        <v>5.8240979999999998E-3</v>
      </c>
      <c r="N79">
        <v>30.6</v>
      </c>
      <c r="O79">
        <v>5.8240979999999998E-3</v>
      </c>
      <c r="P79" s="1" t="s">
        <v>23</v>
      </c>
    </row>
    <row r="80" spans="1:16" ht="29" x14ac:dyDescent="0.35">
      <c r="A80" t="s">
        <v>131</v>
      </c>
      <c r="B80" t="s">
        <v>17</v>
      </c>
      <c r="C80" t="s">
        <v>37</v>
      </c>
      <c r="D80" t="s">
        <v>118</v>
      </c>
      <c r="E80" t="s">
        <v>20</v>
      </c>
      <c r="F80" t="s">
        <v>21</v>
      </c>
      <c r="G80" s="1" t="s">
        <v>56</v>
      </c>
      <c r="H80" t="b">
        <v>0</v>
      </c>
      <c r="I80">
        <v>10</v>
      </c>
      <c r="J80">
        <v>22</v>
      </c>
      <c r="L80">
        <v>2.2000000000000002</v>
      </c>
      <c r="M80">
        <v>9.8999999999999999E-4</v>
      </c>
      <c r="N80">
        <v>0</v>
      </c>
      <c r="O80">
        <v>0</v>
      </c>
    </row>
    <row r="81" spans="1:16" x14ac:dyDescent="0.35">
      <c r="A81" t="s">
        <v>132</v>
      </c>
      <c r="B81" t="s">
        <v>17</v>
      </c>
      <c r="C81" t="s">
        <v>37</v>
      </c>
      <c r="D81" t="s">
        <v>118</v>
      </c>
      <c r="E81" t="s">
        <v>20</v>
      </c>
      <c r="F81" t="s">
        <v>21</v>
      </c>
      <c r="G81" t="s">
        <v>49</v>
      </c>
      <c r="H81" t="b">
        <v>1</v>
      </c>
      <c r="I81">
        <v>10</v>
      </c>
      <c r="J81">
        <v>14</v>
      </c>
      <c r="L81">
        <v>1.4</v>
      </c>
      <c r="M81">
        <v>3.6400000000000001E-4</v>
      </c>
      <c r="N81">
        <v>1.4</v>
      </c>
      <c r="O81">
        <v>3.6400000000000001E-4</v>
      </c>
    </row>
    <row r="82" spans="1:16" x14ac:dyDescent="0.35">
      <c r="A82" t="s">
        <v>133</v>
      </c>
      <c r="B82" t="s">
        <v>17</v>
      </c>
      <c r="C82" t="s">
        <v>37</v>
      </c>
      <c r="D82" t="s">
        <v>118</v>
      </c>
      <c r="E82" t="s">
        <v>20</v>
      </c>
      <c r="F82" t="s">
        <v>21</v>
      </c>
      <c r="G82" t="s">
        <v>45</v>
      </c>
      <c r="H82" t="b">
        <v>0</v>
      </c>
      <c r="I82">
        <v>10</v>
      </c>
      <c r="J82">
        <v>22</v>
      </c>
      <c r="L82">
        <v>2.2000000000000002</v>
      </c>
      <c r="M82">
        <v>5.0599999999999998E-6</v>
      </c>
      <c r="N82">
        <v>0</v>
      </c>
      <c r="O82">
        <v>0</v>
      </c>
    </row>
    <row r="83" spans="1:16" x14ac:dyDescent="0.35">
      <c r="A83" t="s">
        <v>134</v>
      </c>
      <c r="B83" t="s">
        <v>17</v>
      </c>
      <c r="C83" t="s">
        <v>37</v>
      </c>
      <c r="D83" t="s">
        <v>118</v>
      </c>
      <c r="E83" t="s">
        <v>20</v>
      </c>
      <c r="F83" t="s">
        <v>21</v>
      </c>
      <c r="G83" t="s">
        <v>40</v>
      </c>
      <c r="H83" t="b">
        <v>1</v>
      </c>
      <c r="I83">
        <v>10</v>
      </c>
      <c r="J83">
        <v>96</v>
      </c>
      <c r="L83">
        <v>9.6</v>
      </c>
      <c r="M83">
        <v>8.9606400000000002E-4</v>
      </c>
      <c r="N83">
        <v>9.6</v>
      </c>
      <c r="O83">
        <v>8.9606400000000002E-4</v>
      </c>
    </row>
    <row r="84" spans="1:16" ht="29" x14ac:dyDescent="0.35">
      <c r="A84" t="s">
        <v>135</v>
      </c>
      <c r="B84" t="s">
        <v>51</v>
      </c>
      <c r="C84" t="s">
        <v>52</v>
      </c>
      <c r="D84" t="s">
        <v>118</v>
      </c>
      <c r="E84" t="s">
        <v>20</v>
      </c>
      <c r="F84" t="s">
        <v>21</v>
      </c>
      <c r="G84" t="s">
        <v>33</v>
      </c>
      <c r="H84" t="b">
        <v>1</v>
      </c>
      <c r="I84">
        <v>10</v>
      </c>
      <c r="J84">
        <v>43.153846153846203</v>
      </c>
      <c r="L84">
        <v>56.1</v>
      </c>
      <c r="M84">
        <v>1.0677513E-2</v>
      </c>
      <c r="N84">
        <v>56.1</v>
      </c>
      <c r="O84">
        <v>1.0677513E-2</v>
      </c>
      <c r="P84" s="1" t="s">
        <v>23</v>
      </c>
    </row>
    <row r="85" spans="1:16" x14ac:dyDescent="0.35">
      <c r="A85" t="s">
        <v>136</v>
      </c>
      <c r="B85" t="s">
        <v>51</v>
      </c>
      <c r="C85" t="s">
        <v>52</v>
      </c>
      <c r="D85" t="s">
        <v>118</v>
      </c>
      <c r="E85" t="s">
        <v>20</v>
      </c>
      <c r="F85" t="s">
        <v>21</v>
      </c>
      <c r="G85" t="s">
        <v>54</v>
      </c>
      <c r="H85" t="b">
        <v>1</v>
      </c>
      <c r="I85">
        <v>10</v>
      </c>
      <c r="J85">
        <v>11.8</v>
      </c>
      <c r="L85">
        <v>5.9</v>
      </c>
      <c r="M85">
        <v>2.183E-3</v>
      </c>
      <c r="N85">
        <v>5.9</v>
      </c>
      <c r="O85">
        <v>2.183E-3</v>
      </c>
    </row>
    <row r="86" spans="1:16" ht="29" x14ac:dyDescent="0.35">
      <c r="A86" t="s">
        <v>137</v>
      </c>
      <c r="B86" t="s">
        <v>51</v>
      </c>
      <c r="C86" t="s">
        <v>52</v>
      </c>
      <c r="D86" t="s">
        <v>118</v>
      </c>
      <c r="E86" t="s">
        <v>20</v>
      </c>
      <c r="F86" t="s">
        <v>21</v>
      </c>
      <c r="G86" s="1" t="s">
        <v>56</v>
      </c>
      <c r="H86" t="b">
        <v>0</v>
      </c>
      <c r="I86">
        <v>10</v>
      </c>
      <c r="J86">
        <v>14</v>
      </c>
      <c r="L86">
        <v>5.6</v>
      </c>
      <c r="M86">
        <v>2.5200000000000001E-3</v>
      </c>
      <c r="N86">
        <v>0</v>
      </c>
      <c r="O86">
        <v>0</v>
      </c>
    </row>
    <row r="87" spans="1:16" x14ac:dyDescent="0.35">
      <c r="A87" t="s">
        <v>138</v>
      </c>
      <c r="B87" t="s">
        <v>51</v>
      </c>
      <c r="C87" t="s">
        <v>52</v>
      </c>
      <c r="D87" t="s">
        <v>118</v>
      </c>
      <c r="E87" t="s">
        <v>20</v>
      </c>
      <c r="F87" t="s">
        <v>21</v>
      </c>
      <c r="G87" t="s">
        <v>25</v>
      </c>
      <c r="H87" t="b">
        <v>1</v>
      </c>
      <c r="I87">
        <v>10</v>
      </c>
      <c r="J87">
        <v>19</v>
      </c>
      <c r="L87">
        <v>3.8</v>
      </c>
      <c r="M87">
        <v>1.482E-4</v>
      </c>
      <c r="N87">
        <v>3.8</v>
      </c>
      <c r="O87">
        <v>1.482E-4</v>
      </c>
    </row>
    <row r="88" spans="1:16" x14ac:dyDescent="0.35">
      <c r="A88" t="s">
        <v>139</v>
      </c>
      <c r="B88" t="s">
        <v>51</v>
      </c>
      <c r="C88" t="s">
        <v>52</v>
      </c>
      <c r="D88" t="s">
        <v>118</v>
      </c>
      <c r="E88" t="s">
        <v>20</v>
      </c>
      <c r="F88" t="s">
        <v>21</v>
      </c>
      <c r="G88" t="s">
        <v>35</v>
      </c>
      <c r="H88" t="b">
        <v>1</v>
      </c>
      <c r="I88">
        <v>10</v>
      </c>
      <c r="J88">
        <v>390</v>
      </c>
      <c r="L88">
        <v>39</v>
      </c>
      <c r="M88">
        <v>0.1054755</v>
      </c>
      <c r="N88">
        <v>39</v>
      </c>
      <c r="O88">
        <v>0.1054755</v>
      </c>
    </row>
    <row r="89" spans="1:16" x14ac:dyDescent="0.35">
      <c r="A89" t="s">
        <v>140</v>
      </c>
      <c r="B89" t="s">
        <v>51</v>
      </c>
      <c r="C89" t="s">
        <v>60</v>
      </c>
      <c r="D89" t="s">
        <v>118</v>
      </c>
      <c r="E89" t="s">
        <v>20</v>
      </c>
      <c r="F89" t="s">
        <v>21</v>
      </c>
      <c r="G89" t="s">
        <v>40</v>
      </c>
      <c r="H89" t="b">
        <v>1</v>
      </c>
      <c r="I89">
        <v>10</v>
      </c>
      <c r="J89">
        <v>573.33333333333303</v>
      </c>
      <c r="L89">
        <v>172</v>
      </c>
      <c r="M89">
        <v>1.6054479999999999E-2</v>
      </c>
      <c r="N89">
        <v>172</v>
      </c>
      <c r="O89">
        <v>1.6054479999999999E-2</v>
      </c>
    </row>
    <row r="90" spans="1:16" ht="29" x14ac:dyDescent="0.35">
      <c r="A90" t="s">
        <v>141</v>
      </c>
      <c r="B90" t="s">
        <v>51</v>
      </c>
      <c r="C90" t="s">
        <v>60</v>
      </c>
      <c r="D90" t="s">
        <v>118</v>
      </c>
      <c r="E90" t="s">
        <v>20</v>
      </c>
      <c r="F90" t="s">
        <v>21</v>
      </c>
      <c r="G90" t="s">
        <v>33</v>
      </c>
      <c r="H90" t="b">
        <v>1</v>
      </c>
      <c r="I90">
        <v>10</v>
      </c>
      <c r="J90">
        <v>26.5</v>
      </c>
      <c r="L90">
        <v>10.6</v>
      </c>
      <c r="M90">
        <v>2.0174979999999999E-3</v>
      </c>
      <c r="N90">
        <v>10.6</v>
      </c>
      <c r="O90">
        <v>2.0174979999999999E-3</v>
      </c>
      <c r="P90" s="1" t="s">
        <v>23</v>
      </c>
    </row>
    <row r="91" spans="1:16" x14ac:dyDescent="0.35">
      <c r="A91" t="s">
        <v>142</v>
      </c>
      <c r="B91" t="s">
        <v>51</v>
      </c>
      <c r="C91" t="s">
        <v>60</v>
      </c>
      <c r="D91" t="s">
        <v>118</v>
      </c>
      <c r="E91" t="s">
        <v>20</v>
      </c>
      <c r="F91" t="s">
        <v>21</v>
      </c>
      <c r="G91" t="s">
        <v>143</v>
      </c>
      <c r="H91" t="b">
        <v>1</v>
      </c>
      <c r="I91">
        <v>10</v>
      </c>
      <c r="J91">
        <v>11.4</v>
      </c>
      <c r="L91">
        <v>5.7</v>
      </c>
      <c r="M91">
        <v>1.083E-3</v>
      </c>
      <c r="N91">
        <v>5.7</v>
      </c>
      <c r="O91">
        <v>1.083E-3</v>
      </c>
    </row>
    <row r="92" spans="1:16" x14ac:dyDescent="0.35">
      <c r="A92" t="s">
        <v>144</v>
      </c>
      <c r="B92" t="s">
        <v>51</v>
      </c>
      <c r="C92" t="s">
        <v>60</v>
      </c>
      <c r="D92" t="s">
        <v>118</v>
      </c>
      <c r="E92" t="s">
        <v>20</v>
      </c>
      <c r="F92" t="s">
        <v>21</v>
      </c>
      <c r="G92" t="s">
        <v>27</v>
      </c>
      <c r="H92" t="b">
        <v>1</v>
      </c>
      <c r="I92">
        <v>10</v>
      </c>
      <c r="J92">
        <v>29</v>
      </c>
      <c r="K92">
        <v>7</v>
      </c>
      <c r="L92">
        <v>78.3</v>
      </c>
      <c r="M92">
        <v>8.6130000000000009E-3</v>
      </c>
      <c r="N92">
        <v>78.3</v>
      </c>
      <c r="O92">
        <v>8.6130000000000009E-3</v>
      </c>
    </row>
    <row r="93" spans="1:16" x14ac:dyDescent="0.35">
      <c r="A93" t="s">
        <v>145</v>
      </c>
      <c r="B93" t="s">
        <v>51</v>
      </c>
      <c r="C93" t="s">
        <v>60</v>
      </c>
      <c r="D93" t="s">
        <v>118</v>
      </c>
      <c r="E93" t="s">
        <v>20</v>
      </c>
      <c r="F93" t="s">
        <v>21</v>
      </c>
      <c r="G93" t="s">
        <v>35</v>
      </c>
      <c r="H93" t="b">
        <v>1</v>
      </c>
      <c r="I93">
        <v>10</v>
      </c>
      <c r="J93">
        <v>105</v>
      </c>
      <c r="L93">
        <v>10.5</v>
      </c>
      <c r="M93">
        <v>2.8397249999999999E-2</v>
      </c>
      <c r="N93">
        <v>10.5</v>
      </c>
      <c r="O93">
        <v>2.8397249999999999E-2</v>
      </c>
    </row>
    <row r="94" spans="1:16" x14ac:dyDescent="0.35">
      <c r="A94" t="s">
        <v>146</v>
      </c>
      <c r="B94" t="s">
        <v>51</v>
      </c>
      <c r="C94" t="s">
        <v>60</v>
      </c>
      <c r="D94" t="s">
        <v>118</v>
      </c>
      <c r="E94" t="s">
        <v>20</v>
      </c>
      <c r="F94" t="s">
        <v>21</v>
      </c>
      <c r="G94" t="s">
        <v>45</v>
      </c>
      <c r="H94" t="b">
        <v>0</v>
      </c>
      <c r="I94">
        <v>10</v>
      </c>
      <c r="J94">
        <v>24</v>
      </c>
      <c r="L94">
        <v>2.4</v>
      </c>
      <c r="M94">
        <v>5.5199999999999997E-6</v>
      </c>
      <c r="N94">
        <v>0</v>
      </c>
      <c r="O94">
        <v>0</v>
      </c>
    </row>
    <row r="95" spans="1:16" ht="29" x14ac:dyDescent="0.35">
      <c r="A95" t="s">
        <v>147</v>
      </c>
      <c r="B95" t="s">
        <v>51</v>
      </c>
      <c r="C95" t="s">
        <v>60</v>
      </c>
      <c r="D95" t="s">
        <v>118</v>
      </c>
      <c r="E95" t="s">
        <v>20</v>
      </c>
      <c r="F95" t="s">
        <v>21</v>
      </c>
      <c r="G95" t="s">
        <v>22</v>
      </c>
      <c r="H95" t="b">
        <v>1</v>
      </c>
      <c r="I95">
        <v>10</v>
      </c>
      <c r="J95">
        <v>15.5</v>
      </c>
      <c r="L95">
        <v>3.1</v>
      </c>
      <c r="M95">
        <v>2.2257557140199999E-4</v>
      </c>
      <c r="N95">
        <v>3.1</v>
      </c>
      <c r="O95">
        <v>2.2257557140199999E-4</v>
      </c>
      <c r="P95" s="1" t="s">
        <v>23</v>
      </c>
    </row>
    <row r="96" spans="1:16" x14ac:dyDescent="0.35">
      <c r="A96" t="s">
        <v>148</v>
      </c>
      <c r="B96" t="s">
        <v>51</v>
      </c>
      <c r="C96" t="s">
        <v>60</v>
      </c>
      <c r="D96" t="s">
        <v>118</v>
      </c>
      <c r="E96" t="s">
        <v>20</v>
      </c>
      <c r="F96" t="s">
        <v>21</v>
      </c>
      <c r="G96" t="s">
        <v>69</v>
      </c>
      <c r="H96" t="b">
        <v>1</v>
      </c>
      <c r="I96">
        <v>10</v>
      </c>
      <c r="J96">
        <v>20</v>
      </c>
      <c r="L96">
        <v>2</v>
      </c>
      <c r="M96">
        <v>1.15128E-3</v>
      </c>
      <c r="N96">
        <v>2</v>
      </c>
      <c r="O96">
        <v>1.15128E-3</v>
      </c>
    </row>
    <row r="97" spans="1:16" ht="29" x14ac:dyDescent="0.35">
      <c r="A97" t="s">
        <v>149</v>
      </c>
      <c r="B97" t="s">
        <v>51</v>
      </c>
      <c r="C97" t="s">
        <v>71</v>
      </c>
      <c r="D97" t="s">
        <v>118</v>
      </c>
      <c r="E97" t="s">
        <v>20</v>
      </c>
      <c r="F97" t="s">
        <v>94</v>
      </c>
      <c r="G97" t="s">
        <v>33</v>
      </c>
      <c r="H97" t="b">
        <v>1</v>
      </c>
      <c r="I97">
        <v>10</v>
      </c>
      <c r="J97">
        <v>40.5555555555556</v>
      </c>
      <c r="L97">
        <v>1146.68298611111</v>
      </c>
      <c r="M97">
        <v>0.218248172746528</v>
      </c>
      <c r="N97">
        <v>1146.68298611111</v>
      </c>
      <c r="O97">
        <v>0.218248172746528</v>
      </c>
      <c r="P97" s="1" t="s">
        <v>23</v>
      </c>
    </row>
    <row r="98" spans="1:16" x14ac:dyDescent="0.35">
      <c r="A98" t="s">
        <v>150</v>
      </c>
      <c r="B98" t="s">
        <v>51</v>
      </c>
      <c r="C98" t="s">
        <v>71</v>
      </c>
      <c r="D98" t="s">
        <v>118</v>
      </c>
      <c r="E98" t="s">
        <v>20</v>
      </c>
      <c r="F98" t="s">
        <v>94</v>
      </c>
      <c r="G98" t="s">
        <v>111</v>
      </c>
      <c r="H98" t="b">
        <v>1</v>
      </c>
      <c r="I98">
        <v>10</v>
      </c>
      <c r="J98">
        <v>608</v>
      </c>
      <c r="L98">
        <v>1910.09111111111</v>
      </c>
      <c r="M98">
        <v>0</v>
      </c>
      <c r="N98">
        <v>1910.09111111111</v>
      </c>
      <c r="O98">
        <v>0</v>
      </c>
    </row>
    <row r="99" spans="1:16" ht="29" x14ac:dyDescent="0.35">
      <c r="A99" t="s">
        <v>151</v>
      </c>
      <c r="B99" t="s">
        <v>51</v>
      </c>
      <c r="C99" t="s">
        <v>71</v>
      </c>
      <c r="D99" t="s">
        <v>118</v>
      </c>
      <c r="E99" t="s">
        <v>20</v>
      </c>
      <c r="F99" t="s">
        <v>94</v>
      </c>
      <c r="G99" t="s">
        <v>22</v>
      </c>
      <c r="H99" t="b">
        <v>1</v>
      </c>
      <c r="I99">
        <v>10</v>
      </c>
      <c r="J99">
        <v>27</v>
      </c>
      <c r="L99">
        <v>169.64625000000001</v>
      </c>
      <c r="M99">
        <v>1.21803583967602E-2</v>
      </c>
      <c r="N99">
        <v>169.64625000000001</v>
      </c>
      <c r="O99">
        <v>1.21803583967602E-2</v>
      </c>
      <c r="P99" s="1" t="s">
        <v>23</v>
      </c>
    </row>
    <row r="100" spans="1:16" x14ac:dyDescent="0.35">
      <c r="A100" t="s">
        <v>152</v>
      </c>
      <c r="B100" t="s">
        <v>51</v>
      </c>
      <c r="C100" t="s">
        <v>71</v>
      </c>
      <c r="D100" t="s">
        <v>118</v>
      </c>
      <c r="E100" t="s">
        <v>20</v>
      </c>
      <c r="F100" t="s">
        <v>94</v>
      </c>
      <c r="G100" t="s">
        <v>35</v>
      </c>
      <c r="H100" t="b">
        <v>1</v>
      </c>
      <c r="I100">
        <v>10</v>
      </c>
      <c r="J100">
        <v>24</v>
      </c>
      <c r="L100">
        <v>75.398333333333298</v>
      </c>
      <c r="M100">
        <v>0.2039147925</v>
      </c>
      <c r="N100">
        <v>75.398333333333298</v>
      </c>
      <c r="O100">
        <v>0.2039147925</v>
      </c>
    </row>
    <row r="101" spans="1:16" x14ac:dyDescent="0.35">
      <c r="A101" t="s">
        <v>153</v>
      </c>
      <c r="B101" t="s">
        <v>51</v>
      </c>
      <c r="C101" t="s">
        <v>71</v>
      </c>
      <c r="D101" t="s">
        <v>118</v>
      </c>
      <c r="E101" t="s">
        <v>20</v>
      </c>
      <c r="F101" t="s">
        <v>94</v>
      </c>
      <c r="G101" t="s">
        <v>25</v>
      </c>
      <c r="H101" t="b">
        <v>1</v>
      </c>
      <c r="I101">
        <v>10</v>
      </c>
      <c r="J101">
        <v>3</v>
      </c>
      <c r="L101">
        <v>28.274374999999999</v>
      </c>
      <c r="M101">
        <v>1.102700625E-3</v>
      </c>
      <c r="N101">
        <v>28.274374999999999</v>
      </c>
      <c r="O101">
        <v>1.102700625E-3</v>
      </c>
    </row>
    <row r="102" spans="1:16" ht="29" x14ac:dyDescent="0.35">
      <c r="A102" t="s">
        <v>154</v>
      </c>
      <c r="B102" t="s">
        <v>51</v>
      </c>
      <c r="C102" t="s">
        <v>76</v>
      </c>
      <c r="D102" t="s">
        <v>118</v>
      </c>
      <c r="E102" t="s">
        <v>20</v>
      </c>
      <c r="F102" t="s">
        <v>21</v>
      </c>
      <c r="G102" t="s">
        <v>33</v>
      </c>
      <c r="H102" t="b">
        <v>1</v>
      </c>
      <c r="I102">
        <v>10</v>
      </c>
      <c r="J102">
        <v>33.700000000000003</v>
      </c>
      <c r="K102">
        <v>17</v>
      </c>
      <c r="L102">
        <v>124.69</v>
      </c>
      <c r="M102">
        <v>2.37322477E-2</v>
      </c>
      <c r="N102">
        <v>124.69</v>
      </c>
      <c r="O102">
        <v>2.37322477E-2</v>
      </c>
      <c r="P102" s="1" t="s">
        <v>23</v>
      </c>
    </row>
    <row r="103" spans="1:16" x14ac:dyDescent="0.35">
      <c r="A103" t="s">
        <v>155</v>
      </c>
      <c r="B103" t="s">
        <v>51</v>
      </c>
      <c r="C103" t="s">
        <v>76</v>
      </c>
      <c r="D103" t="s">
        <v>118</v>
      </c>
      <c r="E103" t="s">
        <v>20</v>
      </c>
      <c r="F103" t="s">
        <v>21</v>
      </c>
      <c r="G103" t="s">
        <v>54</v>
      </c>
      <c r="H103" t="b">
        <v>1</v>
      </c>
      <c r="I103">
        <v>10</v>
      </c>
      <c r="J103">
        <v>11.75</v>
      </c>
      <c r="L103">
        <v>4.7</v>
      </c>
      <c r="M103">
        <v>1.7390000000000001E-3</v>
      </c>
      <c r="N103">
        <v>4.7</v>
      </c>
      <c r="O103">
        <v>1.7390000000000001E-3</v>
      </c>
    </row>
    <row r="104" spans="1:16" x14ac:dyDescent="0.35">
      <c r="A104" t="s">
        <v>156</v>
      </c>
      <c r="B104" t="s">
        <v>51</v>
      </c>
      <c r="C104" t="s">
        <v>76</v>
      </c>
      <c r="D104" t="s">
        <v>118</v>
      </c>
      <c r="E104" t="s">
        <v>20</v>
      </c>
      <c r="F104" t="s">
        <v>21</v>
      </c>
      <c r="G104" t="s">
        <v>25</v>
      </c>
      <c r="H104" t="b">
        <v>1</v>
      </c>
      <c r="I104">
        <v>10</v>
      </c>
      <c r="J104">
        <v>5.8</v>
      </c>
      <c r="L104">
        <v>2.9</v>
      </c>
      <c r="M104">
        <v>1.131E-4</v>
      </c>
      <c r="N104">
        <v>2.9</v>
      </c>
      <c r="O104">
        <v>1.131E-4</v>
      </c>
    </row>
    <row r="105" spans="1:16" ht="29" x14ac:dyDescent="0.35">
      <c r="A105" t="s">
        <v>157</v>
      </c>
      <c r="B105" t="s">
        <v>51</v>
      </c>
      <c r="C105" t="s">
        <v>76</v>
      </c>
      <c r="D105" t="s">
        <v>118</v>
      </c>
      <c r="E105" t="s">
        <v>20</v>
      </c>
      <c r="F105" t="s">
        <v>21</v>
      </c>
      <c r="G105" s="1" t="s">
        <v>56</v>
      </c>
      <c r="H105" t="b">
        <v>0</v>
      </c>
      <c r="I105">
        <v>10</v>
      </c>
      <c r="J105">
        <v>23.3333333333333</v>
      </c>
      <c r="L105">
        <v>7</v>
      </c>
      <c r="M105">
        <v>3.15E-3</v>
      </c>
      <c r="N105">
        <v>0</v>
      </c>
      <c r="O105">
        <v>0</v>
      </c>
    </row>
    <row r="106" spans="1:16" ht="29" x14ac:dyDescent="0.35">
      <c r="A106" t="s">
        <v>158</v>
      </c>
      <c r="B106" t="s">
        <v>51</v>
      </c>
      <c r="C106" t="s">
        <v>83</v>
      </c>
      <c r="D106" t="s">
        <v>118</v>
      </c>
      <c r="E106" t="s">
        <v>20</v>
      </c>
      <c r="F106" t="s">
        <v>21</v>
      </c>
      <c r="G106" t="s">
        <v>33</v>
      </c>
      <c r="H106" t="b">
        <v>1</v>
      </c>
      <c r="I106">
        <v>10</v>
      </c>
      <c r="J106">
        <v>36.049999999999997</v>
      </c>
      <c r="K106">
        <v>53</v>
      </c>
      <c r="L106">
        <v>263.16500000000002</v>
      </c>
      <c r="M106">
        <v>5.0088194449999998E-2</v>
      </c>
      <c r="N106">
        <v>263.16500000000002</v>
      </c>
      <c r="O106">
        <v>5.0088194449999998E-2</v>
      </c>
      <c r="P106" s="1" t="s">
        <v>23</v>
      </c>
    </row>
    <row r="107" spans="1:16" x14ac:dyDescent="0.35">
      <c r="A107" t="s">
        <v>159</v>
      </c>
      <c r="B107" t="s">
        <v>51</v>
      </c>
      <c r="C107" t="s">
        <v>83</v>
      </c>
      <c r="D107" t="s">
        <v>118</v>
      </c>
      <c r="E107" t="s">
        <v>20</v>
      </c>
      <c r="F107" t="s">
        <v>21</v>
      </c>
      <c r="G107" t="s">
        <v>25</v>
      </c>
      <c r="H107" t="b">
        <v>1</v>
      </c>
      <c r="I107">
        <v>10</v>
      </c>
      <c r="J107">
        <v>2.6666666666666701</v>
      </c>
      <c r="L107">
        <v>0.8</v>
      </c>
      <c r="M107">
        <v>3.1199999999999999E-5</v>
      </c>
      <c r="N107">
        <v>0.8</v>
      </c>
      <c r="O107">
        <v>3.1199999999999999E-5</v>
      </c>
    </row>
    <row r="108" spans="1:16" x14ac:dyDescent="0.35">
      <c r="A108" t="s">
        <v>160</v>
      </c>
      <c r="B108" t="s">
        <v>51</v>
      </c>
      <c r="C108" t="s">
        <v>83</v>
      </c>
      <c r="D108" t="s">
        <v>118</v>
      </c>
      <c r="E108" t="s">
        <v>20</v>
      </c>
      <c r="F108" t="s">
        <v>21</v>
      </c>
      <c r="G108" t="s">
        <v>29</v>
      </c>
      <c r="H108" t="b">
        <v>1</v>
      </c>
      <c r="I108">
        <v>10</v>
      </c>
      <c r="J108">
        <v>24</v>
      </c>
      <c r="L108">
        <v>2.4</v>
      </c>
      <c r="M108">
        <v>5.3039999999999999E-4</v>
      </c>
      <c r="N108">
        <v>2.4</v>
      </c>
      <c r="O108">
        <v>5.3039999999999999E-4</v>
      </c>
    </row>
    <row r="109" spans="1:16" x14ac:dyDescent="0.35">
      <c r="A109" t="s">
        <v>161</v>
      </c>
      <c r="B109" t="s">
        <v>51</v>
      </c>
      <c r="C109" t="s">
        <v>83</v>
      </c>
      <c r="D109" t="s">
        <v>118</v>
      </c>
      <c r="E109" t="s">
        <v>20</v>
      </c>
      <c r="F109" t="s">
        <v>21</v>
      </c>
      <c r="G109" t="s">
        <v>47</v>
      </c>
      <c r="H109" t="b">
        <v>1</v>
      </c>
      <c r="I109">
        <v>10</v>
      </c>
      <c r="J109">
        <v>23</v>
      </c>
      <c r="L109">
        <v>4.5999999999999996</v>
      </c>
      <c r="M109">
        <v>1.9918000000000002E-3</v>
      </c>
      <c r="N109">
        <v>4.5999999999999996</v>
      </c>
      <c r="O109">
        <v>1.9918000000000002E-3</v>
      </c>
    </row>
    <row r="110" spans="1:16" x14ac:dyDescent="0.35">
      <c r="A110" t="s">
        <v>162</v>
      </c>
      <c r="B110" t="s">
        <v>51</v>
      </c>
      <c r="C110" t="s">
        <v>83</v>
      </c>
      <c r="D110" t="s">
        <v>118</v>
      </c>
      <c r="E110" t="s">
        <v>20</v>
      </c>
      <c r="F110" t="s">
        <v>21</v>
      </c>
      <c r="G110" t="s">
        <v>54</v>
      </c>
      <c r="H110" t="b">
        <v>1</v>
      </c>
      <c r="I110">
        <v>10</v>
      </c>
      <c r="J110">
        <v>33</v>
      </c>
      <c r="L110">
        <v>13.2</v>
      </c>
      <c r="M110">
        <v>4.8840000000000003E-3</v>
      </c>
      <c r="N110">
        <v>13.2</v>
      </c>
      <c r="O110">
        <v>4.8840000000000003E-3</v>
      </c>
    </row>
    <row r="111" spans="1:16" x14ac:dyDescent="0.35">
      <c r="A111" t="s">
        <v>163</v>
      </c>
      <c r="B111" t="s">
        <v>51</v>
      </c>
      <c r="C111" t="s">
        <v>83</v>
      </c>
      <c r="D111" t="s">
        <v>118</v>
      </c>
      <c r="E111" t="s">
        <v>20</v>
      </c>
      <c r="F111" t="s">
        <v>21</v>
      </c>
      <c r="G111" t="s">
        <v>143</v>
      </c>
      <c r="H111" t="b">
        <v>1</v>
      </c>
      <c r="I111">
        <v>10</v>
      </c>
      <c r="J111">
        <v>10.75</v>
      </c>
      <c r="L111">
        <v>4.3</v>
      </c>
      <c r="M111">
        <v>8.1700000000000002E-4</v>
      </c>
      <c r="N111">
        <v>4.3</v>
      </c>
      <c r="O111">
        <v>8.1700000000000002E-4</v>
      </c>
    </row>
    <row r="112" spans="1:16" x14ac:dyDescent="0.35">
      <c r="A112" t="s">
        <v>164</v>
      </c>
      <c r="B112" t="s">
        <v>51</v>
      </c>
      <c r="C112" t="s">
        <v>83</v>
      </c>
      <c r="D112" t="s">
        <v>118</v>
      </c>
      <c r="E112" t="s">
        <v>20</v>
      </c>
      <c r="F112" t="s">
        <v>21</v>
      </c>
      <c r="G112" t="s">
        <v>35</v>
      </c>
      <c r="H112" t="b">
        <v>1</v>
      </c>
      <c r="I112">
        <v>10</v>
      </c>
      <c r="J112">
        <v>80</v>
      </c>
      <c r="L112">
        <v>8</v>
      </c>
      <c r="M112">
        <v>2.1635999999999999E-2</v>
      </c>
      <c r="N112">
        <v>8</v>
      </c>
      <c r="O112">
        <v>2.1635999999999999E-2</v>
      </c>
    </row>
    <row r="113" spans="1:16" x14ac:dyDescent="0.35">
      <c r="A113" t="s">
        <v>165</v>
      </c>
      <c r="B113" t="s">
        <v>51</v>
      </c>
      <c r="C113" t="s">
        <v>83</v>
      </c>
      <c r="D113" t="s">
        <v>118</v>
      </c>
      <c r="E113" t="s">
        <v>20</v>
      </c>
      <c r="F113" t="s">
        <v>21</v>
      </c>
      <c r="G113" t="s">
        <v>31</v>
      </c>
      <c r="H113" t="b">
        <v>0</v>
      </c>
      <c r="I113">
        <v>10</v>
      </c>
      <c r="J113">
        <v>240</v>
      </c>
      <c r="L113">
        <v>24</v>
      </c>
      <c r="M113">
        <v>5.3999999999999998E-5</v>
      </c>
      <c r="N113">
        <v>0</v>
      </c>
      <c r="O113">
        <v>0</v>
      </c>
    </row>
    <row r="114" spans="1:16" ht="29" x14ac:dyDescent="0.35">
      <c r="A114" t="s">
        <v>166</v>
      </c>
      <c r="B114" t="s">
        <v>88</v>
      </c>
      <c r="C114" t="s">
        <v>89</v>
      </c>
      <c r="D114" t="s">
        <v>118</v>
      </c>
      <c r="E114" t="s">
        <v>20</v>
      </c>
      <c r="F114" t="s">
        <v>94</v>
      </c>
      <c r="G114" t="s">
        <v>33</v>
      </c>
      <c r="H114" t="b">
        <v>1</v>
      </c>
      <c r="I114">
        <v>10</v>
      </c>
      <c r="J114">
        <v>45.153846153846203</v>
      </c>
      <c r="L114">
        <v>1844.1175694444401</v>
      </c>
      <c r="M114">
        <v>0.35099089699236002</v>
      </c>
      <c r="N114">
        <v>1844.1175694444401</v>
      </c>
      <c r="O114">
        <v>0.35099089699236002</v>
      </c>
      <c r="P114" s="1" t="s">
        <v>23</v>
      </c>
    </row>
    <row r="115" spans="1:16" ht="29" x14ac:dyDescent="0.35">
      <c r="A115" t="s">
        <v>167</v>
      </c>
      <c r="B115" t="s">
        <v>88</v>
      </c>
      <c r="C115" t="s">
        <v>89</v>
      </c>
      <c r="D115" t="s">
        <v>118</v>
      </c>
      <c r="E115" t="s">
        <v>20</v>
      </c>
      <c r="F115" t="s">
        <v>94</v>
      </c>
      <c r="G115" t="s">
        <v>22</v>
      </c>
      <c r="H115" t="b">
        <v>1</v>
      </c>
      <c r="I115">
        <v>10</v>
      </c>
      <c r="J115">
        <v>700</v>
      </c>
      <c r="L115">
        <v>2199.1180555555602</v>
      </c>
      <c r="M115">
        <v>0.15789353477281701</v>
      </c>
      <c r="N115">
        <v>2199.1180555555602</v>
      </c>
      <c r="O115">
        <v>0.15789353477281701</v>
      </c>
      <c r="P115" s="1" t="s">
        <v>23</v>
      </c>
    </row>
    <row r="116" spans="1:16" x14ac:dyDescent="0.35">
      <c r="A116" t="s">
        <v>168</v>
      </c>
      <c r="B116" t="s">
        <v>88</v>
      </c>
      <c r="C116" t="s">
        <v>89</v>
      </c>
      <c r="D116" t="s">
        <v>118</v>
      </c>
      <c r="E116" t="s">
        <v>20</v>
      </c>
      <c r="F116" t="s">
        <v>94</v>
      </c>
      <c r="G116" t="s">
        <v>25</v>
      </c>
      <c r="H116" t="b">
        <v>1</v>
      </c>
      <c r="I116">
        <v>10</v>
      </c>
      <c r="J116">
        <v>4</v>
      </c>
      <c r="L116">
        <v>62.831944444444403</v>
      </c>
      <c r="M116">
        <v>2.4504458333333302E-3</v>
      </c>
      <c r="N116">
        <v>62.831944444444403</v>
      </c>
      <c r="O116">
        <v>2.4504458333333302E-3</v>
      </c>
    </row>
    <row r="117" spans="1:16" x14ac:dyDescent="0.35">
      <c r="A117" t="s">
        <v>169</v>
      </c>
      <c r="B117" t="s">
        <v>88</v>
      </c>
      <c r="C117" t="s">
        <v>89</v>
      </c>
      <c r="D117" t="s">
        <v>118</v>
      </c>
      <c r="E117" t="s">
        <v>20</v>
      </c>
      <c r="F117" t="s">
        <v>94</v>
      </c>
      <c r="G117" t="s">
        <v>54</v>
      </c>
      <c r="H117" t="b">
        <v>1</v>
      </c>
      <c r="I117">
        <v>10</v>
      </c>
      <c r="J117">
        <v>17</v>
      </c>
      <c r="L117">
        <v>106.814305555556</v>
      </c>
      <c r="M117">
        <v>3.9521293055555698E-2</v>
      </c>
      <c r="N117">
        <v>106.814305555556</v>
      </c>
      <c r="O117">
        <v>3.9521293055555698E-2</v>
      </c>
    </row>
    <row r="118" spans="1:16" ht="29" x14ac:dyDescent="0.35">
      <c r="A118" t="s">
        <v>170</v>
      </c>
      <c r="B118" t="s">
        <v>88</v>
      </c>
      <c r="C118" t="s">
        <v>93</v>
      </c>
      <c r="D118" t="s">
        <v>118</v>
      </c>
      <c r="E118" t="s">
        <v>20</v>
      </c>
      <c r="F118" t="s">
        <v>94</v>
      </c>
      <c r="G118" t="s">
        <v>33</v>
      </c>
      <c r="H118" t="b">
        <v>1</v>
      </c>
      <c r="I118">
        <v>10</v>
      </c>
      <c r="J118">
        <v>38.8125</v>
      </c>
      <c r="L118">
        <v>1950.931875</v>
      </c>
      <c r="M118">
        <v>0.37132086376875001</v>
      </c>
      <c r="N118">
        <v>1950.931875</v>
      </c>
      <c r="O118">
        <v>0.37132086376875001</v>
      </c>
      <c r="P118" s="1" t="s">
        <v>23</v>
      </c>
    </row>
    <row r="119" spans="1:16" x14ac:dyDescent="0.35">
      <c r="A119" t="s">
        <v>171</v>
      </c>
      <c r="B119" t="s">
        <v>88</v>
      </c>
      <c r="C119" t="s">
        <v>93</v>
      </c>
      <c r="D119" t="s">
        <v>118</v>
      </c>
      <c r="E119" t="s">
        <v>20</v>
      </c>
      <c r="F119" t="s">
        <v>94</v>
      </c>
      <c r="G119" t="s">
        <v>25</v>
      </c>
      <c r="H119" t="b">
        <v>1</v>
      </c>
      <c r="I119">
        <v>10</v>
      </c>
      <c r="J119">
        <v>6.5</v>
      </c>
      <c r="L119">
        <v>163.363055555556</v>
      </c>
      <c r="M119">
        <v>6.37115916666668E-3</v>
      </c>
      <c r="N119">
        <v>163.363055555556</v>
      </c>
      <c r="O119">
        <v>6.37115916666668E-3</v>
      </c>
    </row>
    <row r="120" spans="1:16" x14ac:dyDescent="0.35">
      <c r="A120" t="s">
        <v>172</v>
      </c>
      <c r="B120" t="s">
        <v>88</v>
      </c>
      <c r="C120" t="s">
        <v>93</v>
      </c>
      <c r="D120" t="s">
        <v>118</v>
      </c>
      <c r="E120" t="s">
        <v>20</v>
      </c>
      <c r="F120" t="s">
        <v>94</v>
      </c>
      <c r="G120" t="s">
        <v>40</v>
      </c>
      <c r="H120" t="b">
        <v>1</v>
      </c>
      <c r="I120">
        <v>10</v>
      </c>
      <c r="J120">
        <v>12</v>
      </c>
      <c r="L120">
        <v>37.699166666666699</v>
      </c>
      <c r="M120">
        <v>3.5188402166666699E-3</v>
      </c>
      <c r="N120">
        <v>37.699166666666699</v>
      </c>
      <c r="O120">
        <v>3.5188402166666699E-3</v>
      </c>
    </row>
    <row r="121" spans="1:16" x14ac:dyDescent="0.35">
      <c r="A121" t="s">
        <v>173</v>
      </c>
      <c r="B121" t="s">
        <v>88</v>
      </c>
      <c r="C121" t="s">
        <v>93</v>
      </c>
      <c r="D121" t="s">
        <v>118</v>
      </c>
      <c r="E121" t="s">
        <v>20</v>
      </c>
      <c r="F121" t="s">
        <v>94</v>
      </c>
      <c r="G121" t="s">
        <v>54</v>
      </c>
      <c r="H121" t="b">
        <v>1</v>
      </c>
      <c r="I121">
        <v>10</v>
      </c>
      <c r="J121">
        <v>13</v>
      </c>
      <c r="L121">
        <v>122.522291666667</v>
      </c>
      <c r="M121">
        <v>4.5333247916666798E-2</v>
      </c>
      <c r="N121">
        <v>122.522291666667</v>
      </c>
      <c r="O121">
        <v>4.5333247916666798E-2</v>
      </c>
    </row>
    <row r="122" spans="1:16" x14ac:dyDescent="0.35">
      <c r="A122" t="s">
        <v>174</v>
      </c>
      <c r="B122" t="s">
        <v>88</v>
      </c>
      <c r="C122" t="s">
        <v>93</v>
      </c>
      <c r="D122" t="s">
        <v>118</v>
      </c>
      <c r="E122" t="s">
        <v>20</v>
      </c>
      <c r="F122" t="s">
        <v>94</v>
      </c>
      <c r="G122" t="s">
        <v>175</v>
      </c>
      <c r="H122" t="b">
        <v>0</v>
      </c>
      <c r="I122">
        <v>10</v>
      </c>
      <c r="J122">
        <v>13</v>
      </c>
      <c r="L122">
        <v>81.681527777777802</v>
      </c>
      <c r="M122">
        <v>1.7969936111111101E-3</v>
      </c>
      <c r="N122">
        <v>0</v>
      </c>
      <c r="O122">
        <v>0</v>
      </c>
    </row>
    <row r="123" spans="1:16" ht="29" x14ac:dyDescent="0.35">
      <c r="A123" t="s">
        <v>176</v>
      </c>
      <c r="B123" t="s">
        <v>88</v>
      </c>
      <c r="C123" t="s">
        <v>97</v>
      </c>
      <c r="D123" t="s">
        <v>118</v>
      </c>
      <c r="E123" t="s">
        <v>20</v>
      </c>
      <c r="F123" t="s">
        <v>94</v>
      </c>
      <c r="G123" t="s">
        <v>33</v>
      </c>
      <c r="H123" t="b">
        <v>1</v>
      </c>
      <c r="I123">
        <v>10</v>
      </c>
      <c r="J123">
        <v>37.764705882352899</v>
      </c>
      <c r="L123">
        <v>2016.9054166666699</v>
      </c>
      <c r="M123">
        <v>0.38387760795416698</v>
      </c>
      <c r="N123">
        <v>2016.9054166666699</v>
      </c>
      <c r="O123">
        <v>0.38387760795416698</v>
      </c>
      <c r="P123" s="1" t="s">
        <v>23</v>
      </c>
    </row>
    <row r="124" spans="1:16" ht="29" x14ac:dyDescent="0.35">
      <c r="A124" t="s">
        <v>177</v>
      </c>
      <c r="B124" t="s">
        <v>88</v>
      </c>
      <c r="C124" t="s">
        <v>97</v>
      </c>
      <c r="D124" t="s">
        <v>118</v>
      </c>
      <c r="E124" t="s">
        <v>20</v>
      </c>
      <c r="F124" t="s">
        <v>94</v>
      </c>
      <c r="G124" t="s">
        <v>22</v>
      </c>
      <c r="H124" t="b">
        <v>1</v>
      </c>
      <c r="I124">
        <v>10</v>
      </c>
      <c r="J124">
        <v>78</v>
      </c>
      <c r="L124">
        <v>245.04458333333301</v>
      </c>
      <c r="M124">
        <v>1.7593851017542499E-2</v>
      </c>
      <c r="N124">
        <v>245.04458333333301</v>
      </c>
      <c r="O124">
        <v>1.7593851017542499E-2</v>
      </c>
      <c r="P124" s="1" t="s">
        <v>23</v>
      </c>
    </row>
    <row r="125" spans="1:16" x14ac:dyDescent="0.35">
      <c r="A125" t="s">
        <v>178</v>
      </c>
      <c r="B125" t="s">
        <v>88</v>
      </c>
      <c r="C125" t="s">
        <v>97</v>
      </c>
      <c r="D125" t="s">
        <v>118</v>
      </c>
      <c r="E125" t="s">
        <v>20</v>
      </c>
      <c r="F125" t="s">
        <v>94</v>
      </c>
      <c r="G125" t="s">
        <v>25</v>
      </c>
      <c r="H125" t="b">
        <v>1</v>
      </c>
      <c r="I125">
        <v>10</v>
      </c>
      <c r="J125">
        <v>7.2</v>
      </c>
      <c r="L125">
        <v>113.0975</v>
      </c>
      <c r="M125">
        <v>4.4108024999999999E-3</v>
      </c>
      <c r="N125">
        <v>113.0975</v>
      </c>
      <c r="O125">
        <v>4.4108024999999999E-3</v>
      </c>
    </row>
    <row r="126" spans="1:16" x14ac:dyDescent="0.35">
      <c r="A126" t="s">
        <v>179</v>
      </c>
      <c r="B126" t="s">
        <v>88</v>
      </c>
      <c r="C126" t="s">
        <v>97</v>
      </c>
      <c r="D126" t="s">
        <v>118</v>
      </c>
      <c r="E126" t="s">
        <v>20</v>
      </c>
      <c r="F126" t="s">
        <v>94</v>
      </c>
      <c r="G126" t="s">
        <v>54</v>
      </c>
      <c r="H126" t="b">
        <v>1</v>
      </c>
      <c r="I126">
        <v>10</v>
      </c>
      <c r="J126">
        <v>25</v>
      </c>
      <c r="L126">
        <v>78.5399305555555</v>
      </c>
      <c r="M126">
        <v>2.9059774305555602E-2</v>
      </c>
      <c r="N126">
        <v>78.5399305555556</v>
      </c>
      <c r="O126">
        <v>2.9059774305555602E-2</v>
      </c>
    </row>
    <row r="127" spans="1:16" ht="29" x14ac:dyDescent="0.35">
      <c r="A127" t="s">
        <v>180</v>
      </c>
      <c r="B127" t="s">
        <v>88</v>
      </c>
      <c r="C127" t="s">
        <v>103</v>
      </c>
      <c r="D127" t="s">
        <v>118</v>
      </c>
      <c r="E127" t="s">
        <v>20</v>
      </c>
      <c r="F127" t="s">
        <v>94</v>
      </c>
      <c r="G127" t="s">
        <v>33</v>
      </c>
      <c r="H127" t="b">
        <v>1</v>
      </c>
      <c r="I127">
        <v>10</v>
      </c>
      <c r="J127">
        <v>51.3888888888889</v>
      </c>
      <c r="L127">
        <v>2905.9774305555602</v>
      </c>
      <c r="M127">
        <v>0.55309468435763998</v>
      </c>
      <c r="N127">
        <v>2905.9774305555602</v>
      </c>
      <c r="O127">
        <v>0.55309468435763998</v>
      </c>
      <c r="P127" s="1" t="s">
        <v>23</v>
      </c>
    </row>
    <row r="128" spans="1:16" ht="29" x14ac:dyDescent="0.35">
      <c r="A128" t="s">
        <v>181</v>
      </c>
      <c r="B128" t="s">
        <v>88</v>
      </c>
      <c r="C128" t="s">
        <v>103</v>
      </c>
      <c r="D128" t="s">
        <v>118</v>
      </c>
      <c r="E128" t="s">
        <v>20</v>
      </c>
      <c r="F128" t="s">
        <v>94</v>
      </c>
      <c r="G128" t="s">
        <v>22</v>
      </c>
      <c r="H128" t="b">
        <v>1</v>
      </c>
      <c r="I128">
        <v>10</v>
      </c>
      <c r="J128">
        <v>26.5</v>
      </c>
      <c r="L128">
        <v>333.00930555555499</v>
      </c>
      <c r="M128">
        <v>2.3909592408455201E-2</v>
      </c>
      <c r="N128">
        <v>333.00930555555601</v>
      </c>
      <c r="O128">
        <v>2.3909592408455201E-2</v>
      </c>
      <c r="P128" s="1" t="s">
        <v>23</v>
      </c>
    </row>
    <row r="129" spans="1:16" x14ac:dyDescent="0.35">
      <c r="A129" t="s">
        <v>182</v>
      </c>
      <c r="B129" t="s">
        <v>88</v>
      </c>
      <c r="C129" t="s">
        <v>103</v>
      </c>
      <c r="D129" t="s">
        <v>118</v>
      </c>
      <c r="E129" t="s">
        <v>20</v>
      </c>
      <c r="F129" t="s">
        <v>94</v>
      </c>
      <c r="G129" t="s">
        <v>54</v>
      </c>
      <c r="H129" t="b">
        <v>1</v>
      </c>
      <c r="I129">
        <v>10</v>
      </c>
      <c r="J129">
        <v>14</v>
      </c>
      <c r="L129">
        <v>43.982361111111103</v>
      </c>
      <c r="M129">
        <v>1.6273473611111099E-2</v>
      </c>
      <c r="N129">
        <v>43.982361111111103</v>
      </c>
      <c r="O129">
        <v>1.6273473611111099E-2</v>
      </c>
    </row>
    <row r="130" spans="1:16" x14ac:dyDescent="0.35">
      <c r="A130" t="s">
        <v>183</v>
      </c>
      <c r="B130" t="s">
        <v>88</v>
      </c>
      <c r="C130" t="s">
        <v>103</v>
      </c>
      <c r="D130" t="s">
        <v>118</v>
      </c>
      <c r="E130" t="s">
        <v>20</v>
      </c>
      <c r="F130" t="s">
        <v>94</v>
      </c>
      <c r="G130" t="s">
        <v>25</v>
      </c>
      <c r="H130" t="b">
        <v>1</v>
      </c>
      <c r="I130">
        <v>10</v>
      </c>
      <c r="J130">
        <v>3.5384615384615401</v>
      </c>
      <c r="L130">
        <v>144.51347222222199</v>
      </c>
      <c r="M130">
        <v>5.6360254166666597E-3</v>
      </c>
      <c r="N130">
        <v>144.51347222222199</v>
      </c>
      <c r="O130">
        <v>5.6360254166666597E-3</v>
      </c>
    </row>
    <row r="131" spans="1:16" x14ac:dyDescent="0.35">
      <c r="A131" t="s">
        <v>184</v>
      </c>
      <c r="B131" t="s">
        <v>108</v>
      </c>
      <c r="C131" t="s">
        <v>109</v>
      </c>
      <c r="D131" t="s">
        <v>118</v>
      </c>
      <c r="E131" t="s">
        <v>20</v>
      </c>
      <c r="F131" t="s">
        <v>21</v>
      </c>
      <c r="G131" t="s">
        <v>69</v>
      </c>
      <c r="H131" t="b">
        <v>1</v>
      </c>
      <c r="I131">
        <v>10</v>
      </c>
      <c r="J131">
        <v>17.2</v>
      </c>
      <c r="L131">
        <v>17.2</v>
      </c>
      <c r="M131">
        <v>9.9010079999999993E-3</v>
      </c>
      <c r="N131">
        <v>17.2</v>
      </c>
      <c r="O131">
        <v>9.9010079999999993E-3</v>
      </c>
    </row>
    <row r="132" spans="1:16" x14ac:dyDescent="0.35">
      <c r="A132" t="s">
        <v>185</v>
      </c>
      <c r="B132" t="s">
        <v>108</v>
      </c>
      <c r="C132" t="s">
        <v>109</v>
      </c>
      <c r="D132" t="s">
        <v>118</v>
      </c>
      <c r="E132" t="s">
        <v>20</v>
      </c>
      <c r="F132" t="s">
        <v>21</v>
      </c>
      <c r="G132" t="s">
        <v>54</v>
      </c>
      <c r="H132" t="b">
        <v>1</v>
      </c>
      <c r="I132">
        <v>10</v>
      </c>
      <c r="J132">
        <v>24.1666666666667</v>
      </c>
      <c r="L132">
        <v>14.5</v>
      </c>
      <c r="M132">
        <v>5.365E-3</v>
      </c>
      <c r="N132">
        <v>14.5</v>
      </c>
      <c r="O132">
        <v>5.365E-3</v>
      </c>
    </row>
    <row r="133" spans="1:16" x14ac:dyDescent="0.35">
      <c r="A133" t="s">
        <v>186</v>
      </c>
      <c r="B133" t="s">
        <v>108</v>
      </c>
      <c r="C133" t="s">
        <v>109</v>
      </c>
      <c r="D133" t="s">
        <v>118</v>
      </c>
      <c r="E133" t="s">
        <v>20</v>
      </c>
      <c r="F133" t="s">
        <v>21</v>
      </c>
      <c r="G133" t="s">
        <v>111</v>
      </c>
      <c r="H133" t="b">
        <v>1</v>
      </c>
      <c r="I133">
        <v>10</v>
      </c>
      <c r="J133">
        <v>84</v>
      </c>
      <c r="L133">
        <v>8.4</v>
      </c>
      <c r="M133">
        <v>0</v>
      </c>
      <c r="N133">
        <v>8.4</v>
      </c>
      <c r="O133">
        <v>0</v>
      </c>
    </row>
    <row r="134" spans="1:16" x14ac:dyDescent="0.35">
      <c r="A134" t="s">
        <v>187</v>
      </c>
      <c r="B134" t="s">
        <v>108</v>
      </c>
      <c r="C134" t="s">
        <v>109</v>
      </c>
      <c r="D134" t="s">
        <v>118</v>
      </c>
      <c r="E134" t="s">
        <v>20</v>
      </c>
      <c r="F134" t="s">
        <v>21</v>
      </c>
      <c r="G134" t="s">
        <v>40</v>
      </c>
      <c r="H134" t="b">
        <v>1</v>
      </c>
      <c r="I134">
        <v>10</v>
      </c>
      <c r="J134">
        <v>48</v>
      </c>
      <c r="L134">
        <v>4.8</v>
      </c>
      <c r="M134">
        <v>4.4803200000000001E-4</v>
      </c>
      <c r="N134">
        <v>4.8</v>
      </c>
      <c r="O134">
        <v>4.4803200000000001E-4</v>
      </c>
    </row>
    <row r="135" spans="1:16" x14ac:dyDescent="0.35">
      <c r="A135" t="s">
        <v>188</v>
      </c>
      <c r="B135" t="s">
        <v>108</v>
      </c>
      <c r="C135" t="s">
        <v>109</v>
      </c>
      <c r="D135" t="s">
        <v>118</v>
      </c>
      <c r="E135" t="s">
        <v>20</v>
      </c>
      <c r="F135" t="s">
        <v>21</v>
      </c>
      <c r="G135" t="s">
        <v>25</v>
      </c>
      <c r="H135" t="b">
        <v>1</v>
      </c>
      <c r="I135">
        <v>10</v>
      </c>
      <c r="J135">
        <v>7</v>
      </c>
      <c r="L135">
        <v>0.7</v>
      </c>
      <c r="M135">
        <v>2.73E-5</v>
      </c>
      <c r="N135">
        <v>0.7</v>
      </c>
      <c r="O135">
        <v>2.73E-5</v>
      </c>
    </row>
    <row r="136" spans="1:16" ht="29" x14ac:dyDescent="0.35">
      <c r="A136" t="s">
        <v>189</v>
      </c>
      <c r="B136" t="s">
        <v>17</v>
      </c>
      <c r="C136" t="s">
        <v>18</v>
      </c>
      <c r="D136" t="s">
        <v>190</v>
      </c>
      <c r="E136" t="s">
        <v>20</v>
      </c>
      <c r="F136" t="s">
        <v>21</v>
      </c>
      <c r="G136" t="s">
        <v>33</v>
      </c>
      <c r="H136" t="b">
        <v>1</v>
      </c>
      <c r="I136">
        <v>10</v>
      </c>
      <c r="J136">
        <v>69</v>
      </c>
      <c r="L136">
        <v>41.4</v>
      </c>
      <c r="M136">
        <v>7.8796620000000008E-3</v>
      </c>
      <c r="N136">
        <v>41.4</v>
      </c>
      <c r="O136">
        <v>7.8796620000000008E-3</v>
      </c>
      <c r="P136" s="1" t="s">
        <v>23</v>
      </c>
    </row>
    <row r="137" spans="1:16" ht="29" x14ac:dyDescent="0.35">
      <c r="A137" t="s">
        <v>191</v>
      </c>
      <c r="B137" t="s">
        <v>17</v>
      </c>
      <c r="C137" t="s">
        <v>18</v>
      </c>
      <c r="D137" t="s">
        <v>190</v>
      </c>
      <c r="E137" t="s">
        <v>20</v>
      </c>
      <c r="F137" t="s">
        <v>21</v>
      </c>
      <c r="G137" t="s">
        <v>22</v>
      </c>
      <c r="H137" t="b">
        <v>1</v>
      </c>
      <c r="I137">
        <v>10</v>
      </c>
      <c r="J137">
        <v>28.15</v>
      </c>
      <c r="K137">
        <v>17</v>
      </c>
      <c r="L137">
        <v>104.155</v>
      </c>
      <c r="M137">
        <v>7.4781802062501004E-3</v>
      </c>
      <c r="N137">
        <v>104.155</v>
      </c>
      <c r="O137">
        <v>7.4781802062501004E-3</v>
      </c>
      <c r="P137" s="1" t="s">
        <v>23</v>
      </c>
    </row>
    <row r="138" spans="1:16" x14ac:dyDescent="0.35">
      <c r="A138" t="s">
        <v>192</v>
      </c>
      <c r="B138" t="s">
        <v>17</v>
      </c>
      <c r="C138" t="s">
        <v>18</v>
      </c>
      <c r="D138" t="s">
        <v>190</v>
      </c>
      <c r="E138" t="s">
        <v>20</v>
      </c>
      <c r="F138" t="s">
        <v>21</v>
      </c>
      <c r="G138" t="s">
        <v>143</v>
      </c>
      <c r="H138" t="b">
        <v>1</v>
      </c>
      <c r="I138">
        <v>10</v>
      </c>
      <c r="J138">
        <v>15.5714285714286</v>
      </c>
      <c r="L138">
        <v>21.8</v>
      </c>
      <c r="M138">
        <v>4.1419999999999998E-3</v>
      </c>
      <c r="N138">
        <v>21.8</v>
      </c>
      <c r="O138">
        <v>4.1419999999999998E-3</v>
      </c>
    </row>
    <row r="139" spans="1:16" x14ac:dyDescent="0.35">
      <c r="A139" t="s">
        <v>193</v>
      </c>
      <c r="B139" t="s">
        <v>17</v>
      </c>
      <c r="C139" t="s">
        <v>18</v>
      </c>
      <c r="D139" t="s">
        <v>190</v>
      </c>
      <c r="E139" t="s">
        <v>20</v>
      </c>
      <c r="F139" t="s">
        <v>21</v>
      </c>
      <c r="G139" t="s">
        <v>31</v>
      </c>
      <c r="H139" t="b">
        <v>0</v>
      </c>
      <c r="I139">
        <v>10</v>
      </c>
      <c r="J139">
        <v>83</v>
      </c>
      <c r="L139">
        <v>33.200000000000003</v>
      </c>
      <c r="M139">
        <v>7.47E-5</v>
      </c>
      <c r="N139">
        <v>0</v>
      </c>
      <c r="O139">
        <v>0</v>
      </c>
    </row>
    <row r="140" spans="1:16" x14ac:dyDescent="0.35">
      <c r="A140" t="s">
        <v>194</v>
      </c>
      <c r="B140" t="s">
        <v>17</v>
      </c>
      <c r="C140" t="s">
        <v>18</v>
      </c>
      <c r="D140" t="s">
        <v>190</v>
      </c>
      <c r="E140" t="s">
        <v>20</v>
      </c>
      <c r="F140" t="s">
        <v>21</v>
      </c>
      <c r="G140" t="s">
        <v>40</v>
      </c>
      <c r="H140" t="b">
        <v>1</v>
      </c>
      <c r="I140">
        <v>10</v>
      </c>
      <c r="J140">
        <v>144</v>
      </c>
      <c r="L140">
        <v>14.4</v>
      </c>
      <c r="M140">
        <v>1.3440959999999999E-3</v>
      </c>
      <c r="N140">
        <v>14.4</v>
      </c>
      <c r="O140">
        <v>1.3440959999999999E-3</v>
      </c>
    </row>
    <row r="141" spans="1:16" x14ac:dyDescent="0.35">
      <c r="A141" t="s">
        <v>195</v>
      </c>
      <c r="B141" t="s">
        <v>17</v>
      </c>
      <c r="C141" t="s">
        <v>18</v>
      </c>
      <c r="D141" t="s">
        <v>190</v>
      </c>
      <c r="E141" t="s">
        <v>20</v>
      </c>
      <c r="F141" t="s">
        <v>21</v>
      </c>
      <c r="G141" t="s">
        <v>49</v>
      </c>
      <c r="H141" t="b">
        <v>1</v>
      </c>
      <c r="I141">
        <v>10</v>
      </c>
      <c r="J141">
        <v>16</v>
      </c>
      <c r="L141">
        <v>1.6</v>
      </c>
      <c r="M141">
        <v>4.1599999999999997E-4</v>
      </c>
      <c r="N141">
        <v>1.6</v>
      </c>
      <c r="O141">
        <v>4.1599999999999997E-4</v>
      </c>
    </row>
    <row r="142" spans="1:16" x14ac:dyDescent="0.35">
      <c r="A142" t="s">
        <v>196</v>
      </c>
      <c r="B142" t="s">
        <v>17</v>
      </c>
      <c r="C142" t="s">
        <v>18</v>
      </c>
      <c r="D142" t="s">
        <v>190</v>
      </c>
      <c r="E142" t="s">
        <v>20</v>
      </c>
      <c r="F142" t="s">
        <v>21</v>
      </c>
      <c r="G142" t="s">
        <v>25</v>
      </c>
      <c r="H142" t="b">
        <v>1</v>
      </c>
      <c r="I142">
        <v>10</v>
      </c>
      <c r="J142">
        <v>12</v>
      </c>
      <c r="L142">
        <v>1.2</v>
      </c>
      <c r="M142">
        <v>4.6799999999999999E-5</v>
      </c>
      <c r="N142">
        <v>1.2</v>
      </c>
      <c r="O142">
        <v>4.6799999999999999E-5</v>
      </c>
    </row>
    <row r="143" spans="1:16" x14ac:dyDescent="0.35">
      <c r="A143" t="s">
        <v>197</v>
      </c>
      <c r="B143" t="s">
        <v>17</v>
      </c>
      <c r="C143" t="s">
        <v>18</v>
      </c>
      <c r="D143" t="s">
        <v>190</v>
      </c>
      <c r="E143" t="s">
        <v>20</v>
      </c>
      <c r="F143" t="s">
        <v>21</v>
      </c>
      <c r="G143" t="s">
        <v>35</v>
      </c>
      <c r="H143" t="b">
        <v>1</v>
      </c>
      <c r="I143">
        <v>10</v>
      </c>
      <c r="J143">
        <v>72</v>
      </c>
      <c r="L143">
        <v>7.2</v>
      </c>
      <c r="M143">
        <v>1.9472400000000001E-2</v>
      </c>
      <c r="N143">
        <v>7.2</v>
      </c>
      <c r="O143">
        <v>1.9472400000000001E-2</v>
      </c>
    </row>
    <row r="144" spans="1:16" x14ac:dyDescent="0.35">
      <c r="A144" t="s">
        <v>198</v>
      </c>
      <c r="B144" t="s">
        <v>17</v>
      </c>
      <c r="C144" t="s">
        <v>37</v>
      </c>
      <c r="D144" t="s">
        <v>190</v>
      </c>
      <c r="G144" t="s">
        <v>45</v>
      </c>
      <c r="H144" t="b">
        <v>0</v>
      </c>
      <c r="J144">
        <v>0</v>
      </c>
      <c r="L144">
        <v>59</v>
      </c>
      <c r="M144">
        <v>1.3569999999999999E-4</v>
      </c>
      <c r="N144">
        <v>0</v>
      </c>
      <c r="O144">
        <v>0</v>
      </c>
    </row>
    <row r="145" spans="1:16" x14ac:dyDescent="0.35">
      <c r="A145" t="s">
        <v>199</v>
      </c>
      <c r="B145" t="s">
        <v>17</v>
      </c>
      <c r="C145" t="s">
        <v>37</v>
      </c>
      <c r="D145" t="s">
        <v>190</v>
      </c>
      <c r="G145" t="s">
        <v>27</v>
      </c>
      <c r="H145" t="b">
        <v>1</v>
      </c>
      <c r="J145">
        <v>0</v>
      </c>
      <c r="L145">
        <v>6</v>
      </c>
      <c r="M145">
        <v>6.6E-4</v>
      </c>
      <c r="N145">
        <v>6</v>
      </c>
      <c r="O145">
        <v>6.6E-4</v>
      </c>
    </row>
    <row r="146" spans="1:16" x14ac:dyDescent="0.35">
      <c r="A146" t="s">
        <v>200</v>
      </c>
      <c r="B146" t="s">
        <v>17</v>
      </c>
      <c r="C146" t="s">
        <v>37</v>
      </c>
      <c r="D146" t="s">
        <v>190</v>
      </c>
      <c r="G146" t="s">
        <v>54</v>
      </c>
      <c r="H146" t="b">
        <v>1</v>
      </c>
      <c r="J146">
        <v>0</v>
      </c>
      <c r="L146">
        <v>15</v>
      </c>
      <c r="M146">
        <v>5.5500000000000002E-3</v>
      </c>
      <c r="N146">
        <v>15</v>
      </c>
      <c r="O146">
        <v>5.5500000000000002E-3</v>
      </c>
    </row>
    <row r="147" spans="1:16" x14ac:dyDescent="0.35">
      <c r="A147" t="s">
        <v>201</v>
      </c>
      <c r="B147" t="s">
        <v>17</v>
      </c>
      <c r="C147" t="s">
        <v>37</v>
      </c>
      <c r="D147" t="s">
        <v>190</v>
      </c>
      <c r="G147" t="s">
        <v>202</v>
      </c>
      <c r="H147" t="b">
        <v>0</v>
      </c>
      <c r="J147">
        <v>0</v>
      </c>
      <c r="L147">
        <v>68</v>
      </c>
      <c r="M147">
        <v>1.4959999999999999E-3</v>
      </c>
      <c r="N147">
        <v>0</v>
      </c>
      <c r="O147">
        <v>0</v>
      </c>
    </row>
    <row r="148" spans="1:16" ht="29" x14ac:dyDescent="0.35">
      <c r="A148" t="s">
        <v>203</v>
      </c>
      <c r="B148" t="s">
        <v>17</v>
      </c>
      <c r="C148" t="s">
        <v>37</v>
      </c>
      <c r="D148" t="s">
        <v>190</v>
      </c>
      <c r="G148" t="s">
        <v>204</v>
      </c>
      <c r="H148" t="b">
        <v>1</v>
      </c>
      <c r="J148">
        <v>0</v>
      </c>
      <c r="L148">
        <v>1700</v>
      </c>
      <c r="M148">
        <v>3.0939999999999999E-2</v>
      </c>
      <c r="N148">
        <v>1700</v>
      </c>
      <c r="O148">
        <v>3.0939999999999999E-2</v>
      </c>
      <c r="P148" s="1" t="s">
        <v>23</v>
      </c>
    </row>
    <row r="149" spans="1:16" ht="29" x14ac:dyDescent="0.35">
      <c r="A149" t="s">
        <v>205</v>
      </c>
      <c r="B149" t="s">
        <v>17</v>
      </c>
      <c r="C149" t="s">
        <v>37</v>
      </c>
      <c r="D149" t="s">
        <v>190</v>
      </c>
      <c r="G149" t="s">
        <v>22</v>
      </c>
      <c r="H149" t="b">
        <v>1</v>
      </c>
      <c r="J149">
        <v>0</v>
      </c>
      <c r="L149">
        <v>95</v>
      </c>
      <c r="M149">
        <v>6.8208642848999997E-3</v>
      </c>
      <c r="N149">
        <v>95</v>
      </c>
      <c r="O149">
        <v>6.8208642848999997E-3</v>
      </c>
      <c r="P149" s="1" t="s">
        <v>23</v>
      </c>
    </row>
    <row r="150" spans="1:16" x14ac:dyDescent="0.35">
      <c r="A150" t="s">
        <v>206</v>
      </c>
      <c r="B150" t="s">
        <v>17</v>
      </c>
      <c r="C150" t="s">
        <v>37</v>
      </c>
      <c r="D150" t="s">
        <v>190</v>
      </c>
      <c r="G150" t="s">
        <v>35</v>
      </c>
      <c r="H150" t="b">
        <v>1</v>
      </c>
      <c r="J150">
        <v>0</v>
      </c>
      <c r="L150">
        <v>20</v>
      </c>
      <c r="M150">
        <v>5.4089999999999999E-2</v>
      </c>
      <c r="N150">
        <v>20</v>
      </c>
      <c r="O150">
        <v>5.4089999999999999E-2</v>
      </c>
    </row>
    <row r="151" spans="1:16" x14ac:dyDescent="0.35">
      <c r="A151" t="s">
        <v>207</v>
      </c>
      <c r="B151" t="s">
        <v>17</v>
      </c>
      <c r="C151" t="s">
        <v>37</v>
      </c>
      <c r="D151" t="s">
        <v>190</v>
      </c>
      <c r="G151" t="s">
        <v>40</v>
      </c>
      <c r="H151" t="b">
        <v>1</v>
      </c>
      <c r="J151">
        <v>0</v>
      </c>
      <c r="L151">
        <v>72</v>
      </c>
      <c r="M151">
        <v>6.72048E-3</v>
      </c>
      <c r="N151">
        <v>72</v>
      </c>
      <c r="O151">
        <v>6.72048E-3</v>
      </c>
    </row>
    <row r="152" spans="1:16" x14ac:dyDescent="0.35">
      <c r="A152" t="s">
        <v>208</v>
      </c>
      <c r="B152" t="s">
        <v>17</v>
      </c>
      <c r="C152" t="s">
        <v>37</v>
      </c>
      <c r="D152" t="s">
        <v>190</v>
      </c>
      <c r="G152" t="s">
        <v>209</v>
      </c>
      <c r="H152" t="b">
        <v>1</v>
      </c>
      <c r="J152">
        <v>0</v>
      </c>
      <c r="L152">
        <v>33</v>
      </c>
      <c r="M152">
        <v>1.7159999999999998E-5</v>
      </c>
      <c r="N152">
        <v>33</v>
      </c>
      <c r="O152">
        <v>1.7159999999999998E-5</v>
      </c>
    </row>
    <row r="153" spans="1:16" x14ac:dyDescent="0.35">
      <c r="A153" t="s">
        <v>210</v>
      </c>
      <c r="B153" t="s">
        <v>17</v>
      </c>
      <c r="C153" t="s">
        <v>37</v>
      </c>
      <c r="D153" t="s">
        <v>190</v>
      </c>
      <c r="G153" t="s">
        <v>211</v>
      </c>
      <c r="H153" t="b">
        <v>0</v>
      </c>
      <c r="J153">
        <v>0</v>
      </c>
      <c r="L153">
        <v>29</v>
      </c>
      <c r="M153">
        <v>1.3339999999999999E-3</v>
      </c>
      <c r="N153">
        <v>0</v>
      </c>
      <c r="O153">
        <v>0</v>
      </c>
    </row>
    <row r="154" spans="1:16" x14ac:dyDescent="0.35">
      <c r="A154" t="s">
        <v>212</v>
      </c>
      <c r="B154" t="s">
        <v>17</v>
      </c>
      <c r="C154" t="s">
        <v>37</v>
      </c>
      <c r="D154" t="s">
        <v>190</v>
      </c>
      <c r="G154" t="s">
        <v>25</v>
      </c>
      <c r="H154" t="b">
        <v>1</v>
      </c>
      <c r="J154">
        <v>0</v>
      </c>
      <c r="L154">
        <v>25</v>
      </c>
      <c r="M154">
        <v>9.7499999999999996E-4</v>
      </c>
      <c r="N154">
        <v>25</v>
      </c>
      <c r="O154">
        <v>9.7499999999999996E-4</v>
      </c>
    </row>
    <row r="155" spans="1:16" ht="29" x14ac:dyDescent="0.35">
      <c r="A155" t="s">
        <v>213</v>
      </c>
      <c r="B155" t="s">
        <v>51</v>
      </c>
      <c r="C155" t="s">
        <v>52</v>
      </c>
      <c r="D155" t="s">
        <v>190</v>
      </c>
      <c r="E155" t="s">
        <v>20</v>
      </c>
      <c r="F155" t="s">
        <v>21</v>
      </c>
      <c r="G155" t="s">
        <v>33</v>
      </c>
      <c r="H155" t="b">
        <v>1</v>
      </c>
      <c r="I155">
        <v>10</v>
      </c>
      <c r="J155">
        <v>47.5</v>
      </c>
      <c r="L155">
        <v>19</v>
      </c>
      <c r="M155">
        <v>3.61627E-3</v>
      </c>
      <c r="N155">
        <v>19</v>
      </c>
      <c r="O155">
        <v>3.61627E-3</v>
      </c>
      <c r="P155" s="1" t="s">
        <v>23</v>
      </c>
    </row>
    <row r="156" spans="1:16" x14ac:dyDescent="0.35">
      <c r="A156" t="s">
        <v>214</v>
      </c>
      <c r="B156" t="s">
        <v>51</v>
      </c>
      <c r="C156" t="s">
        <v>52</v>
      </c>
      <c r="D156" t="s">
        <v>190</v>
      </c>
      <c r="E156" t="s">
        <v>20</v>
      </c>
      <c r="F156" t="s">
        <v>21</v>
      </c>
      <c r="G156" t="s">
        <v>29</v>
      </c>
      <c r="H156" t="b">
        <v>1</v>
      </c>
      <c r="I156">
        <v>10</v>
      </c>
      <c r="J156">
        <v>12</v>
      </c>
      <c r="L156">
        <v>1.2</v>
      </c>
      <c r="M156">
        <v>2.652E-4</v>
      </c>
      <c r="N156">
        <v>1.2</v>
      </c>
      <c r="O156">
        <v>2.652E-4</v>
      </c>
    </row>
    <row r="157" spans="1:16" ht="29" x14ac:dyDescent="0.35">
      <c r="A157" t="s">
        <v>215</v>
      </c>
      <c r="B157" t="s">
        <v>51</v>
      </c>
      <c r="C157" t="s">
        <v>52</v>
      </c>
      <c r="D157" t="s">
        <v>190</v>
      </c>
      <c r="E157" t="s">
        <v>20</v>
      </c>
      <c r="F157" t="s">
        <v>21</v>
      </c>
      <c r="G157" s="1" t="s">
        <v>56</v>
      </c>
      <c r="H157" t="b">
        <v>0</v>
      </c>
      <c r="I157">
        <v>10</v>
      </c>
      <c r="J157">
        <v>31</v>
      </c>
      <c r="L157">
        <v>6.2</v>
      </c>
      <c r="M157">
        <v>2.7899999999999999E-3</v>
      </c>
      <c r="N157">
        <v>0</v>
      </c>
      <c r="O157">
        <v>0</v>
      </c>
    </row>
    <row r="158" spans="1:16" x14ac:dyDescent="0.35">
      <c r="A158" t="s">
        <v>216</v>
      </c>
      <c r="B158" t="s">
        <v>51</v>
      </c>
      <c r="C158" t="s">
        <v>52</v>
      </c>
      <c r="D158" t="s">
        <v>190</v>
      </c>
      <c r="E158" t="s">
        <v>20</v>
      </c>
      <c r="F158" t="s">
        <v>21</v>
      </c>
      <c r="G158" t="s">
        <v>31</v>
      </c>
      <c r="H158" t="b">
        <v>0</v>
      </c>
      <c r="I158">
        <v>10</v>
      </c>
      <c r="J158">
        <v>107.571428571429</v>
      </c>
      <c r="L158">
        <v>75.3</v>
      </c>
      <c r="M158">
        <v>1.6942500000000001E-4</v>
      </c>
      <c r="N158">
        <v>0</v>
      </c>
      <c r="O158">
        <v>0</v>
      </c>
    </row>
    <row r="159" spans="1:16" x14ac:dyDescent="0.35">
      <c r="A159" t="s">
        <v>217</v>
      </c>
      <c r="B159" t="s">
        <v>51</v>
      </c>
      <c r="C159" t="s">
        <v>52</v>
      </c>
      <c r="D159" t="s">
        <v>190</v>
      </c>
      <c r="E159" t="s">
        <v>20</v>
      </c>
      <c r="F159" t="s">
        <v>21</v>
      </c>
      <c r="G159" t="s">
        <v>25</v>
      </c>
      <c r="H159" t="b">
        <v>1</v>
      </c>
      <c r="I159">
        <v>10</v>
      </c>
      <c r="J159">
        <v>12</v>
      </c>
      <c r="L159">
        <v>1.2</v>
      </c>
      <c r="M159">
        <v>4.6799999999999999E-5</v>
      </c>
      <c r="N159">
        <v>1.2</v>
      </c>
      <c r="O159">
        <v>4.6799999999999999E-5</v>
      </c>
    </row>
    <row r="160" spans="1:16" x14ac:dyDescent="0.35">
      <c r="A160" t="s">
        <v>218</v>
      </c>
      <c r="B160" t="s">
        <v>51</v>
      </c>
      <c r="C160" t="s">
        <v>52</v>
      </c>
      <c r="D160" t="s">
        <v>190</v>
      </c>
      <c r="E160" t="s">
        <v>20</v>
      </c>
      <c r="F160" t="s">
        <v>21</v>
      </c>
      <c r="G160" t="s">
        <v>54</v>
      </c>
      <c r="H160" t="b">
        <v>1</v>
      </c>
      <c r="I160">
        <v>10</v>
      </c>
      <c r="J160">
        <v>16</v>
      </c>
      <c r="L160">
        <v>1.6</v>
      </c>
      <c r="M160">
        <v>5.9199999999999997E-4</v>
      </c>
      <c r="N160">
        <v>1.6</v>
      </c>
      <c r="O160">
        <v>5.9199999999999997E-4</v>
      </c>
    </row>
    <row r="161" spans="1:16" x14ac:dyDescent="0.35">
      <c r="A161" t="s">
        <v>219</v>
      </c>
      <c r="B161" t="s">
        <v>51</v>
      </c>
      <c r="C161" t="s">
        <v>60</v>
      </c>
      <c r="D161" t="s">
        <v>190</v>
      </c>
      <c r="G161" t="s">
        <v>45</v>
      </c>
      <c r="H161" t="b">
        <v>0</v>
      </c>
      <c r="J161">
        <v>0</v>
      </c>
      <c r="L161">
        <v>780</v>
      </c>
      <c r="M161">
        <v>1.794E-3</v>
      </c>
      <c r="N161">
        <v>0</v>
      </c>
      <c r="O161">
        <v>0</v>
      </c>
    </row>
    <row r="162" spans="1:16" x14ac:dyDescent="0.35">
      <c r="A162" t="s">
        <v>220</v>
      </c>
      <c r="B162" t="s">
        <v>51</v>
      </c>
      <c r="C162" t="s">
        <v>60</v>
      </c>
      <c r="D162" t="s">
        <v>190</v>
      </c>
      <c r="G162" t="s">
        <v>27</v>
      </c>
      <c r="H162" t="b">
        <v>1</v>
      </c>
      <c r="J162">
        <v>0</v>
      </c>
      <c r="L162">
        <v>270</v>
      </c>
      <c r="M162">
        <v>2.9700000000000001E-2</v>
      </c>
      <c r="N162">
        <v>270</v>
      </c>
      <c r="O162">
        <v>2.9700000000000001E-2</v>
      </c>
    </row>
    <row r="163" spans="1:16" x14ac:dyDescent="0.35">
      <c r="A163" t="s">
        <v>221</v>
      </c>
      <c r="B163" t="s">
        <v>51</v>
      </c>
      <c r="C163" t="s">
        <v>60</v>
      </c>
      <c r="D163" t="s">
        <v>190</v>
      </c>
      <c r="G163" t="s">
        <v>54</v>
      </c>
      <c r="H163" t="b">
        <v>1</v>
      </c>
      <c r="J163">
        <v>0</v>
      </c>
      <c r="L163">
        <v>6</v>
      </c>
      <c r="M163">
        <v>2.2200000000000002E-3</v>
      </c>
      <c r="N163">
        <v>6</v>
      </c>
      <c r="O163">
        <v>2.2200000000000002E-3</v>
      </c>
    </row>
    <row r="164" spans="1:16" x14ac:dyDescent="0.35">
      <c r="A164" t="s">
        <v>222</v>
      </c>
      <c r="B164" t="s">
        <v>51</v>
      </c>
      <c r="C164" t="s">
        <v>60</v>
      </c>
      <c r="D164" t="s">
        <v>190</v>
      </c>
      <c r="G164" t="s">
        <v>69</v>
      </c>
      <c r="H164" t="b">
        <v>1</v>
      </c>
      <c r="J164">
        <v>0</v>
      </c>
      <c r="L164">
        <v>19</v>
      </c>
      <c r="M164">
        <v>1.093716E-2</v>
      </c>
      <c r="N164">
        <v>19</v>
      </c>
      <c r="O164">
        <v>1.093716E-2</v>
      </c>
    </row>
    <row r="165" spans="1:16" x14ac:dyDescent="0.35">
      <c r="A165" t="s">
        <v>223</v>
      </c>
      <c r="B165" t="s">
        <v>51</v>
      </c>
      <c r="C165" t="s">
        <v>60</v>
      </c>
      <c r="D165" t="s">
        <v>190</v>
      </c>
      <c r="G165" t="s">
        <v>224</v>
      </c>
      <c r="H165" t="b">
        <v>0</v>
      </c>
      <c r="J165">
        <v>0</v>
      </c>
      <c r="L165">
        <v>12</v>
      </c>
      <c r="M165">
        <v>2.6400000000000002E-4</v>
      </c>
      <c r="N165">
        <v>0</v>
      </c>
      <c r="O165">
        <v>0</v>
      </c>
    </row>
    <row r="166" spans="1:16" ht="29" x14ac:dyDescent="0.35">
      <c r="A166" t="s">
        <v>225</v>
      </c>
      <c r="B166" t="s">
        <v>51</v>
      </c>
      <c r="C166" t="s">
        <v>60</v>
      </c>
      <c r="D166" t="s">
        <v>190</v>
      </c>
      <c r="G166" t="s">
        <v>22</v>
      </c>
      <c r="H166" t="b">
        <v>1</v>
      </c>
      <c r="J166">
        <v>0</v>
      </c>
      <c r="L166">
        <v>16</v>
      </c>
      <c r="M166">
        <v>1.14877714272E-3</v>
      </c>
      <c r="N166">
        <v>16</v>
      </c>
      <c r="O166">
        <v>1.14877714272E-3</v>
      </c>
      <c r="P166" s="1" t="s">
        <v>23</v>
      </c>
    </row>
    <row r="167" spans="1:16" ht="29" x14ac:dyDescent="0.35">
      <c r="A167" t="s">
        <v>226</v>
      </c>
      <c r="B167" t="s">
        <v>51</v>
      </c>
      <c r="C167" t="s">
        <v>60</v>
      </c>
      <c r="D167" t="s">
        <v>190</v>
      </c>
      <c r="G167" t="s">
        <v>33</v>
      </c>
      <c r="H167" t="b">
        <v>1</v>
      </c>
      <c r="J167">
        <v>0</v>
      </c>
      <c r="L167">
        <v>500</v>
      </c>
      <c r="M167">
        <v>9.5165E-2</v>
      </c>
      <c r="N167">
        <v>500</v>
      </c>
      <c r="O167">
        <v>9.5165E-2</v>
      </c>
      <c r="P167" s="1" t="s">
        <v>23</v>
      </c>
    </row>
    <row r="168" spans="1:16" x14ac:dyDescent="0.35">
      <c r="A168" t="s">
        <v>227</v>
      </c>
      <c r="B168" t="s">
        <v>51</v>
      </c>
      <c r="C168" t="s">
        <v>60</v>
      </c>
      <c r="D168" t="s">
        <v>190</v>
      </c>
      <c r="G168" t="s">
        <v>40</v>
      </c>
      <c r="H168" t="b">
        <v>1</v>
      </c>
      <c r="J168">
        <v>0</v>
      </c>
      <c r="L168">
        <v>8</v>
      </c>
      <c r="M168">
        <v>7.4671999999999998E-4</v>
      </c>
      <c r="N168">
        <v>8</v>
      </c>
      <c r="O168">
        <v>7.4671999999999998E-4</v>
      </c>
    </row>
    <row r="169" spans="1:16" x14ac:dyDescent="0.35">
      <c r="A169" t="s">
        <v>228</v>
      </c>
      <c r="B169" t="s">
        <v>51</v>
      </c>
      <c r="C169" t="s">
        <v>60</v>
      </c>
      <c r="D169" t="s">
        <v>190</v>
      </c>
      <c r="G169" t="s">
        <v>209</v>
      </c>
      <c r="H169" t="b">
        <v>1</v>
      </c>
      <c r="J169">
        <v>0</v>
      </c>
      <c r="L169">
        <v>180</v>
      </c>
      <c r="M169">
        <v>9.3599999999999998E-5</v>
      </c>
      <c r="N169">
        <v>180</v>
      </c>
      <c r="O169">
        <v>9.3599999999999998E-5</v>
      </c>
    </row>
    <row r="170" spans="1:16" x14ac:dyDescent="0.35">
      <c r="A170" t="s">
        <v>229</v>
      </c>
      <c r="B170" t="s">
        <v>51</v>
      </c>
      <c r="C170" t="s">
        <v>60</v>
      </c>
      <c r="D170" t="s">
        <v>190</v>
      </c>
      <c r="G170" t="s">
        <v>211</v>
      </c>
      <c r="H170" t="b">
        <v>0</v>
      </c>
      <c r="J170">
        <v>0</v>
      </c>
      <c r="L170">
        <v>23</v>
      </c>
      <c r="M170">
        <v>1.0579999999999999E-3</v>
      </c>
      <c r="N170">
        <v>0</v>
      </c>
      <c r="O170">
        <v>0</v>
      </c>
    </row>
    <row r="171" spans="1:16" x14ac:dyDescent="0.35">
      <c r="A171" t="s">
        <v>230</v>
      </c>
      <c r="B171" t="s">
        <v>51</v>
      </c>
      <c r="C171" t="s">
        <v>60</v>
      </c>
      <c r="D171" t="s">
        <v>190</v>
      </c>
      <c r="G171" t="s">
        <v>25</v>
      </c>
      <c r="H171" t="b">
        <v>1</v>
      </c>
      <c r="J171">
        <v>0</v>
      </c>
      <c r="L171">
        <v>30</v>
      </c>
      <c r="M171">
        <v>1.17E-3</v>
      </c>
      <c r="N171">
        <v>30</v>
      </c>
      <c r="O171">
        <v>1.17E-3</v>
      </c>
    </row>
    <row r="172" spans="1:16" x14ac:dyDescent="0.35">
      <c r="A172" t="s">
        <v>231</v>
      </c>
      <c r="B172" t="s">
        <v>51</v>
      </c>
      <c r="C172" t="s">
        <v>60</v>
      </c>
      <c r="D172" t="s">
        <v>190</v>
      </c>
      <c r="G172" t="s">
        <v>111</v>
      </c>
      <c r="H172" t="b">
        <v>1</v>
      </c>
      <c r="J172">
        <v>0</v>
      </c>
      <c r="L172">
        <v>100</v>
      </c>
      <c r="M172">
        <v>0</v>
      </c>
      <c r="N172">
        <v>100</v>
      </c>
      <c r="O172">
        <v>0</v>
      </c>
    </row>
    <row r="173" spans="1:16" ht="29" x14ac:dyDescent="0.35">
      <c r="A173" t="s">
        <v>232</v>
      </c>
      <c r="B173" t="s">
        <v>51</v>
      </c>
      <c r="C173" t="s">
        <v>60</v>
      </c>
      <c r="D173" t="s">
        <v>190</v>
      </c>
      <c r="G173" s="1" t="s">
        <v>56</v>
      </c>
      <c r="H173" t="b">
        <v>0</v>
      </c>
      <c r="J173">
        <v>0</v>
      </c>
      <c r="L173">
        <v>1</v>
      </c>
      <c r="M173">
        <v>4.4999999999999999E-4</v>
      </c>
      <c r="N173">
        <v>0</v>
      </c>
      <c r="O173">
        <v>0</v>
      </c>
    </row>
    <row r="174" spans="1:16" ht="29" x14ac:dyDescent="0.35">
      <c r="A174" t="s">
        <v>233</v>
      </c>
      <c r="B174" t="s">
        <v>51</v>
      </c>
      <c r="C174" t="s">
        <v>71</v>
      </c>
      <c r="D174" t="s">
        <v>190</v>
      </c>
      <c r="E174" t="s">
        <v>20</v>
      </c>
      <c r="F174" t="s">
        <v>94</v>
      </c>
      <c r="G174" t="s">
        <v>33</v>
      </c>
      <c r="H174" t="b">
        <v>1</v>
      </c>
      <c r="I174">
        <v>10</v>
      </c>
      <c r="J174">
        <v>37.15</v>
      </c>
      <c r="K174">
        <v>15</v>
      </c>
      <c r="L174">
        <v>4084.8617881944401</v>
      </c>
      <c r="M174">
        <v>0.77747174414704801</v>
      </c>
      <c r="N174">
        <v>4084.8617881944401</v>
      </c>
      <c r="O174">
        <v>0.77747174414704801</v>
      </c>
      <c r="P174" s="1" t="s">
        <v>23</v>
      </c>
    </row>
    <row r="175" spans="1:16" x14ac:dyDescent="0.35">
      <c r="A175" t="s">
        <v>234</v>
      </c>
      <c r="B175" t="s">
        <v>51</v>
      </c>
      <c r="C175" t="s">
        <v>71</v>
      </c>
      <c r="D175" t="s">
        <v>190</v>
      </c>
      <c r="E175" t="s">
        <v>20</v>
      </c>
      <c r="F175" t="s">
        <v>94</v>
      </c>
      <c r="G175" t="s">
        <v>25</v>
      </c>
      <c r="H175" t="b">
        <v>1</v>
      </c>
      <c r="I175">
        <v>10</v>
      </c>
      <c r="J175">
        <v>5</v>
      </c>
      <c r="L175">
        <v>31.415972222222202</v>
      </c>
      <c r="M175">
        <v>1.2252229166666701E-3</v>
      </c>
      <c r="N175">
        <v>31.415972222222202</v>
      </c>
      <c r="O175">
        <v>1.2252229166666701E-3</v>
      </c>
    </row>
    <row r="176" spans="1:16" x14ac:dyDescent="0.35">
      <c r="A176" t="s">
        <v>235</v>
      </c>
      <c r="B176" t="s">
        <v>51</v>
      </c>
      <c r="C176" t="s">
        <v>71</v>
      </c>
      <c r="D176" t="s">
        <v>190</v>
      </c>
      <c r="E176" t="s">
        <v>20</v>
      </c>
      <c r="F176" t="s">
        <v>94</v>
      </c>
      <c r="G176" t="s">
        <v>35</v>
      </c>
      <c r="H176" t="b">
        <v>1</v>
      </c>
      <c r="I176">
        <v>10</v>
      </c>
      <c r="J176">
        <v>392</v>
      </c>
      <c r="L176">
        <v>1231.5061111111099</v>
      </c>
      <c r="M176">
        <v>3.3306082775000001</v>
      </c>
      <c r="N176">
        <v>1231.5061111111099</v>
      </c>
      <c r="O176">
        <v>3.3306082775000001</v>
      </c>
    </row>
    <row r="177" spans="1:16" x14ac:dyDescent="0.35">
      <c r="A177" t="s">
        <v>236</v>
      </c>
      <c r="B177" t="s">
        <v>51</v>
      </c>
      <c r="C177" t="s">
        <v>71</v>
      </c>
      <c r="D177" t="s">
        <v>190</v>
      </c>
      <c r="E177" t="s">
        <v>20</v>
      </c>
      <c r="F177" t="s">
        <v>94</v>
      </c>
      <c r="G177" t="s">
        <v>69</v>
      </c>
      <c r="H177" t="b">
        <v>1</v>
      </c>
      <c r="I177">
        <v>10</v>
      </c>
      <c r="J177">
        <v>18</v>
      </c>
      <c r="L177">
        <v>169.64625000000001</v>
      </c>
      <c r="M177">
        <v>9.7655167350000002E-2</v>
      </c>
      <c r="N177">
        <v>169.64625000000001</v>
      </c>
      <c r="O177">
        <v>9.7655167350000002E-2</v>
      </c>
    </row>
    <row r="178" spans="1:16" ht="29" x14ac:dyDescent="0.35">
      <c r="A178" t="s">
        <v>237</v>
      </c>
      <c r="B178" t="s">
        <v>51</v>
      </c>
      <c r="C178" t="s">
        <v>71</v>
      </c>
      <c r="D178" t="s">
        <v>190</v>
      </c>
      <c r="E178" t="s">
        <v>20</v>
      </c>
      <c r="F178" t="s">
        <v>94</v>
      </c>
      <c r="G178" t="s">
        <v>22</v>
      </c>
      <c r="H178" t="b">
        <v>1</v>
      </c>
      <c r="I178">
        <v>10</v>
      </c>
      <c r="J178">
        <v>33</v>
      </c>
      <c r="L178">
        <v>207.34541666666701</v>
      </c>
      <c r="M178">
        <v>1.4887104707151299E-2</v>
      </c>
      <c r="N178">
        <v>207.34541666666701</v>
      </c>
      <c r="O178">
        <v>1.4887104707151299E-2</v>
      </c>
      <c r="P178" s="1" t="s">
        <v>23</v>
      </c>
    </row>
    <row r="179" spans="1:16" x14ac:dyDescent="0.35">
      <c r="A179" t="s">
        <v>238</v>
      </c>
      <c r="B179" t="s">
        <v>51</v>
      </c>
      <c r="C179" t="s">
        <v>76</v>
      </c>
      <c r="D179" t="s">
        <v>190</v>
      </c>
      <c r="G179" t="s">
        <v>31</v>
      </c>
      <c r="H179" t="b">
        <v>0</v>
      </c>
      <c r="J179">
        <v>0</v>
      </c>
      <c r="L179">
        <v>4</v>
      </c>
      <c r="M179">
        <v>9.0000000000000002E-6</v>
      </c>
      <c r="N179">
        <v>0</v>
      </c>
      <c r="O179">
        <v>0</v>
      </c>
    </row>
    <row r="180" spans="1:16" x14ac:dyDescent="0.35">
      <c r="A180" t="s">
        <v>239</v>
      </c>
      <c r="B180" t="s">
        <v>51</v>
      </c>
      <c r="C180" t="s">
        <v>76</v>
      </c>
      <c r="D180" t="s">
        <v>190</v>
      </c>
      <c r="G180" t="s">
        <v>27</v>
      </c>
      <c r="H180" t="b">
        <v>1</v>
      </c>
      <c r="J180">
        <v>0</v>
      </c>
      <c r="L180">
        <v>1</v>
      </c>
      <c r="M180">
        <v>1.1E-4</v>
      </c>
      <c r="N180">
        <v>1</v>
      </c>
      <c r="O180">
        <v>1.1E-4</v>
      </c>
    </row>
    <row r="181" spans="1:16" x14ac:dyDescent="0.35">
      <c r="A181" t="s">
        <v>240</v>
      </c>
      <c r="B181" t="s">
        <v>51</v>
      </c>
      <c r="C181" t="s">
        <v>76</v>
      </c>
      <c r="D181" t="s">
        <v>190</v>
      </c>
      <c r="G181" t="s">
        <v>54</v>
      </c>
      <c r="H181" t="b">
        <v>1</v>
      </c>
      <c r="J181">
        <v>0</v>
      </c>
      <c r="L181">
        <v>14</v>
      </c>
      <c r="M181">
        <v>5.1799999999999997E-3</v>
      </c>
      <c r="N181">
        <v>14</v>
      </c>
      <c r="O181">
        <v>5.1799999999999997E-3</v>
      </c>
    </row>
    <row r="182" spans="1:16" x14ac:dyDescent="0.35">
      <c r="A182" t="s">
        <v>241</v>
      </c>
      <c r="B182" t="s">
        <v>51</v>
      </c>
      <c r="C182" t="s">
        <v>76</v>
      </c>
      <c r="D182" t="s">
        <v>190</v>
      </c>
      <c r="G182" t="s">
        <v>69</v>
      </c>
      <c r="H182" t="b">
        <v>1</v>
      </c>
      <c r="J182">
        <v>0</v>
      </c>
      <c r="L182">
        <v>1</v>
      </c>
      <c r="M182">
        <v>5.7563999999999998E-4</v>
      </c>
      <c r="N182">
        <v>1</v>
      </c>
      <c r="O182">
        <v>5.7563999999999998E-4</v>
      </c>
    </row>
    <row r="183" spans="1:16" x14ac:dyDescent="0.35">
      <c r="A183" t="s">
        <v>242</v>
      </c>
      <c r="B183" t="s">
        <v>51</v>
      </c>
      <c r="C183" t="s">
        <v>76</v>
      </c>
      <c r="D183" t="s">
        <v>190</v>
      </c>
      <c r="G183" t="s">
        <v>202</v>
      </c>
      <c r="H183" t="b">
        <v>0</v>
      </c>
      <c r="J183">
        <v>0</v>
      </c>
      <c r="L183">
        <v>20</v>
      </c>
      <c r="M183">
        <v>4.4000000000000002E-4</v>
      </c>
      <c r="N183">
        <v>0</v>
      </c>
      <c r="O183">
        <v>0</v>
      </c>
    </row>
    <row r="184" spans="1:16" ht="29" x14ac:dyDescent="0.35">
      <c r="A184" t="s">
        <v>243</v>
      </c>
      <c r="B184" t="s">
        <v>51</v>
      </c>
      <c r="C184" t="s">
        <v>76</v>
      </c>
      <c r="D184" t="s">
        <v>190</v>
      </c>
      <c r="G184" t="s">
        <v>33</v>
      </c>
      <c r="H184" t="b">
        <v>1</v>
      </c>
      <c r="J184">
        <v>0</v>
      </c>
      <c r="L184">
        <v>190</v>
      </c>
      <c r="M184">
        <v>3.6162699999999999E-2</v>
      </c>
      <c r="N184">
        <v>190</v>
      </c>
      <c r="O184">
        <v>3.6162699999999999E-2</v>
      </c>
      <c r="P184" s="1" t="s">
        <v>23</v>
      </c>
    </row>
    <row r="185" spans="1:16" x14ac:dyDescent="0.35">
      <c r="A185" t="s">
        <v>244</v>
      </c>
      <c r="B185" t="s">
        <v>51</v>
      </c>
      <c r="C185" t="s">
        <v>76</v>
      </c>
      <c r="D185" t="s">
        <v>190</v>
      </c>
      <c r="G185" t="s">
        <v>40</v>
      </c>
      <c r="H185" t="b">
        <v>1</v>
      </c>
      <c r="J185">
        <v>0</v>
      </c>
      <c r="L185">
        <v>10</v>
      </c>
      <c r="M185">
        <v>9.3340000000000003E-4</v>
      </c>
      <c r="N185">
        <v>10</v>
      </c>
      <c r="O185">
        <v>9.3340000000000003E-4</v>
      </c>
    </row>
    <row r="186" spans="1:16" x14ac:dyDescent="0.35">
      <c r="A186" t="s">
        <v>245</v>
      </c>
      <c r="B186" t="s">
        <v>51</v>
      </c>
      <c r="C186" t="s">
        <v>76</v>
      </c>
      <c r="D186" t="s">
        <v>190</v>
      </c>
      <c r="G186" t="s">
        <v>209</v>
      </c>
      <c r="H186" t="b">
        <v>1</v>
      </c>
      <c r="J186">
        <v>0</v>
      </c>
      <c r="L186">
        <v>660</v>
      </c>
      <c r="M186">
        <v>3.4319999999999999E-4</v>
      </c>
      <c r="N186">
        <v>660</v>
      </c>
      <c r="O186">
        <v>3.4319999999999999E-4</v>
      </c>
    </row>
    <row r="187" spans="1:16" x14ac:dyDescent="0.35">
      <c r="A187" t="s">
        <v>246</v>
      </c>
      <c r="B187" t="s">
        <v>51</v>
      </c>
      <c r="C187" t="s">
        <v>76</v>
      </c>
      <c r="D187" t="s">
        <v>190</v>
      </c>
      <c r="G187" t="s">
        <v>211</v>
      </c>
      <c r="H187" t="b">
        <v>0</v>
      </c>
      <c r="J187">
        <v>0</v>
      </c>
      <c r="L187">
        <v>29</v>
      </c>
      <c r="M187">
        <v>1.3339999999999999E-3</v>
      </c>
      <c r="N187">
        <v>0</v>
      </c>
      <c r="O187">
        <v>0</v>
      </c>
    </row>
    <row r="188" spans="1:16" x14ac:dyDescent="0.35">
      <c r="A188" t="s">
        <v>247</v>
      </c>
      <c r="B188" t="s">
        <v>51</v>
      </c>
      <c r="C188" t="s">
        <v>76</v>
      </c>
      <c r="D188" t="s">
        <v>190</v>
      </c>
      <c r="G188" t="s">
        <v>25</v>
      </c>
      <c r="H188" t="b">
        <v>1</v>
      </c>
      <c r="J188">
        <v>0</v>
      </c>
      <c r="L188">
        <v>1</v>
      </c>
      <c r="M188">
        <v>3.8999999999999999E-5</v>
      </c>
      <c r="N188">
        <v>1</v>
      </c>
      <c r="O188">
        <v>3.8999999999999999E-5</v>
      </c>
    </row>
    <row r="189" spans="1:16" x14ac:dyDescent="0.35">
      <c r="A189" t="s">
        <v>248</v>
      </c>
      <c r="B189" t="s">
        <v>51</v>
      </c>
      <c r="C189" t="s">
        <v>83</v>
      </c>
      <c r="D189" t="s">
        <v>190</v>
      </c>
      <c r="G189" t="s">
        <v>31</v>
      </c>
      <c r="H189" t="b">
        <v>0</v>
      </c>
      <c r="J189">
        <v>0</v>
      </c>
      <c r="L189">
        <v>13</v>
      </c>
      <c r="M189">
        <v>2.9249999999999999E-5</v>
      </c>
      <c r="N189">
        <v>0</v>
      </c>
      <c r="O189">
        <v>0</v>
      </c>
    </row>
    <row r="190" spans="1:16" x14ac:dyDescent="0.35">
      <c r="A190" t="s">
        <v>249</v>
      </c>
      <c r="B190" t="s">
        <v>51</v>
      </c>
      <c r="C190" t="s">
        <v>83</v>
      </c>
      <c r="D190" t="s">
        <v>190</v>
      </c>
      <c r="G190" t="s">
        <v>27</v>
      </c>
      <c r="H190" t="b">
        <v>1</v>
      </c>
      <c r="J190">
        <v>0</v>
      </c>
      <c r="L190">
        <v>2</v>
      </c>
      <c r="M190">
        <v>2.2000000000000001E-4</v>
      </c>
      <c r="N190">
        <v>2</v>
      </c>
      <c r="O190">
        <v>2.2000000000000001E-4</v>
      </c>
    </row>
    <row r="191" spans="1:16" x14ac:dyDescent="0.35">
      <c r="A191" t="s">
        <v>250</v>
      </c>
      <c r="B191" t="s">
        <v>51</v>
      </c>
      <c r="C191" t="s">
        <v>83</v>
      </c>
      <c r="D191" t="s">
        <v>190</v>
      </c>
      <c r="G191" t="s">
        <v>54</v>
      </c>
      <c r="H191" t="b">
        <v>1</v>
      </c>
      <c r="J191">
        <v>0</v>
      </c>
      <c r="L191">
        <v>10</v>
      </c>
      <c r="M191">
        <v>3.7000000000000002E-3</v>
      </c>
      <c r="N191">
        <v>10</v>
      </c>
      <c r="O191">
        <v>3.7000000000000002E-3</v>
      </c>
    </row>
    <row r="192" spans="1:16" x14ac:dyDescent="0.35">
      <c r="A192" t="s">
        <v>251</v>
      </c>
      <c r="B192" t="s">
        <v>51</v>
      </c>
      <c r="C192" t="s">
        <v>83</v>
      </c>
      <c r="D192" t="s">
        <v>190</v>
      </c>
      <c r="G192" t="s">
        <v>69</v>
      </c>
      <c r="H192" t="b">
        <v>1</v>
      </c>
      <c r="J192">
        <v>0</v>
      </c>
      <c r="L192">
        <v>17</v>
      </c>
      <c r="M192">
        <v>9.7858800000000003E-3</v>
      </c>
      <c r="N192">
        <v>17</v>
      </c>
      <c r="O192">
        <v>9.7858800000000003E-3</v>
      </c>
    </row>
    <row r="193" spans="1:16" x14ac:dyDescent="0.35">
      <c r="A193" t="s">
        <v>252</v>
      </c>
      <c r="B193" t="s">
        <v>51</v>
      </c>
      <c r="C193" t="s">
        <v>83</v>
      </c>
      <c r="D193" t="s">
        <v>190</v>
      </c>
      <c r="G193" t="s">
        <v>143</v>
      </c>
      <c r="H193" t="b">
        <v>1</v>
      </c>
      <c r="J193">
        <v>0</v>
      </c>
      <c r="L193">
        <v>3</v>
      </c>
      <c r="M193">
        <v>5.6999999999999998E-4</v>
      </c>
      <c r="N193">
        <v>3</v>
      </c>
      <c r="O193">
        <v>5.6999999999999998E-4</v>
      </c>
    </row>
    <row r="194" spans="1:16" ht="29" x14ac:dyDescent="0.35">
      <c r="A194" t="s">
        <v>253</v>
      </c>
      <c r="B194" t="s">
        <v>51</v>
      </c>
      <c r="C194" t="s">
        <v>83</v>
      </c>
      <c r="D194" t="s">
        <v>190</v>
      </c>
      <c r="G194" t="s">
        <v>33</v>
      </c>
      <c r="H194" t="b">
        <v>1</v>
      </c>
      <c r="J194">
        <v>0</v>
      </c>
      <c r="L194">
        <v>2000</v>
      </c>
      <c r="M194">
        <v>0.38066</v>
      </c>
      <c r="N194">
        <v>2000</v>
      </c>
      <c r="O194">
        <v>0.38066</v>
      </c>
      <c r="P194" s="1" t="s">
        <v>23</v>
      </c>
    </row>
    <row r="195" spans="1:16" x14ac:dyDescent="0.35">
      <c r="A195" t="s">
        <v>254</v>
      </c>
      <c r="B195" t="s">
        <v>51</v>
      </c>
      <c r="C195" t="s">
        <v>83</v>
      </c>
      <c r="D195" t="s">
        <v>190</v>
      </c>
      <c r="G195" t="s">
        <v>40</v>
      </c>
      <c r="H195" t="b">
        <v>1</v>
      </c>
      <c r="J195">
        <v>0</v>
      </c>
      <c r="L195">
        <v>60</v>
      </c>
      <c r="M195">
        <v>5.6004000000000002E-3</v>
      </c>
      <c r="N195">
        <v>60</v>
      </c>
      <c r="O195">
        <v>5.6004000000000002E-3</v>
      </c>
    </row>
    <row r="196" spans="1:16" x14ac:dyDescent="0.35">
      <c r="A196" t="s">
        <v>255</v>
      </c>
      <c r="B196" t="s">
        <v>51</v>
      </c>
      <c r="C196" t="s">
        <v>83</v>
      </c>
      <c r="D196" t="s">
        <v>190</v>
      </c>
      <c r="G196" t="s">
        <v>209</v>
      </c>
      <c r="H196" t="b">
        <v>1</v>
      </c>
      <c r="J196">
        <v>0</v>
      </c>
      <c r="L196">
        <v>2000</v>
      </c>
      <c r="M196">
        <v>1.0399999999999999E-3</v>
      </c>
      <c r="N196">
        <v>2000</v>
      </c>
      <c r="O196">
        <v>1.0399999999999999E-3</v>
      </c>
    </row>
    <row r="197" spans="1:16" x14ac:dyDescent="0.35">
      <c r="A197" t="s">
        <v>256</v>
      </c>
      <c r="B197" t="s">
        <v>51</v>
      </c>
      <c r="C197" t="s">
        <v>83</v>
      </c>
      <c r="D197" t="s">
        <v>190</v>
      </c>
      <c r="G197" t="s">
        <v>211</v>
      </c>
      <c r="H197" t="b">
        <v>0</v>
      </c>
      <c r="J197">
        <v>0</v>
      </c>
      <c r="L197">
        <v>160</v>
      </c>
      <c r="M197">
        <v>7.3600000000000002E-3</v>
      </c>
      <c r="N197">
        <v>0</v>
      </c>
      <c r="O197">
        <v>0</v>
      </c>
    </row>
    <row r="198" spans="1:16" x14ac:dyDescent="0.35">
      <c r="A198" t="s">
        <v>257</v>
      </c>
      <c r="B198" t="s">
        <v>51</v>
      </c>
      <c r="C198" t="s">
        <v>83</v>
      </c>
      <c r="D198" t="s">
        <v>190</v>
      </c>
      <c r="G198" t="s">
        <v>25</v>
      </c>
      <c r="H198" t="b">
        <v>1</v>
      </c>
      <c r="J198">
        <v>0</v>
      </c>
      <c r="L198">
        <v>19</v>
      </c>
      <c r="M198">
        <v>7.4100000000000001E-4</v>
      </c>
      <c r="N198">
        <v>19</v>
      </c>
      <c r="O198">
        <v>7.4100000000000001E-4</v>
      </c>
    </row>
    <row r="199" spans="1:16" x14ac:dyDescent="0.35">
      <c r="A199" t="s">
        <v>258</v>
      </c>
      <c r="B199" t="s">
        <v>51</v>
      </c>
      <c r="C199" t="s">
        <v>83</v>
      </c>
      <c r="D199" t="s">
        <v>190</v>
      </c>
      <c r="G199" t="s">
        <v>35</v>
      </c>
      <c r="H199" t="b">
        <v>1</v>
      </c>
      <c r="J199">
        <v>0</v>
      </c>
      <c r="L199">
        <v>10</v>
      </c>
      <c r="M199">
        <v>2.7045E-2</v>
      </c>
      <c r="N199">
        <v>10</v>
      </c>
      <c r="O199">
        <v>2.7045E-2</v>
      </c>
    </row>
    <row r="200" spans="1:16" ht="29" x14ac:dyDescent="0.35">
      <c r="A200" t="s">
        <v>259</v>
      </c>
      <c r="B200" t="s">
        <v>88</v>
      </c>
      <c r="C200" t="s">
        <v>89</v>
      </c>
      <c r="D200" t="s">
        <v>190</v>
      </c>
      <c r="E200" t="s">
        <v>20</v>
      </c>
      <c r="F200" t="s">
        <v>21</v>
      </c>
      <c r="G200" t="s">
        <v>33</v>
      </c>
      <c r="H200" t="b">
        <v>1</v>
      </c>
      <c r="I200">
        <v>10</v>
      </c>
      <c r="J200">
        <v>38.25</v>
      </c>
      <c r="K200">
        <v>9</v>
      </c>
      <c r="L200">
        <v>110.925</v>
      </c>
      <c r="M200">
        <v>2.1112355249999999E-2</v>
      </c>
      <c r="N200">
        <v>110.925</v>
      </c>
      <c r="O200">
        <v>2.1112355249999999E-2</v>
      </c>
      <c r="P200" s="1" t="s">
        <v>23</v>
      </c>
    </row>
    <row r="201" spans="1:16" ht="29" x14ac:dyDescent="0.35">
      <c r="A201" t="s">
        <v>260</v>
      </c>
      <c r="B201" t="s">
        <v>88</v>
      </c>
      <c r="C201" t="s">
        <v>89</v>
      </c>
      <c r="D201" t="s">
        <v>190</v>
      </c>
      <c r="E201" t="s">
        <v>20</v>
      </c>
      <c r="F201" t="s">
        <v>21</v>
      </c>
      <c r="G201" t="s">
        <v>22</v>
      </c>
      <c r="H201" t="b">
        <v>1</v>
      </c>
      <c r="I201">
        <v>10</v>
      </c>
      <c r="J201">
        <v>9.3333333333333304</v>
      </c>
      <c r="L201">
        <v>2.8</v>
      </c>
      <c r="M201">
        <v>2.01035999976E-4</v>
      </c>
      <c r="N201">
        <v>2.8</v>
      </c>
      <c r="O201">
        <v>2.01035999976E-4</v>
      </c>
      <c r="P201" s="1" t="s">
        <v>23</v>
      </c>
    </row>
    <row r="202" spans="1:16" x14ac:dyDescent="0.35">
      <c r="A202" t="s">
        <v>261</v>
      </c>
      <c r="B202" t="s">
        <v>88</v>
      </c>
      <c r="C202" t="s">
        <v>89</v>
      </c>
      <c r="D202" t="s">
        <v>190</v>
      </c>
      <c r="E202" t="s">
        <v>20</v>
      </c>
      <c r="F202" t="s">
        <v>21</v>
      </c>
      <c r="G202" t="s">
        <v>25</v>
      </c>
      <c r="H202" t="b">
        <v>1</v>
      </c>
      <c r="I202">
        <v>10</v>
      </c>
      <c r="J202">
        <v>4.4285714285714297</v>
      </c>
      <c r="L202">
        <v>3.1</v>
      </c>
      <c r="M202">
        <v>1.209E-4</v>
      </c>
      <c r="N202">
        <v>3.1</v>
      </c>
      <c r="O202">
        <v>1.209E-4</v>
      </c>
    </row>
    <row r="203" spans="1:16" ht="29" x14ac:dyDescent="0.35">
      <c r="A203" t="s">
        <v>262</v>
      </c>
      <c r="B203" t="s">
        <v>88</v>
      </c>
      <c r="C203" t="s">
        <v>93</v>
      </c>
      <c r="D203" t="s">
        <v>190</v>
      </c>
      <c r="E203" t="s">
        <v>20</v>
      </c>
      <c r="F203" t="s">
        <v>94</v>
      </c>
      <c r="G203" t="s">
        <v>33</v>
      </c>
      <c r="H203" t="b">
        <v>1</v>
      </c>
      <c r="I203">
        <v>10</v>
      </c>
      <c r="J203">
        <v>36.375</v>
      </c>
      <c r="L203">
        <v>914.20479166666701</v>
      </c>
      <c r="M203">
        <v>0.17400059799791701</v>
      </c>
      <c r="N203">
        <v>914.20479166666598</v>
      </c>
      <c r="O203">
        <v>0.17400059799791701</v>
      </c>
      <c r="P203" s="1" t="s">
        <v>23</v>
      </c>
    </row>
    <row r="204" spans="1:16" x14ac:dyDescent="0.35">
      <c r="A204" t="s">
        <v>263</v>
      </c>
      <c r="B204" t="s">
        <v>88</v>
      </c>
      <c r="C204" t="s">
        <v>93</v>
      </c>
      <c r="D204" t="s">
        <v>190</v>
      </c>
      <c r="E204" t="s">
        <v>20</v>
      </c>
      <c r="F204" t="s">
        <v>94</v>
      </c>
      <c r="G204" t="s">
        <v>25</v>
      </c>
      <c r="H204" t="b">
        <v>1</v>
      </c>
      <c r="I204">
        <v>10</v>
      </c>
      <c r="J204">
        <v>8.3333333333333304</v>
      </c>
      <c r="L204">
        <v>157.079861111111</v>
      </c>
      <c r="M204">
        <v>6.1261145833333298E-3</v>
      </c>
      <c r="N204">
        <v>157.079861111111</v>
      </c>
      <c r="O204">
        <v>6.1261145833333298E-3</v>
      </c>
    </row>
    <row r="205" spans="1:16" x14ac:dyDescent="0.35">
      <c r="A205" t="s">
        <v>264</v>
      </c>
      <c r="B205" t="s">
        <v>88</v>
      </c>
      <c r="C205" t="s">
        <v>93</v>
      </c>
      <c r="D205" t="s">
        <v>190</v>
      </c>
      <c r="E205" t="s">
        <v>20</v>
      </c>
      <c r="F205" t="s">
        <v>94</v>
      </c>
      <c r="G205" t="s">
        <v>40</v>
      </c>
      <c r="H205" t="b">
        <v>1</v>
      </c>
      <c r="I205">
        <v>10</v>
      </c>
      <c r="J205">
        <v>64</v>
      </c>
      <c r="L205">
        <v>201.062222222222</v>
      </c>
      <c r="M205">
        <v>1.8767147822222201E-2</v>
      </c>
      <c r="N205">
        <v>201.062222222222</v>
      </c>
      <c r="O205">
        <v>1.8767147822222201E-2</v>
      </c>
    </row>
    <row r="206" spans="1:16" x14ac:dyDescent="0.35">
      <c r="A206" t="s">
        <v>265</v>
      </c>
      <c r="B206" t="s">
        <v>88</v>
      </c>
      <c r="C206" t="s">
        <v>93</v>
      </c>
      <c r="D206" t="s">
        <v>190</v>
      </c>
      <c r="E206" t="s">
        <v>20</v>
      </c>
      <c r="F206" t="s">
        <v>94</v>
      </c>
      <c r="G206" t="s">
        <v>69</v>
      </c>
      <c r="H206" t="b">
        <v>1</v>
      </c>
      <c r="I206">
        <v>10</v>
      </c>
      <c r="J206">
        <v>22</v>
      </c>
      <c r="L206">
        <v>69.115138888888893</v>
      </c>
      <c r="M206">
        <v>3.9785438550000003E-2</v>
      </c>
      <c r="N206">
        <v>69.115138888888893</v>
      </c>
      <c r="O206">
        <v>3.9785438550000003E-2</v>
      </c>
    </row>
    <row r="207" spans="1:16" x14ac:dyDescent="0.35">
      <c r="A207" t="s">
        <v>266</v>
      </c>
      <c r="B207" t="s">
        <v>88</v>
      </c>
      <c r="C207" t="s">
        <v>93</v>
      </c>
      <c r="D207" t="s">
        <v>190</v>
      </c>
      <c r="E207" t="s">
        <v>20</v>
      </c>
      <c r="F207" t="s">
        <v>94</v>
      </c>
      <c r="G207" t="s">
        <v>175</v>
      </c>
      <c r="H207" t="b">
        <v>0</v>
      </c>
      <c r="I207">
        <v>10</v>
      </c>
      <c r="J207">
        <v>43</v>
      </c>
      <c r="L207">
        <v>135.08868055555601</v>
      </c>
      <c r="M207">
        <v>2.9719509722222299E-3</v>
      </c>
      <c r="N207">
        <v>0</v>
      </c>
      <c r="O207">
        <v>0</v>
      </c>
    </row>
    <row r="208" spans="1:16" ht="29" x14ac:dyDescent="0.35">
      <c r="A208" t="s">
        <v>267</v>
      </c>
      <c r="B208" t="s">
        <v>88</v>
      </c>
      <c r="C208" t="s">
        <v>97</v>
      </c>
      <c r="D208" t="s">
        <v>190</v>
      </c>
      <c r="E208" t="s">
        <v>20</v>
      </c>
      <c r="F208" t="s">
        <v>94</v>
      </c>
      <c r="G208" t="s">
        <v>33</v>
      </c>
      <c r="H208" t="b">
        <v>1</v>
      </c>
      <c r="I208">
        <v>10</v>
      </c>
      <c r="J208">
        <v>40.5</v>
      </c>
      <c r="K208">
        <v>10</v>
      </c>
      <c r="L208">
        <v>3817.0406250000001</v>
      </c>
      <c r="M208">
        <v>0.72649734215624995</v>
      </c>
      <c r="N208">
        <v>3817.0406250000001</v>
      </c>
      <c r="O208">
        <v>0.72649734215624995</v>
      </c>
      <c r="P208" s="1" t="s">
        <v>23</v>
      </c>
    </row>
    <row r="209" spans="1:16" x14ac:dyDescent="0.35">
      <c r="A209" t="s">
        <v>268</v>
      </c>
      <c r="B209" t="s">
        <v>88</v>
      </c>
      <c r="C209" t="s">
        <v>97</v>
      </c>
      <c r="D209" t="s">
        <v>190</v>
      </c>
      <c r="E209" t="s">
        <v>20</v>
      </c>
      <c r="F209" t="s">
        <v>94</v>
      </c>
      <c r="G209" t="s">
        <v>25</v>
      </c>
      <c r="H209" t="b">
        <v>1</v>
      </c>
      <c r="I209">
        <v>10</v>
      </c>
      <c r="J209">
        <v>9.5</v>
      </c>
      <c r="L209">
        <v>298.45173611111102</v>
      </c>
      <c r="M209">
        <v>1.16396177083333E-2</v>
      </c>
      <c r="N209">
        <v>298.45173611111102</v>
      </c>
      <c r="O209">
        <v>1.16396177083333E-2</v>
      </c>
    </row>
    <row r="210" spans="1:16" x14ac:dyDescent="0.35">
      <c r="A210" t="s">
        <v>269</v>
      </c>
      <c r="B210" t="s">
        <v>88</v>
      </c>
      <c r="C210" t="s">
        <v>97</v>
      </c>
      <c r="D210" t="s">
        <v>190</v>
      </c>
      <c r="E210" t="s">
        <v>20</v>
      </c>
      <c r="F210" t="s">
        <v>94</v>
      </c>
      <c r="G210" t="s">
        <v>143</v>
      </c>
      <c r="H210" t="b">
        <v>1</v>
      </c>
      <c r="I210">
        <v>10</v>
      </c>
      <c r="J210">
        <v>28</v>
      </c>
      <c r="L210">
        <v>175.92944444444399</v>
      </c>
      <c r="M210">
        <v>3.3426594444444402E-2</v>
      </c>
      <c r="N210">
        <v>175.92944444444399</v>
      </c>
      <c r="O210">
        <v>3.3426594444444402E-2</v>
      </c>
    </row>
    <row r="211" spans="1:16" ht="29" x14ac:dyDescent="0.35">
      <c r="A211" t="s">
        <v>270</v>
      </c>
      <c r="B211" t="s">
        <v>88</v>
      </c>
      <c r="C211" t="s">
        <v>103</v>
      </c>
      <c r="D211" t="s">
        <v>190</v>
      </c>
      <c r="E211" t="s">
        <v>20</v>
      </c>
      <c r="F211" t="s">
        <v>21</v>
      </c>
      <c r="G211" t="s">
        <v>33</v>
      </c>
      <c r="H211" t="b">
        <v>1</v>
      </c>
      <c r="I211">
        <v>10</v>
      </c>
      <c r="J211">
        <v>40.700000000000003</v>
      </c>
      <c r="K211">
        <v>130</v>
      </c>
      <c r="L211">
        <v>610.5</v>
      </c>
      <c r="M211">
        <v>0.116196465</v>
      </c>
      <c r="N211">
        <v>610.5</v>
      </c>
      <c r="O211">
        <v>0.116196465</v>
      </c>
      <c r="P211" s="1" t="s">
        <v>23</v>
      </c>
    </row>
    <row r="212" spans="1:16" ht="29" x14ac:dyDescent="0.35">
      <c r="A212" t="s">
        <v>271</v>
      </c>
      <c r="B212" t="s">
        <v>88</v>
      </c>
      <c r="C212" t="s">
        <v>103</v>
      </c>
      <c r="D212" t="s">
        <v>190</v>
      </c>
      <c r="E212" t="s">
        <v>20</v>
      </c>
      <c r="F212" t="s">
        <v>21</v>
      </c>
      <c r="G212" t="s">
        <v>22</v>
      </c>
      <c r="H212" t="b">
        <v>1</v>
      </c>
      <c r="I212">
        <v>10</v>
      </c>
      <c r="J212">
        <v>18.571428571428601</v>
      </c>
      <c r="L212">
        <v>13</v>
      </c>
      <c r="M212">
        <v>9.3338142845999996E-4</v>
      </c>
      <c r="N212">
        <v>13</v>
      </c>
      <c r="O212">
        <v>9.3338142845999996E-4</v>
      </c>
      <c r="P212" s="1" t="s">
        <v>23</v>
      </c>
    </row>
    <row r="213" spans="1:16" x14ac:dyDescent="0.35">
      <c r="A213" t="s">
        <v>272</v>
      </c>
      <c r="B213" t="s">
        <v>88</v>
      </c>
      <c r="C213" t="s">
        <v>103</v>
      </c>
      <c r="D213" t="s">
        <v>190</v>
      </c>
      <c r="E213" t="s">
        <v>20</v>
      </c>
      <c r="F213" t="s">
        <v>21</v>
      </c>
      <c r="G213" t="s">
        <v>40</v>
      </c>
      <c r="H213" t="b">
        <v>1</v>
      </c>
      <c r="I213">
        <v>10</v>
      </c>
      <c r="J213">
        <v>12</v>
      </c>
      <c r="L213">
        <v>1.2</v>
      </c>
      <c r="M213">
        <v>1.12008E-4</v>
      </c>
      <c r="N213">
        <v>1.2</v>
      </c>
      <c r="O213">
        <v>1.12008E-4</v>
      </c>
    </row>
    <row r="214" spans="1:16" x14ac:dyDescent="0.35">
      <c r="A214" t="s">
        <v>273</v>
      </c>
      <c r="B214" t="s">
        <v>88</v>
      </c>
      <c r="C214" t="s">
        <v>103</v>
      </c>
      <c r="D214" t="s">
        <v>190</v>
      </c>
      <c r="E214" t="s">
        <v>20</v>
      </c>
      <c r="F214" t="s">
        <v>21</v>
      </c>
      <c r="G214" t="s">
        <v>69</v>
      </c>
      <c r="H214" t="b">
        <v>1</v>
      </c>
      <c r="I214">
        <v>10</v>
      </c>
      <c r="J214">
        <v>16</v>
      </c>
      <c r="L214">
        <v>1.6</v>
      </c>
      <c r="M214">
        <v>9.21024E-4</v>
      </c>
      <c r="N214">
        <v>1.6</v>
      </c>
      <c r="O214">
        <v>9.21024E-4</v>
      </c>
    </row>
    <row r="215" spans="1:16" x14ac:dyDescent="0.35">
      <c r="A215" t="s">
        <v>274</v>
      </c>
      <c r="B215" t="s">
        <v>88</v>
      </c>
      <c r="C215" t="s">
        <v>103</v>
      </c>
      <c r="D215" t="s">
        <v>190</v>
      </c>
      <c r="E215" t="s">
        <v>20</v>
      </c>
      <c r="F215" t="s">
        <v>21</v>
      </c>
      <c r="G215" t="s">
        <v>25</v>
      </c>
      <c r="H215" t="b">
        <v>1</v>
      </c>
      <c r="I215">
        <v>10</v>
      </c>
      <c r="J215">
        <v>4.6666666666666696</v>
      </c>
      <c r="L215">
        <v>1.4</v>
      </c>
      <c r="M215">
        <v>5.4599999999999999E-5</v>
      </c>
      <c r="N215">
        <v>1.4</v>
      </c>
      <c r="O215">
        <v>5.4599999999999999E-5</v>
      </c>
    </row>
    <row r="216" spans="1:16" x14ac:dyDescent="0.35">
      <c r="A216" t="s">
        <v>275</v>
      </c>
      <c r="B216" t="s">
        <v>108</v>
      </c>
      <c r="C216" t="s">
        <v>109</v>
      </c>
      <c r="D216" t="s">
        <v>190</v>
      </c>
      <c r="G216" t="s">
        <v>27</v>
      </c>
      <c r="H216" t="b">
        <v>1</v>
      </c>
      <c r="J216">
        <v>0</v>
      </c>
      <c r="L216">
        <v>3</v>
      </c>
      <c r="M216">
        <v>3.3E-4</v>
      </c>
      <c r="N216">
        <v>3</v>
      </c>
      <c r="O216">
        <v>3.3E-4</v>
      </c>
    </row>
    <row r="217" spans="1:16" x14ac:dyDescent="0.35">
      <c r="A217" t="s">
        <v>276</v>
      </c>
      <c r="B217" t="s">
        <v>108</v>
      </c>
      <c r="C217" t="s">
        <v>109</v>
      </c>
      <c r="D217" t="s">
        <v>190</v>
      </c>
      <c r="G217" t="s">
        <v>54</v>
      </c>
      <c r="H217" t="b">
        <v>1</v>
      </c>
      <c r="J217">
        <v>0</v>
      </c>
      <c r="L217">
        <v>1</v>
      </c>
      <c r="M217">
        <v>3.6999999999999999E-4</v>
      </c>
      <c r="N217">
        <v>1</v>
      </c>
      <c r="O217">
        <v>3.6999999999999999E-4</v>
      </c>
    </row>
    <row r="218" spans="1:16" x14ac:dyDescent="0.35">
      <c r="A218" t="s">
        <v>277</v>
      </c>
      <c r="B218" t="s">
        <v>108</v>
      </c>
      <c r="C218" t="s">
        <v>109</v>
      </c>
      <c r="D218" t="s">
        <v>190</v>
      </c>
      <c r="G218" t="s">
        <v>69</v>
      </c>
      <c r="H218" t="b">
        <v>1</v>
      </c>
      <c r="J218">
        <v>0</v>
      </c>
      <c r="L218">
        <v>1</v>
      </c>
      <c r="M218">
        <v>5.7563999999999998E-4</v>
      </c>
      <c r="N218">
        <v>1</v>
      </c>
      <c r="O218">
        <v>5.7563999999999998E-4</v>
      </c>
    </row>
    <row r="219" spans="1:16" ht="29" x14ac:dyDescent="0.35">
      <c r="A219" t="s">
        <v>278</v>
      </c>
      <c r="B219" t="s">
        <v>108</v>
      </c>
      <c r="C219" t="s">
        <v>109</v>
      </c>
      <c r="D219" t="s">
        <v>190</v>
      </c>
      <c r="G219" t="s">
        <v>22</v>
      </c>
      <c r="H219" t="b">
        <v>1</v>
      </c>
      <c r="J219">
        <v>0</v>
      </c>
      <c r="L219">
        <v>54</v>
      </c>
      <c r="M219">
        <v>3.8771228566800001E-3</v>
      </c>
      <c r="N219">
        <v>54</v>
      </c>
      <c r="O219">
        <v>3.8771228566800001E-3</v>
      </c>
      <c r="P219" s="1" t="s">
        <v>23</v>
      </c>
    </row>
    <row r="220" spans="1:16" x14ac:dyDescent="0.35">
      <c r="A220" t="s">
        <v>279</v>
      </c>
      <c r="B220" t="s">
        <v>108</v>
      </c>
      <c r="C220" t="s">
        <v>109</v>
      </c>
      <c r="D220" t="s">
        <v>190</v>
      </c>
      <c r="G220" t="s">
        <v>25</v>
      </c>
      <c r="H220" t="b">
        <v>1</v>
      </c>
      <c r="J220">
        <v>0</v>
      </c>
      <c r="L220">
        <v>1</v>
      </c>
      <c r="M220">
        <v>3.8999999999999999E-5</v>
      </c>
      <c r="N220">
        <v>1</v>
      </c>
      <c r="O220">
        <v>3.8999999999999999E-5</v>
      </c>
    </row>
    <row r="221" spans="1:16" ht="29" x14ac:dyDescent="0.35">
      <c r="A221" t="s">
        <v>280</v>
      </c>
      <c r="B221" t="s">
        <v>281</v>
      </c>
      <c r="C221" t="s">
        <v>282</v>
      </c>
      <c r="D221" t="s">
        <v>283</v>
      </c>
      <c r="E221" t="s">
        <v>20</v>
      </c>
      <c r="F221" t="s">
        <v>21</v>
      </c>
      <c r="G221" t="s">
        <v>33</v>
      </c>
      <c r="H221" t="b">
        <v>1</v>
      </c>
      <c r="I221">
        <v>10</v>
      </c>
      <c r="J221">
        <v>58.4</v>
      </c>
      <c r="K221">
        <v>69</v>
      </c>
      <c r="L221">
        <v>519.76</v>
      </c>
      <c r="M221">
        <v>9.8925920799999997E-2</v>
      </c>
      <c r="N221">
        <v>519.76</v>
      </c>
      <c r="O221">
        <v>9.8925920799999997E-2</v>
      </c>
      <c r="P221" s="1" t="s">
        <v>23</v>
      </c>
    </row>
    <row r="222" spans="1:16" x14ac:dyDescent="0.35">
      <c r="A222" t="s">
        <v>284</v>
      </c>
      <c r="B222" t="s">
        <v>281</v>
      </c>
      <c r="C222" t="s">
        <v>282</v>
      </c>
      <c r="D222" t="s">
        <v>283</v>
      </c>
      <c r="E222" t="s">
        <v>20</v>
      </c>
      <c r="F222" t="s">
        <v>21</v>
      </c>
      <c r="G222" t="s">
        <v>29</v>
      </c>
      <c r="H222" t="b">
        <v>1</v>
      </c>
      <c r="I222">
        <v>10</v>
      </c>
      <c r="J222">
        <v>8</v>
      </c>
      <c r="L222">
        <v>0.8</v>
      </c>
      <c r="M222">
        <v>1.7679999999999999E-4</v>
      </c>
      <c r="N222">
        <v>0.8</v>
      </c>
      <c r="O222">
        <v>1.7679999999999999E-4</v>
      </c>
    </row>
    <row r="223" spans="1:16" x14ac:dyDescent="0.35">
      <c r="A223" t="s">
        <v>285</v>
      </c>
      <c r="B223" t="s">
        <v>281</v>
      </c>
      <c r="C223" t="s">
        <v>282</v>
      </c>
      <c r="D223" t="s">
        <v>283</v>
      </c>
      <c r="E223" t="s">
        <v>20</v>
      </c>
      <c r="F223" t="s">
        <v>21</v>
      </c>
      <c r="G223" t="s">
        <v>25</v>
      </c>
      <c r="H223" t="b">
        <v>1</v>
      </c>
      <c r="I223">
        <v>10</v>
      </c>
      <c r="J223">
        <v>10.5</v>
      </c>
      <c r="L223">
        <v>2.1</v>
      </c>
      <c r="M223">
        <v>8.1899999999999999E-5</v>
      </c>
      <c r="N223">
        <v>2.1</v>
      </c>
      <c r="O223">
        <v>8.1899999999999999E-5</v>
      </c>
    </row>
    <row r="224" spans="1:16" x14ac:dyDescent="0.35">
      <c r="A224" t="s">
        <v>286</v>
      </c>
      <c r="B224" t="s">
        <v>281</v>
      </c>
      <c r="C224" t="s">
        <v>282</v>
      </c>
      <c r="D224" t="s">
        <v>283</v>
      </c>
      <c r="E224" t="s">
        <v>20</v>
      </c>
      <c r="F224" t="s">
        <v>21</v>
      </c>
      <c r="G224" t="s">
        <v>69</v>
      </c>
      <c r="H224" t="b">
        <v>1</v>
      </c>
      <c r="I224">
        <v>10</v>
      </c>
      <c r="J224">
        <v>22.3333333333333</v>
      </c>
      <c r="L224">
        <v>13.4</v>
      </c>
      <c r="M224">
        <v>7.7135759999999998E-3</v>
      </c>
      <c r="N224">
        <v>13.4</v>
      </c>
      <c r="O224">
        <v>7.7135759999999998E-3</v>
      </c>
    </row>
    <row r="225" spans="1:16" ht="29" x14ac:dyDescent="0.35">
      <c r="A225" t="s">
        <v>287</v>
      </c>
      <c r="B225" t="s">
        <v>281</v>
      </c>
      <c r="C225" t="s">
        <v>282</v>
      </c>
      <c r="D225" t="s">
        <v>283</v>
      </c>
      <c r="E225" t="s">
        <v>20</v>
      </c>
      <c r="F225" t="s">
        <v>21</v>
      </c>
      <c r="G225" t="s">
        <v>22</v>
      </c>
      <c r="H225" t="b">
        <v>1</v>
      </c>
      <c r="I225">
        <v>10</v>
      </c>
      <c r="J225">
        <v>18</v>
      </c>
      <c r="L225">
        <v>1.8</v>
      </c>
      <c r="M225">
        <v>1.29237428556E-4</v>
      </c>
      <c r="N225">
        <v>1.8</v>
      </c>
      <c r="O225">
        <v>1.29237428556E-4</v>
      </c>
      <c r="P225" s="1" t="s">
        <v>23</v>
      </c>
    </row>
    <row r="226" spans="1:16" x14ac:dyDescent="0.35">
      <c r="A226" t="s">
        <v>288</v>
      </c>
      <c r="B226" t="s">
        <v>281</v>
      </c>
      <c r="C226" t="s">
        <v>282</v>
      </c>
      <c r="D226" t="s">
        <v>283</v>
      </c>
      <c r="E226" t="s">
        <v>20</v>
      </c>
      <c r="F226" t="s">
        <v>21</v>
      </c>
      <c r="G226" t="s">
        <v>31</v>
      </c>
      <c r="H226" t="b">
        <v>0</v>
      </c>
      <c r="I226">
        <v>10</v>
      </c>
      <c r="J226">
        <v>59</v>
      </c>
      <c r="L226">
        <v>11.8</v>
      </c>
      <c r="M226">
        <v>2.6550000000000002E-5</v>
      </c>
      <c r="N226">
        <v>0</v>
      </c>
      <c r="O226">
        <v>0</v>
      </c>
    </row>
    <row r="227" spans="1:16" x14ac:dyDescent="0.35">
      <c r="A227" t="s">
        <v>289</v>
      </c>
      <c r="B227" t="s">
        <v>281</v>
      </c>
      <c r="C227" t="s">
        <v>282</v>
      </c>
      <c r="D227" t="s">
        <v>283</v>
      </c>
      <c r="E227" t="s">
        <v>20</v>
      </c>
      <c r="F227" t="s">
        <v>21</v>
      </c>
      <c r="G227" t="s">
        <v>27</v>
      </c>
      <c r="H227" t="b">
        <v>1</v>
      </c>
      <c r="I227">
        <v>10</v>
      </c>
      <c r="J227">
        <v>17</v>
      </c>
      <c r="L227">
        <v>3.4</v>
      </c>
      <c r="M227">
        <v>3.7399999999999998E-4</v>
      </c>
      <c r="N227">
        <v>3.4</v>
      </c>
      <c r="O227">
        <v>3.7399999999999998E-4</v>
      </c>
    </row>
    <row r="228" spans="1:16" x14ac:dyDescent="0.35">
      <c r="A228" t="s">
        <v>290</v>
      </c>
      <c r="B228" t="s">
        <v>281</v>
      </c>
      <c r="C228" t="s">
        <v>282</v>
      </c>
      <c r="D228" t="s">
        <v>283</v>
      </c>
      <c r="E228" t="s">
        <v>20</v>
      </c>
      <c r="F228" t="s">
        <v>21</v>
      </c>
      <c r="G228" t="s">
        <v>35</v>
      </c>
      <c r="H228" t="b">
        <v>1</v>
      </c>
      <c r="I228">
        <v>10</v>
      </c>
      <c r="J228">
        <v>52</v>
      </c>
      <c r="L228">
        <v>5.2</v>
      </c>
      <c r="M228">
        <v>1.40634E-2</v>
      </c>
      <c r="N228">
        <v>5.2</v>
      </c>
      <c r="O228">
        <v>1.40634E-2</v>
      </c>
    </row>
    <row r="229" spans="1:16" ht="29" x14ac:dyDescent="0.35">
      <c r="A229" t="s">
        <v>291</v>
      </c>
      <c r="B229" t="s">
        <v>17</v>
      </c>
      <c r="C229" t="s">
        <v>18</v>
      </c>
      <c r="D229" t="s">
        <v>283</v>
      </c>
      <c r="E229" t="s">
        <v>20</v>
      </c>
      <c r="F229" t="s">
        <v>21</v>
      </c>
      <c r="G229" t="s">
        <v>22</v>
      </c>
      <c r="H229" t="b">
        <v>1</v>
      </c>
      <c r="I229">
        <v>10</v>
      </c>
      <c r="J229">
        <v>41.6</v>
      </c>
      <c r="K229">
        <v>15</v>
      </c>
      <c r="L229">
        <v>145.6</v>
      </c>
      <c r="M229">
        <v>1.0453871998752E-2</v>
      </c>
      <c r="N229">
        <v>145.6</v>
      </c>
      <c r="O229">
        <v>1.0453871998752E-2</v>
      </c>
      <c r="P229" s="1" t="s">
        <v>23</v>
      </c>
    </row>
    <row r="230" spans="1:16" ht="29" x14ac:dyDescent="0.35">
      <c r="A230" t="s">
        <v>292</v>
      </c>
      <c r="B230" t="s">
        <v>17</v>
      </c>
      <c r="C230" t="s">
        <v>18</v>
      </c>
      <c r="D230" t="s">
        <v>283</v>
      </c>
      <c r="E230" t="s">
        <v>20</v>
      </c>
      <c r="F230" t="s">
        <v>21</v>
      </c>
      <c r="G230" t="s">
        <v>33</v>
      </c>
      <c r="H230" t="b">
        <v>1</v>
      </c>
      <c r="I230">
        <v>10</v>
      </c>
      <c r="J230">
        <v>45.894736842105303</v>
      </c>
      <c r="L230">
        <v>87.2</v>
      </c>
      <c r="M230">
        <v>1.6596776000000001E-2</v>
      </c>
      <c r="N230">
        <v>87.2</v>
      </c>
      <c r="O230">
        <v>1.6596776000000001E-2</v>
      </c>
      <c r="P230" s="1" t="s">
        <v>23</v>
      </c>
    </row>
    <row r="231" spans="1:16" x14ac:dyDescent="0.35">
      <c r="A231" t="s">
        <v>293</v>
      </c>
      <c r="B231" t="s">
        <v>17</v>
      </c>
      <c r="C231" t="s">
        <v>18</v>
      </c>
      <c r="D231" t="s">
        <v>283</v>
      </c>
      <c r="E231" t="s">
        <v>20</v>
      </c>
      <c r="F231" t="s">
        <v>21</v>
      </c>
      <c r="G231" t="s">
        <v>31</v>
      </c>
      <c r="H231" t="b">
        <v>0</v>
      </c>
      <c r="I231">
        <v>10</v>
      </c>
      <c r="J231">
        <v>44.5</v>
      </c>
      <c r="L231">
        <v>17.8</v>
      </c>
      <c r="M231">
        <v>4.0049999999999998E-5</v>
      </c>
      <c r="N231">
        <v>0</v>
      </c>
      <c r="O231">
        <v>0</v>
      </c>
    </row>
    <row r="232" spans="1:16" x14ac:dyDescent="0.35">
      <c r="A232" t="s">
        <v>294</v>
      </c>
      <c r="B232" t="s">
        <v>17</v>
      </c>
      <c r="C232" t="s">
        <v>18</v>
      </c>
      <c r="D232" t="s">
        <v>283</v>
      </c>
      <c r="E232" t="s">
        <v>20</v>
      </c>
      <c r="F232" t="s">
        <v>21</v>
      </c>
      <c r="G232" t="s">
        <v>143</v>
      </c>
      <c r="H232" t="b">
        <v>1</v>
      </c>
      <c r="I232">
        <v>10</v>
      </c>
      <c r="J232">
        <v>17.25</v>
      </c>
      <c r="L232">
        <v>13.8</v>
      </c>
      <c r="M232">
        <v>2.6220000000000002E-3</v>
      </c>
      <c r="N232">
        <v>13.8</v>
      </c>
      <c r="O232">
        <v>2.6220000000000002E-3</v>
      </c>
    </row>
    <row r="233" spans="1:16" x14ac:dyDescent="0.35">
      <c r="A233" t="s">
        <v>295</v>
      </c>
      <c r="B233" t="s">
        <v>17</v>
      </c>
      <c r="C233" t="s">
        <v>18</v>
      </c>
      <c r="D233" t="s">
        <v>283</v>
      </c>
      <c r="E233" t="s">
        <v>20</v>
      </c>
      <c r="F233" t="s">
        <v>21</v>
      </c>
      <c r="G233" t="s">
        <v>54</v>
      </c>
      <c r="H233" t="b">
        <v>1</v>
      </c>
      <c r="I233">
        <v>10</v>
      </c>
      <c r="J233">
        <v>12</v>
      </c>
      <c r="L233">
        <v>1.2</v>
      </c>
      <c r="M233">
        <v>4.44E-4</v>
      </c>
      <c r="N233">
        <v>1.2</v>
      </c>
      <c r="O233">
        <v>4.44E-4</v>
      </c>
    </row>
    <row r="234" spans="1:16" x14ac:dyDescent="0.35">
      <c r="A234" t="s">
        <v>296</v>
      </c>
      <c r="B234" t="s">
        <v>17</v>
      </c>
      <c r="C234" t="s">
        <v>18</v>
      </c>
      <c r="D234" t="s">
        <v>283</v>
      </c>
      <c r="E234" t="s">
        <v>20</v>
      </c>
      <c r="F234" t="s">
        <v>21</v>
      </c>
      <c r="G234" t="s">
        <v>25</v>
      </c>
      <c r="H234" t="b">
        <v>1</v>
      </c>
      <c r="I234">
        <v>10</v>
      </c>
      <c r="J234">
        <v>15.8</v>
      </c>
      <c r="L234">
        <v>7.9</v>
      </c>
      <c r="M234">
        <v>3.0810000000000001E-4</v>
      </c>
      <c r="N234">
        <v>7.9</v>
      </c>
      <c r="O234">
        <v>3.0810000000000001E-4</v>
      </c>
    </row>
    <row r="235" spans="1:16" x14ac:dyDescent="0.35">
      <c r="A235" t="s">
        <v>297</v>
      </c>
      <c r="B235" t="s">
        <v>17</v>
      </c>
      <c r="C235" t="s">
        <v>18</v>
      </c>
      <c r="D235" t="s">
        <v>283</v>
      </c>
      <c r="E235" t="s">
        <v>20</v>
      </c>
      <c r="F235" t="s">
        <v>21</v>
      </c>
      <c r="G235" t="s">
        <v>29</v>
      </c>
      <c r="H235" t="b">
        <v>1</v>
      </c>
      <c r="I235">
        <v>10</v>
      </c>
      <c r="J235">
        <v>23.5</v>
      </c>
      <c r="L235">
        <v>4.7</v>
      </c>
      <c r="M235">
        <v>1.0387E-3</v>
      </c>
      <c r="N235">
        <v>4.7</v>
      </c>
      <c r="O235">
        <v>1.0387E-3</v>
      </c>
    </row>
    <row r="236" spans="1:16" x14ac:dyDescent="0.35">
      <c r="A236" t="s">
        <v>298</v>
      </c>
      <c r="B236" t="s">
        <v>17</v>
      </c>
      <c r="C236" t="s">
        <v>18</v>
      </c>
      <c r="D236" t="s">
        <v>283</v>
      </c>
      <c r="E236" t="s">
        <v>20</v>
      </c>
      <c r="F236" t="s">
        <v>21</v>
      </c>
      <c r="G236" t="s">
        <v>27</v>
      </c>
      <c r="H236" t="b">
        <v>1</v>
      </c>
      <c r="I236">
        <v>10</v>
      </c>
      <c r="J236">
        <v>68</v>
      </c>
      <c r="L236">
        <v>6.8</v>
      </c>
      <c r="M236">
        <v>7.4799999999999997E-4</v>
      </c>
      <c r="N236">
        <v>6.8</v>
      </c>
      <c r="O236">
        <v>7.4799999999999997E-4</v>
      </c>
    </row>
    <row r="237" spans="1:16" x14ac:dyDescent="0.35">
      <c r="A237" t="s">
        <v>299</v>
      </c>
      <c r="B237" t="s">
        <v>17</v>
      </c>
      <c r="C237" t="s">
        <v>18</v>
      </c>
      <c r="D237" t="s">
        <v>283</v>
      </c>
      <c r="E237" t="s">
        <v>20</v>
      </c>
      <c r="F237" t="s">
        <v>21</v>
      </c>
      <c r="G237" t="s">
        <v>35</v>
      </c>
      <c r="H237" t="b">
        <v>1</v>
      </c>
      <c r="I237">
        <v>10</v>
      </c>
      <c r="J237">
        <v>38</v>
      </c>
      <c r="L237">
        <v>11.4</v>
      </c>
      <c r="M237">
        <v>3.0831299999999999E-2</v>
      </c>
      <c r="N237">
        <v>11.4</v>
      </c>
      <c r="O237">
        <v>3.0831299999999999E-2</v>
      </c>
    </row>
    <row r="238" spans="1:16" x14ac:dyDescent="0.35">
      <c r="A238" t="s">
        <v>300</v>
      </c>
      <c r="B238" t="s">
        <v>17</v>
      </c>
      <c r="C238" t="s">
        <v>18</v>
      </c>
      <c r="D238" t="s">
        <v>283</v>
      </c>
      <c r="E238" t="s">
        <v>20</v>
      </c>
      <c r="F238" t="s">
        <v>21</v>
      </c>
      <c r="G238" t="s">
        <v>49</v>
      </c>
      <c r="H238" t="b">
        <v>1</v>
      </c>
      <c r="I238">
        <v>10</v>
      </c>
      <c r="J238">
        <v>22</v>
      </c>
      <c r="L238">
        <v>2.2000000000000002</v>
      </c>
      <c r="M238">
        <v>5.7200000000000003E-4</v>
      </c>
      <c r="N238">
        <v>2.2000000000000002</v>
      </c>
      <c r="O238">
        <v>5.7200000000000003E-4</v>
      </c>
    </row>
    <row r="239" spans="1:16" ht="29" x14ac:dyDescent="0.35">
      <c r="A239" t="s">
        <v>301</v>
      </c>
      <c r="B239" t="s">
        <v>17</v>
      </c>
      <c r="C239" t="s">
        <v>37</v>
      </c>
      <c r="D239" t="s">
        <v>283</v>
      </c>
      <c r="E239" t="s">
        <v>20</v>
      </c>
      <c r="F239" t="s">
        <v>21</v>
      </c>
      <c r="G239" t="s">
        <v>22</v>
      </c>
      <c r="H239" t="b">
        <v>1</v>
      </c>
      <c r="I239">
        <v>10</v>
      </c>
      <c r="J239">
        <v>48</v>
      </c>
      <c r="L239">
        <v>24</v>
      </c>
      <c r="M239">
        <v>1.72316571408E-3</v>
      </c>
      <c r="N239">
        <v>24</v>
      </c>
      <c r="O239">
        <v>1.72316571408E-3</v>
      </c>
      <c r="P239" s="1" t="s">
        <v>23</v>
      </c>
    </row>
    <row r="240" spans="1:16" x14ac:dyDescent="0.35">
      <c r="A240" t="s">
        <v>302</v>
      </c>
      <c r="B240" t="s">
        <v>17</v>
      </c>
      <c r="C240" t="s">
        <v>37</v>
      </c>
      <c r="D240" t="s">
        <v>283</v>
      </c>
      <c r="E240" t="s">
        <v>20</v>
      </c>
      <c r="F240" t="s">
        <v>21</v>
      </c>
      <c r="G240" t="s">
        <v>143</v>
      </c>
      <c r="H240" t="b">
        <v>1</v>
      </c>
      <c r="I240">
        <v>10</v>
      </c>
      <c r="J240">
        <v>15.125</v>
      </c>
      <c r="L240">
        <v>12.1</v>
      </c>
      <c r="M240">
        <v>2.2989999999999998E-3</v>
      </c>
      <c r="N240">
        <v>12.1</v>
      </c>
      <c r="O240">
        <v>2.2989999999999998E-3</v>
      </c>
    </row>
    <row r="241" spans="1:16" ht="29" x14ac:dyDescent="0.35">
      <c r="A241" t="s">
        <v>303</v>
      </c>
      <c r="B241" t="s">
        <v>17</v>
      </c>
      <c r="C241" t="s">
        <v>37</v>
      </c>
      <c r="D241" t="s">
        <v>283</v>
      </c>
      <c r="E241" t="s">
        <v>20</v>
      </c>
      <c r="F241" t="s">
        <v>21</v>
      </c>
      <c r="G241" t="s">
        <v>33</v>
      </c>
      <c r="H241" t="b">
        <v>1</v>
      </c>
      <c r="I241">
        <v>10</v>
      </c>
      <c r="J241">
        <v>152.6</v>
      </c>
      <c r="L241">
        <v>76.3</v>
      </c>
      <c r="M241">
        <v>1.4522179E-2</v>
      </c>
      <c r="N241">
        <v>76.3</v>
      </c>
      <c r="O241">
        <v>1.4522179E-2</v>
      </c>
      <c r="P241" s="1" t="s">
        <v>23</v>
      </c>
    </row>
    <row r="242" spans="1:16" x14ac:dyDescent="0.35">
      <c r="A242" t="s">
        <v>304</v>
      </c>
      <c r="B242" t="s">
        <v>17</v>
      </c>
      <c r="C242" t="s">
        <v>37</v>
      </c>
      <c r="D242" t="s">
        <v>283</v>
      </c>
      <c r="E242" t="s">
        <v>20</v>
      </c>
      <c r="F242" t="s">
        <v>21</v>
      </c>
      <c r="G242" t="s">
        <v>45</v>
      </c>
      <c r="H242" t="b">
        <v>0</v>
      </c>
      <c r="I242">
        <v>10</v>
      </c>
      <c r="J242">
        <v>39</v>
      </c>
      <c r="L242">
        <v>7.8</v>
      </c>
      <c r="M242">
        <v>1.7940000000000001E-5</v>
      </c>
      <c r="N242">
        <v>0</v>
      </c>
      <c r="O242">
        <v>0</v>
      </c>
    </row>
    <row r="243" spans="1:16" x14ac:dyDescent="0.35">
      <c r="A243" t="s">
        <v>305</v>
      </c>
      <c r="B243" t="s">
        <v>17</v>
      </c>
      <c r="C243" t="s">
        <v>37</v>
      </c>
      <c r="D243" t="s">
        <v>283</v>
      </c>
      <c r="E243" t="s">
        <v>20</v>
      </c>
      <c r="F243" t="s">
        <v>21</v>
      </c>
      <c r="G243" t="s">
        <v>49</v>
      </c>
      <c r="H243" t="b">
        <v>1</v>
      </c>
      <c r="I243">
        <v>10</v>
      </c>
      <c r="J243">
        <v>16.5</v>
      </c>
      <c r="L243">
        <v>3.3</v>
      </c>
      <c r="M243">
        <v>8.5800000000000004E-4</v>
      </c>
      <c r="N243">
        <v>3.3</v>
      </c>
      <c r="O243">
        <v>8.5800000000000004E-4</v>
      </c>
    </row>
    <row r="244" spans="1:16" x14ac:dyDescent="0.35">
      <c r="A244" t="s">
        <v>306</v>
      </c>
      <c r="B244" t="s">
        <v>17</v>
      </c>
      <c r="C244" t="s">
        <v>37</v>
      </c>
      <c r="D244" t="s">
        <v>283</v>
      </c>
      <c r="E244" t="s">
        <v>20</v>
      </c>
      <c r="F244" t="s">
        <v>21</v>
      </c>
      <c r="G244" t="s">
        <v>29</v>
      </c>
      <c r="H244" t="b">
        <v>1</v>
      </c>
      <c r="I244">
        <v>10</v>
      </c>
      <c r="J244">
        <v>19</v>
      </c>
      <c r="L244">
        <v>3.8</v>
      </c>
      <c r="M244">
        <v>8.3980000000000003E-4</v>
      </c>
      <c r="N244">
        <v>3.8</v>
      </c>
      <c r="O244">
        <v>8.3980000000000003E-4</v>
      </c>
    </row>
    <row r="245" spans="1:16" x14ac:dyDescent="0.35">
      <c r="A245" t="s">
        <v>307</v>
      </c>
      <c r="B245" t="s">
        <v>17</v>
      </c>
      <c r="C245" t="s">
        <v>37</v>
      </c>
      <c r="D245" t="s">
        <v>283</v>
      </c>
      <c r="E245" t="s">
        <v>20</v>
      </c>
      <c r="F245" t="s">
        <v>21</v>
      </c>
      <c r="G245" t="s">
        <v>27</v>
      </c>
      <c r="H245" t="b">
        <v>1</v>
      </c>
      <c r="I245">
        <v>10</v>
      </c>
      <c r="J245">
        <v>72</v>
      </c>
      <c r="L245">
        <v>7.2</v>
      </c>
      <c r="M245">
        <v>7.9199999999999995E-4</v>
      </c>
      <c r="N245">
        <v>7.2</v>
      </c>
      <c r="O245">
        <v>7.9199999999999995E-4</v>
      </c>
    </row>
    <row r="246" spans="1:16" ht="29" x14ac:dyDescent="0.35">
      <c r="A246" t="s">
        <v>308</v>
      </c>
      <c r="B246" t="s">
        <v>51</v>
      </c>
      <c r="C246" t="s">
        <v>52</v>
      </c>
      <c r="D246" t="s">
        <v>283</v>
      </c>
      <c r="E246" t="s">
        <v>20</v>
      </c>
      <c r="F246" t="s">
        <v>309</v>
      </c>
      <c r="G246" t="s">
        <v>33</v>
      </c>
      <c r="H246" t="b">
        <v>1</v>
      </c>
      <c r="I246">
        <v>10</v>
      </c>
      <c r="J246">
        <v>34.25</v>
      </c>
      <c r="L246">
        <v>27.4</v>
      </c>
      <c r="M246">
        <v>5.2150419999999996E-3</v>
      </c>
      <c r="N246">
        <v>27.4</v>
      </c>
      <c r="O246">
        <v>5.2150419999999996E-3</v>
      </c>
      <c r="P246" s="1" t="s">
        <v>23</v>
      </c>
    </row>
    <row r="247" spans="1:16" x14ac:dyDescent="0.35">
      <c r="A247" t="s">
        <v>310</v>
      </c>
      <c r="B247" t="s">
        <v>51</v>
      </c>
      <c r="C247" t="s">
        <v>52</v>
      </c>
      <c r="D247" t="s">
        <v>283</v>
      </c>
      <c r="E247" t="s">
        <v>20</v>
      </c>
      <c r="F247" t="s">
        <v>309</v>
      </c>
      <c r="G247" t="s">
        <v>25</v>
      </c>
      <c r="H247" t="b">
        <v>1</v>
      </c>
      <c r="I247">
        <v>10</v>
      </c>
      <c r="J247">
        <v>5</v>
      </c>
      <c r="L247">
        <v>2</v>
      </c>
      <c r="M247">
        <v>7.7999999999999999E-5</v>
      </c>
      <c r="N247">
        <v>2</v>
      </c>
      <c r="O247">
        <v>7.7999999999999999E-5</v>
      </c>
    </row>
    <row r="248" spans="1:16" x14ac:dyDescent="0.35">
      <c r="A248" t="s">
        <v>311</v>
      </c>
      <c r="B248" t="s">
        <v>51</v>
      </c>
      <c r="C248" t="s">
        <v>52</v>
      </c>
      <c r="D248" t="s">
        <v>283</v>
      </c>
      <c r="E248" t="s">
        <v>20</v>
      </c>
      <c r="F248" t="s">
        <v>309</v>
      </c>
      <c r="G248" t="s">
        <v>31</v>
      </c>
      <c r="H248" t="b">
        <v>0</v>
      </c>
      <c r="I248">
        <v>10</v>
      </c>
      <c r="J248">
        <v>79</v>
      </c>
      <c r="L248">
        <v>31.6</v>
      </c>
      <c r="M248">
        <v>7.1099999999999994E-5</v>
      </c>
      <c r="N248">
        <v>0</v>
      </c>
      <c r="O248">
        <v>0</v>
      </c>
    </row>
    <row r="249" spans="1:16" x14ac:dyDescent="0.35">
      <c r="A249" t="s">
        <v>312</v>
      </c>
      <c r="B249" t="s">
        <v>51</v>
      </c>
      <c r="C249" t="s">
        <v>52</v>
      </c>
      <c r="D249" t="s">
        <v>283</v>
      </c>
      <c r="E249" t="s">
        <v>20</v>
      </c>
      <c r="F249" t="s">
        <v>309</v>
      </c>
      <c r="G249" t="s">
        <v>27</v>
      </c>
      <c r="H249" t="b">
        <v>1</v>
      </c>
      <c r="I249">
        <v>10</v>
      </c>
      <c r="J249">
        <v>73</v>
      </c>
      <c r="L249">
        <v>7.3</v>
      </c>
      <c r="M249">
        <v>8.03E-4</v>
      </c>
      <c r="N249">
        <v>7.3</v>
      </c>
      <c r="O249">
        <v>8.03E-4</v>
      </c>
    </row>
    <row r="250" spans="1:16" x14ac:dyDescent="0.35">
      <c r="A250" t="s">
        <v>313</v>
      </c>
      <c r="B250" t="s">
        <v>51</v>
      </c>
      <c r="C250" t="s">
        <v>60</v>
      </c>
      <c r="D250" t="s">
        <v>283</v>
      </c>
      <c r="E250" t="s">
        <v>20</v>
      </c>
      <c r="F250" t="s">
        <v>309</v>
      </c>
      <c r="G250" t="s">
        <v>45</v>
      </c>
      <c r="H250" t="b">
        <v>0</v>
      </c>
      <c r="I250">
        <v>10</v>
      </c>
      <c r="J250">
        <v>53.4</v>
      </c>
      <c r="K250">
        <v>120</v>
      </c>
      <c r="L250">
        <v>747.6</v>
      </c>
      <c r="M250">
        <v>1.71948E-3</v>
      </c>
      <c r="N250">
        <v>0</v>
      </c>
      <c r="O250">
        <v>0</v>
      </c>
    </row>
    <row r="251" spans="1:16" x14ac:dyDescent="0.35">
      <c r="A251" t="s">
        <v>314</v>
      </c>
      <c r="B251" t="s">
        <v>51</v>
      </c>
      <c r="C251" t="s">
        <v>60</v>
      </c>
      <c r="D251" t="s">
        <v>283</v>
      </c>
      <c r="E251" t="s">
        <v>20</v>
      </c>
      <c r="F251" t="s">
        <v>309</v>
      </c>
      <c r="G251" t="s">
        <v>27</v>
      </c>
      <c r="H251" t="b">
        <v>1</v>
      </c>
      <c r="I251">
        <v>10</v>
      </c>
      <c r="J251">
        <v>27.3</v>
      </c>
      <c r="K251">
        <v>3</v>
      </c>
      <c r="L251">
        <v>62.79</v>
      </c>
      <c r="M251">
        <v>6.9068999999999997E-3</v>
      </c>
      <c r="N251">
        <v>62.79</v>
      </c>
      <c r="O251">
        <v>6.9068999999999997E-3</v>
      </c>
    </row>
    <row r="252" spans="1:16" x14ac:dyDescent="0.35">
      <c r="A252" t="s">
        <v>315</v>
      </c>
      <c r="B252" t="s">
        <v>51</v>
      </c>
      <c r="C252" t="s">
        <v>60</v>
      </c>
      <c r="D252" t="s">
        <v>283</v>
      </c>
      <c r="E252" t="s">
        <v>20</v>
      </c>
      <c r="F252" t="s">
        <v>309</v>
      </c>
      <c r="G252" t="s">
        <v>29</v>
      </c>
      <c r="H252" t="b">
        <v>1</v>
      </c>
      <c r="I252">
        <v>10</v>
      </c>
      <c r="J252">
        <v>17.6666666666667</v>
      </c>
      <c r="L252">
        <v>10.6</v>
      </c>
      <c r="M252">
        <v>2.3425999999999998E-3</v>
      </c>
      <c r="N252">
        <v>10.6</v>
      </c>
      <c r="O252">
        <v>2.3425999999999998E-3</v>
      </c>
    </row>
    <row r="253" spans="1:16" ht="29" x14ac:dyDescent="0.35">
      <c r="A253" t="s">
        <v>316</v>
      </c>
      <c r="B253" t="s">
        <v>51</v>
      </c>
      <c r="C253" t="s">
        <v>60</v>
      </c>
      <c r="D253" t="s">
        <v>283</v>
      </c>
      <c r="E253" t="s">
        <v>20</v>
      </c>
      <c r="F253" t="s">
        <v>309</v>
      </c>
      <c r="G253" t="s">
        <v>33</v>
      </c>
      <c r="H253" t="b">
        <v>1</v>
      </c>
      <c r="I253">
        <v>10</v>
      </c>
      <c r="J253">
        <v>33.428571428571402</v>
      </c>
      <c r="L253">
        <v>23.4</v>
      </c>
      <c r="M253">
        <v>4.4537220000000002E-3</v>
      </c>
      <c r="N253">
        <v>23.4</v>
      </c>
      <c r="O253">
        <v>4.4537220000000002E-3</v>
      </c>
      <c r="P253" s="1" t="s">
        <v>23</v>
      </c>
    </row>
    <row r="254" spans="1:16" x14ac:dyDescent="0.35">
      <c r="A254" t="s">
        <v>317</v>
      </c>
      <c r="B254" t="s">
        <v>51</v>
      </c>
      <c r="C254" t="s">
        <v>60</v>
      </c>
      <c r="D254" t="s">
        <v>283</v>
      </c>
      <c r="E254" t="s">
        <v>20</v>
      </c>
      <c r="F254" t="s">
        <v>309</v>
      </c>
      <c r="G254" t="s">
        <v>143</v>
      </c>
      <c r="H254" t="b">
        <v>1</v>
      </c>
      <c r="I254">
        <v>10</v>
      </c>
      <c r="J254">
        <v>7.6666666666666696</v>
      </c>
      <c r="L254">
        <v>2.2999999999999998</v>
      </c>
      <c r="M254">
        <v>4.37E-4</v>
      </c>
      <c r="N254">
        <v>2.2999999999999998</v>
      </c>
      <c r="O254">
        <v>4.37E-4</v>
      </c>
    </row>
    <row r="255" spans="1:16" x14ac:dyDescent="0.35">
      <c r="A255" t="s">
        <v>318</v>
      </c>
      <c r="B255" t="s">
        <v>51</v>
      </c>
      <c r="C255" t="s">
        <v>60</v>
      </c>
      <c r="D255" t="s">
        <v>283</v>
      </c>
      <c r="E255" t="s">
        <v>20</v>
      </c>
      <c r="F255" t="s">
        <v>309</v>
      </c>
      <c r="G255" t="s">
        <v>54</v>
      </c>
      <c r="H255" t="b">
        <v>1</v>
      </c>
      <c r="I255">
        <v>10</v>
      </c>
      <c r="J255">
        <v>10.6666666666667</v>
      </c>
      <c r="L255">
        <v>3.2</v>
      </c>
      <c r="M255">
        <v>1.1839999999999999E-3</v>
      </c>
      <c r="N255">
        <v>3.2</v>
      </c>
      <c r="O255">
        <v>1.1839999999999999E-3</v>
      </c>
    </row>
    <row r="256" spans="1:16" x14ac:dyDescent="0.35">
      <c r="A256" t="s">
        <v>319</v>
      </c>
      <c r="B256" t="s">
        <v>51</v>
      </c>
      <c r="C256" t="s">
        <v>60</v>
      </c>
      <c r="D256" t="s">
        <v>283</v>
      </c>
      <c r="E256" t="s">
        <v>20</v>
      </c>
      <c r="F256" t="s">
        <v>309</v>
      </c>
      <c r="G256" t="s">
        <v>31</v>
      </c>
      <c r="H256" t="b">
        <v>0</v>
      </c>
      <c r="I256">
        <v>10</v>
      </c>
      <c r="J256">
        <v>480</v>
      </c>
      <c r="L256">
        <v>48</v>
      </c>
      <c r="M256">
        <v>1.08E-4</v>
      </c>
      <c r="N256">
        <v>0</v>
      </c>
      <c r="O256">
        <v>0</v>
      </c>
    </row>
    <row r="257" spans="1:16" x14ac:dyDescent="0.35">
      <c r="A257" t="s">
        <v>320</v>
      </c>
      <c r="B257" t="s">
        <v>51</v>
      </c>
      <c r="C257" t="s">
        <v>60</v>
      </c>
      <c r="D257" t="s">
        <v>283</v>
      </c>
      <c r="E257" t="s">
        <v>20</v>
      </c>
      <c r="F257" t="s">
        <v>309</v>
      </c>
      <c r="G257" t="s">
        <v>25</v>
      </c>
      <c r="H257" t="b">
        <v>1</v>
      </c>
      <c r="I257">
        <v>10</v>
      </c>
      <c r="J257">
        <v>20.3333333333333</v>
      </c>
      <c r="L257">
        <v>6.1</v>
      </c>
      <c r="M257">
        <v>2.3790000000000001E-4</v>
      </c>
      <c r="N257">
        <v>6.1</v>
      </c>
      <c r="O257">
        <v>2.3790000000000001E-4</v>
      </c>
    </row>
    <row r="258" spans="1:16" ht="29" x14ac:dyDescent="0.35">
      <c r="A258" t="s">
        <v>321</v>
      </c>
      <c r="B258" t="s">
        <v>51</v>
      </c>
      <c r="C258" t="s">
        <v>71</v>
      </c>
      <c r="D258" t="s">
        <v>283</v>
      </c>
      <c r="E258" t="s">
        <v>20</v>
      </c>
      <c r="F258" t="s">
        <v>21</v>
      </c>
      <c r="G258" t="s">
        <v>33</v>
      </c>
      <c r="H258" t="b">
        <v>1</v>
      </c>
      <c r="I258">
        <v>10</v>
      </c>
      <c r="J258">
        <v>46.65</v>
      </c>
      <c r="K258">
        <v>113</v>
      </c>
      <c r="L258">
        <v>620.44500000000005</v>
      </c>
      <c r="M258">
        <v>0.11808929685</v>
      </c>
      <c r="N258">
        <v>620.44500000000005</v>
      </c>
      <c r="O258">
        <v>0.11808929685</v>
      </c>
      <c r="P258" s="1" t="s">
        <v>23</v>
      </c>
    </row>
    <row r="259" spans="1:16" x14ac:dyDescent="0.35">
      <c r="A259" t="s">
        <v>322</v>
      </c>
      <c r="B259" t="s">
        <v>51</v>
      </c>
      <c r="C259" t="s">
        <v>71</v>
      </c>
      <c r="D259" t="s">
        <v>283</v>
      </c>
      <c r="E259" t="s">
        <v>20</v>
      </c>
      <c r="F259" t="s">
        <v>21</v>
      </c>
      <c r="G259" t="s">
        <v>69</v>
      </c>
      <c r="H259" t="b">
        <v>1</v>
      </c>
      <c r="I259">
        <v>10</v>
      </c>
      <c r="J259">
        <v>27.4166666666667</v>
      </c>
      <c r="L259">
        <v>32.9</v>
      </c>
      <c r="M259">
        <v>1.8938555999999999E-2</v>
      </c>
      <c r="N259">
        <v>32.9</v>
      </c>
      <c r="O259">
        <v>1.8938555999999999E-2</v>
      </c>
    </row>
    <row r="260" spans="1:16" x14ac:dyDescent="0.35">
      <c r="A260" t="s">
        <v>323</v>
      </c>
      <c r="B260" t="s">
        <v>51</v>
      </c>
      <c r="C260" t="s">
        <v>71</v>
      </c>
      <c r="D260" t="s">
        <v>283</v>
      </c>
      <c r="E260" t="s">
        <v>20</v>
      </c>
      <c r="F260" t="s">
        <v>21</v>
      </c>
      <c r="G260" t="s">
        <v>31</v>
      </c>
      <c r="H260" t="b">
        <v>0</v>
      </c>
      <c r="I260">
        <v>10</v>
      </c>
      <c r="J260">
        <v>99</v>
      </c>
      <c r="L260">
        <v>39.6</v>
      </c>
      <c r="M260">
        <v>8.9099999999999997E-5</v>
      </c>
      <c r="N260">
        <v>0</v>
      </c>
      <c r="O260">
        <v>0</v>
      </c>
    </row>
    <row r="261" spans="1:16" ht="29" x14ac:dyDescent="0.35">
      <c r="A261" t="s">
        <v>324</v>
      </c>
      <c r="B261" t="s">
        <v>51</v>
      </c>
      <c r="C261" t="s">
        <v>71</v>
      </c>
      <c r="D261" t="s">
        <v>283</v>
      </c>
      <c r="E261" t="s">
        <v>20</v>
      </c>
      <c r="F261" t="s">
        <v>21</v>
      </c>
      <c r="G261" t="s">
        <v>22</v>
      </c>
      <c r="H261" t="b">
        <v>1</v>
      </c>
      <c r="I261">
        <v>10</v>
      </c>
      <c r="J261">
        <v>42</v>
      </c>
      <c r="L261">
        <v>4.2</v>
      </c>
      <c r="M261">
        <v>3.0155399996399998E-4</v>
      </c>
      <c r="N261">
        <v>4.2</v>
      </c>
      <c r="O261">
        <v>3.0155399996399998E-4</v>
      </c>
      <c r="P261" s="1" t="s">
        <v>23</v>
      </c>
    </row>
    <row r="262" spans="1:16" x14ac:dyDescent="0.35">
      <c r="A262" t="s">
        <v>325</v>
      </c>
      <c r="B262" t="s">
        <v>51</v>
      </c>
      <c r="C262" t="s">
        <v>71</v>
      </c>
      <c r="D262" t="s">
        <v>283</v>
      </c>
      <c r="E262" t="s">
        <v>20</v>
      </c>
      <c r="F262" t="s">
        <v>21</v>
      </c>
      <c r="G262" t="s">
        <v>35</v>
      </c>
      <c r="H262" t="b">
        <v>1</v>
      </c>
      <c r="I262">
        <v>10</v>
      </c>
      <c r="J262">
        <v>141</v>
      </c>
      <c r="L262">
        <v>28.2</v>
      </c>
      <c r="M262">
        <v>7.6266899999999999E-2</v>
      </c>
      <c r="N262">
        <v>28.2</v>
      </c>
      <c r="O262">
        <v>7.6266899999999999E-2</v>
      </c>
    </row>
    <row r="263" spans="1:16" x14ac:dyDescent="0.35">
      <c r="A263" t="s">
        <v>326</v>
      </c>
      <c r="B263" t="s">
        <v>51</v>
      </c>
      <c r="C263" t="s">
        <v>71</v>
      </c>
      <c r="D263" t="s">
        <v>283</v>
      </c>
      <c r="E263" t="s">
        <v>20</v>
      </c>
      <c r="F263" t="s">
        <v>21</v>
      </c>
      <c r="G263" t="s">
        <v>54</v>
      </c>
      <c r="H263" t="b">
        <v>1</v>
      </c>
      <c r="I263">
        <v>10</v>
      </c>
      <c r="J263">
        <v>20</v>
      </c>
      <c r="L263">
        <v>2</v>
      </c>
      <c r="M263">
        <v>7.3999999999999999E-4</v>
      </c>
      <c r="N263">
        <v>2</v>
      </c>
      <c r="O263">
        <v>7.3999999999999999E-4</v>
      </c>
    </row>
    <row r="264" spans="1:16" x14ac:dyDescent="0.35">
      <c r="A264" t="s">
        <v>327</v>
      </c>
      <c r="B264" t="s">
        <v>51</v>
      </c>
      <c r="C264" t="s">
        <v>71</v>
      </c>
      <c r="D264" t="s">
        <v>283</v>
      </c>
      <c r="E264" t="s">
        <v>20</v>
      </c>
      <c r="F264" t="s">
        <v>21</v>
      </c>
      <c r="G264" t="s">
        <v>29</v>
      </c>
      <c r="H264" t="b">
        <v>1</v>
      </c>
      <c r="I264">
        <v>10</v>
      </c>
      <c r="J264">
        <v>21.5</v>
      </c>
      <c r="L264">
        <v>4.3</v>
      </c>
      <c r="M264">
        <v>9.5029999999999995E-4</v>
      </c>
      <c r="N264">
        <v>4.3</v>
      </c>
      <c r="O264">
        <v>9.5029999999999995E-4</v>
      </c>
    </row>
    <row r="265" spans="1:16" x14ac:dyDescent="0.35">
      <c r="A265" t="s">
        <v>328</v>
      </c>
      <c r="B265" t="s">
        <v>51</v>
      </c>
      <c r="C265" t="s">
        <v>71</v>
      </c>
      <c r="D265" t="s">
        <v>283</v>
      </c>
      <c r="E265" t="s">
        <v>20</v>
      </c>
      <c r="F265" t="s">
        <v>21</v>
      </c>
      <c r="G265" t="s">
        <v>111</v>
      </c>
      <c r="H265" t="b">
        <v>1</v>
      </c>
      <c r="I265">
        <v>10</v>
      </c>
      <c r="J265">
        <v>192</v>
      </c>
      <c r="L265">
        <v>19.2</v>
      </c>
      <c r="M265">
        <v>0</v>
      </c>
      <c r="N265">
        <v>19.2</v>
      </c>
      <c r="O265">
        <v>0</v>
      </c>
    </row>
    <row r="266" spans="1:16" x14ac:dyDescent="0.35">
      <c r="A266" t="s">
        <v>329</v>
      </c>
      <c r="B266" t="s">
        <v>51</v>
      </c>
      <c r="C266" t="s">
        <v>71</v>
      </c>
      <c r="D266" t="s">
        <v>283</v>
      </c>
      <c r="E266" t="s">
        <v>20</v>
      </c>
      <c r="F266" t="s">
        <v>21</v>
      </c>
      <c r="G266" t="s">
        <v>143</v>
      </c>
      <c r="H266" t="b">
        <v>1</v>
      </c>
      <c r="I266">
        <v>10</v>
      </c>
      <c r="J266">
        <v>12</v>
      </c>
      <c r="L266">
        <v>4.8</v>
      </c>
      <c r="M266">
        <v>9.1200000000000005E-4</v>
      </c>
      <c r="N266">
        <v>4.8</v>
      </c>
      <c r="O266">
        <v>9.1200000000000005E-4</v>
      </c>
    </row>
    <row r="267" spans="1:16" ht="29" x14ac:dyDescent="0.35">
      <c r="A267" t="s">
        <v>330</v>
      </c>
      <c r="B267" t="s">
        <v>51</v>
      </c>
      <c r="C267" t="s">
        <v>71</v>
      </c>
      <c r="D267" t="s">
        <v>283</v>
      </c>
      <c r="E267" t="s">
        <v>20</v>
      </c>
      <c r="F267" t="s">
        <v>21</v>
      </c>
      <c r="G267" s="1" t="s">
        <v>56</v>
      </c>
      <c r="H267" t="b">
        <v>0</v>
      </c>
      <c r="I267">
        <v>10</v>
      </c>
      <c r="J267">
        <v>20</v>
      </c>
      <c r="L267">
        <v>2</v>
      </c>
      <c r="M267">
        <v>8.9999999999999998E-4</v>
      </c>
      <c r="N267">
        <v>0</v>
      </c>
      <c r="O267">
        <v>0</v>
      </c>
    </row>
    <row r="268" spans="1:16" x14ac:dyDescent="0.35">
      <c r="A268" t="s">
        <v>331</v>
      </c>
      <c r="B268" t="s">
        <v>51</v>
      </c>
      <c r="C268" t="s">
        <v>76</v>
      </c>
      <c r="D268" t="s">
        <v>283</v>
      </c>
      <c r="E268" t="s">
        <v>20</v>
      </c>
      <c r="F268" t="s">
        <v>21</v>
      </c>
      <c r="G268" t="s">
        <v>35</v>
      </c>
      <c r="H268" t="b">
        <v>1</v>
      </c>
      <c r="I268">
        <v>10</v>
      </c>
      <c r="J268">
        <v>98</v>
      </c>
      <c r="L268">
        <v>29.4</v>
      </c>
      <c r="M268">
        <v>7.9512299999999994E-2</v>
      </c>
      <c r="N268">
        <v>29.4</v>
      </c>
      <c r="O268">
        <v>7.9512299999999994E-2</v>
      </c>
    </row>
    <row r="269" spans="1:16" ht="29" x14ac:dyDescent="0.35">
      <c r="A269" t="s">
        <v>332</v>
      </c>
      <c r="B269" t="s">
        <v>51</v>
      </c>
      <c r="C269" t="s">
        <v>76</v>
      </c>
      <c r="D269" t="s">
        <v>283</v>
      </c>
      <c r="E269" t="s">
        <v>20</v>
      </c>
      <c r="F269" t="s">
        <v>21</v>
      </c>
      <c r="G269" t="s">
        <v>33</v>
      </c>
      <c r="H269" t="b">
        <v>1</v>
      </c>
      <c r="I269">
        <v>10</v>
      </c>
      <c r="J269">
        <v>51.8</v>
      </c>
      <c r="L269">
        <v>25.9</v>
      </c>
      <c r="M269">
        <v>4.9295470000000003E-3</v>
      </c>
      <c r="N269">
        <v>25.9</v>
      </c>
      <c r="O269">
        <v>4.9295470000000003E-3</v>
      </c>
      <c r="P269" s="1" t="s">
        <v>23</v>
      </c>
    </row>
    <row r="270" spans="1:16" x14ac:dyDescent="0.35">
      <c r="A270" t="s">
        <v>333</v>
      </c>
      <c r="B270" t="s">
        <v>51</v>
      </c>
      <c r="C270" t="s">
        <v>76</v>
      </c>
      <c r="D270" t="s">
        <v>283</v>
      </c>
      <c r="E270" t="s">
        <v>20</v>
      </c>
      <c r="F270" t="s">
        <v>21</v>
      </c>
      <c r="G270" t="s">
        <v>31</v>
      </c>
      <c r="H270" t="b">
        <v>0</v>
      </c>
      <c r="I270">
        <v>10</v>
      </c>
      <c r="J270">
        <v>137.666666666667</v>
      </c>
      <c r="L270">
        <v>82.6</v>
      </c>
      <c r="M270">
        <v>1.8584999999999999E-4</v>
      </c>
      <c r="N270">
        <v>0</v>
      </c>
      <c r="O270">
        <v>0</v>
      </c>
    </row>
    <row r="271" spans="1:16" x14ac:dyDescent="0.35">
      <c r="A271" t="s">
        <v>334</v>
      </c>
      <c r="B271" t="s">
        <v>51</v>
      </c>
      <c r="C271" t="s">
        <v>76</v>
      </c>
      <c r="D271" t="s">
        <v>283</v>
      </c>
      <c r="E271" t="s">
        <v>20</v>
      </c>
      <c r="F271" t="s">
        <v>21</v>
      </c>
      <c r="G271" t="s">
        <v>143</v>
      </c>
      <c r="H271" t="b">
        <v>1</v>
      </c>
      <c r="I271">
        <v>10</v>
      </c>
      <c r="J271">
        <v>11.2</v>
      </c>
      <c r="L271">
        <v>5.6</v>
      </c>
      <c r="M271">
        <v>1.0640000000000001E-3</v>
      </c>
      <c r="N271">
        <v>5.6</v>
      </c>
      <c r="O271">
        <v>1.0640000000000001E-3</v>
      </c>
    </row>
    <row r="272" spans="1:16" x14ac:dyDescent="0.35">
      <c r="A272" t="s">
        <v>335</v>
      </c>
      <c r="B272" t="s">
        <v>51</v>
      </c>
      <c r="C272" t="s">
        <v>76</v>
      </c>
      <c r="D272" t="s">
        <v>283</v>
      </c>
      <c r="E272" t="s">
        <v>20</v>
      </c>
      <c r="F272" t="s">
        <v>21</v>
      </c>
      <c r="G272" t="s">
        <v>25</v>
      </c>
      <c r="H272" t="b">
        <v>1</v>
      </c>
      <c r="I272">
        <v>10</v>
      </c>
      <c r="J272">
        <v>22</v>
      </c>
      <c r="L272">
        <v>2.2000000000000002</v>
      </c>
      <c r="M272">
        <v>8.5799999999999998E-5</v>
      </c>
      <c r="N272">
        <v>2.2000000000000002</v>
      </c>
      <c r="O272">
        <v>8.5799999999999998E-5</v>
      </c>
    </row>
    <row r="273" spans="1:16" x14ac:dyDescent="0.35">
      <c r="A273" t="s">
        <v>336</v>
      </c>
      <c r="B273" t="s">
        <v>51</v>
      </c>
      <c r="C273" t="s">
        <v>76</v>
      </c>
      <c r="D273" t="s">
        <v>283</v>
      </c>
      <c r="E273" t="s">
        <v>20</v>
      </c>
      <c r="F273" t="s">
        <v>21</v>
      </c>
      <c r="G273" t="s">
        <v>69</v>
      </c>
      <c r="H273" t="b">
        <v>1</v>
      </c>
      <c r="I273">
        <v>10</v>
      </c>
      <c r="J273">
        <v>24</v>
      </c>
      <c r="L273">
        <v>2.4</v>
      </c>
      <c r="M273">
        <v>1.381536E-3</v>
      </c>
      <c r="N273">
        <v>2.4</v>
      </c>
      <c r="O273">
        <v>1.381536E-3</v>
      </c>
    </row>
    <row r="274" spans="1:16" ht="29" x14ac:dyDescent="0.35">
      <c r="A274" t="s">
        <v>337</v>
      </c>
      <c r="B274" t="s">
        <v>51</v>
      </c>
      <c r="C274" t="s">
        <v>76</v>
      </c>
      <c r="D274" t="s">
        <v>283</v>
      </c>
      <c r="E274" t="s">
        <v>20</v>
      </c>
      <c r="F274" t="s">
        <v>21</v>
      </c>
      <c r="G274" s="1" t="s">
        <v>56</v>
      </c>
      <c r="H274" t="b">
        <v>0</v>
      </c>
      <c r="I274">
        <v>10</v>
      </c>
      <c r="J274">
        <v>18</v>
      </c>
      <c r="L274">
        <v>3.6</v>
      </c>
      <c r="M274">
        <v>1.6199999999999999E-3</v>
      </c>
      <c r="N274">
        <v>0</v>
      </c>
      <c r="O274">
        <v>0</v>
      </c>
    </row>
    <row r="275" spans="1:16" ht="29" x14ac:dyDescent="0.35">
      <c r="A275" t="s">
        <v>338</v>
      </c>
      <c r="B275" t="s">
        <v>51</v>
      </c>
      <c r="C275" t="s">
        <v>83</v>
      </c>
      <c r="D275" t="s">
        <v>283</v>
      </c>
      <c r="E275" t="s">
        <v>20</v>
      </c>
      <c r="F275" t="s">
        <v>21</v>
      </c>
      <c r="G275" t="s">
        <v>33</v>
      </c>
      <c r="H275" t="b">
        <v>1</v>
      </c>
      <c r="I275">
        <v>10</v>
      </c>
      <c r="J275">
        <v>46.25</v>
      </c>
      <c r="K275">
        <v>10</v>
      </c>
      <c r="L275">
        <v>138.75</v>
      </c>
      <c r="M275">
        <v>2.6408287499999999E-2</v>
      </c>
      <c r="N275">
        <v>138.75</v>
      </c>
      <c r="O275">
        <v>2.6408287499999999E-2</v>
      </c>
      <c r="P275" s="1" t="s">
        <v>23</v>
      </c>
    </row>
    <row r="276" spans="1:16" x14ac:dyDescent="0.35">
      <c r="A276" t="s">
        <v>339</v>
      </c>
      <c r="B276" t="s">
        <v>51</v>
      </c>
      <c r="C276" t="s">
        <v>83</v>
      </c>
      <c r="D276" t="s">
        <v>283</v>
      </c>
      <c r="E276" t="s">
        <v>20</v>
      </c>
      <c r="F276" t="s">
        <v>21</v>
      </c>
      <c r="G276" t="s">
        <v>31</v>
      </c>
      <c r="H276" t="b">
        <v>0</v>
      </c>
      <c r="I276">
        <v>10</v>
      </c>
      <c r="J276">
        <v>88.4</v>
      </c>
      <c r="L276">
        <v>44.2</v>
      </c>
      <c r="M276">
        <v>9.9450000000000005E-5</v>
      </c>
      <c r="N276">
        <v>0</v>
      </c>
      <c r="O276">
        <v>0</v>
      </c>
    </row>
    <row r="277" spans="1:16" x14ac:dyDescent="0.35">
      <c r="A277" t="s">
        <v>340</v>
      </c>
      <c r="B277" t="s">
        <v>51</v>
      </c>
      <c r="C277" t="s">
        <v>83</v>
      </c>
      <c r="D277" t="s">
        <v>283</v>
      </c>
      <c r="E277" t="s">
        <v>20</v>
      </c>
      <c r="F277" t="s">
        <v>21</v>
      </c>
      <c r="G277" t="s">
        <v>54</v>
      </c>
      <c r="H277" t="b">
        <v>1</v>
      </c>
      <c r="I277">
        <v>10</v>
      </c>
      <c r="J277">
        <v>15.4</v>
      </c>
      <c r="L277">
        <v>15.4</v>
      </c>
      <c r="M277">
        <v>5.6979999999999999E-3</v>
      </c>
      <c r="N277">
        <v>15.4</v>
      </c>
      <c r="O277">
        <v>5.6979999999999999E-3</v>
      </c>
    </row>
    <row r="278" spans="1:16" x14ac:dyDescent="0.35">
      <c r="A278" t="s">
        <v>341</v>
      </c>
      <c r="B278" t="s">
        <v>51</v>
      </c>
      <c r="C278" t="s">
        <v>83</v>
      </c>
      <c r="D278" t="s">
        <v>283</v>
      </c>
      <c r="E278" t="s">
        <v>20</v>
      </c>
      <c r="F278" t="s">
        <v>21</v>
      </c>
      <c r="G278" t="s">
        <v>35</v>
      </c>
      <c r="H278" t="b">
        <v>1</v>
      </c>
      <c r="I278">
        <v>10</v>
      </c>
      <c r="J278">
        <v>27.75</v>
      </c>
      <c r="L278">
        <v>11.1</v>
      </c>
      <c r="M278">
        <v>3.001995E-2</v>
      </c>
      <c r="N278">
        <v>11.1</v>
      </c>
      <c r="O278">
        <v>3.001995E-2</v>
      </c>
    </row>
    <row r="279" spans="1:16" ht="29" x14ac:dyDescent="0.35">
      <c r="A279" t="s">
        <v>342</v>
      </c>
      <c r="B279" t="s">
        <v>51</v>
      </c>
      <c r="C279" t="s">
        <v>83</v>
      </c>
      <c r="D279" t="s">
        <v>283</v>
      </c>
      <c r="E279" t="s">
        <v>20</v>
      </c>
      <c r="F279" t="s">
        <v>21</v>
      </c>
      <c r="G279" t="s">
        <v>22</v>
      </c>
      <c r="H279" t="b">
        <v>1</v>
      </c>
      <c r="I279">
        <v>10</v>
      </c>
      <c r="J279">
        <v>19.3333333333333</v>
      </c>
      <c r="L279">
        <v>5.8</v>
      </c>
      <c r="M279">
        <v>4.1643171423600003E-4</v>
      </c>
      <c r="N279">
        <v>5.8</v>
      </c>
      <c r="O279">
        <v>4.1643171423600003E-4</v>
      </c>
      <c r="P279" s="1" t="s">
        <v>23</v>
      </c>
    </row>
    <row r="280" spans="1:16" x14ac:dyDescent="0.35">
      <c r="A280" t="s">
        <v>343</v>
      </c>
      <c r="B280" t="s">
        <v>51</v>
      </c>
      <c r="C280" t="s">
        <v>83</v>
      </c>
      <c r="D280" t="s">
        <v>283</v>
      </c>
      <c r="E280" t="s">
        <v>20</v>
      </c>
      <c r="F280" t="s">
        <v>21</v>
      </c>
      <c r="G280" t="s">
        <v>143</v>
      </c>
      <c r="H280" t="b">
        <v>1</v>
      </c>
      <c r="I280">
        <v>10</v>
      </c>
      <c r="J280">
        <v>12</v>
      </c>
      <c r="L280">
        <v>2.4</v>
      </c>
      <c r="M280">
        <v>4.5600000000000003E-4</v>
      </c>
      <c r="N280">
        <v>2.4</v>
      </c>
      <c r="O280">
        <v>4.5600000000000003E-4</v>
      </c>
    </row>
    <row r="281" spans="1:16" x14ac:dyDescent="0.35">
      <c r="A281" t="s">
        <v>344</v>
      </c>
      <c r="B281" t="s">
        <v>88</v>
      </c>
      <c r="C281" t="s">
        <v>89</v>
      </c>
      <c r="D281" t="s">
        <v>283</v>
      </c>
      <c r="E281" t="s">
        <v>20</v>
      </c>
      <c r="F281" t="s">
        <v>21</v>
      </c>
      <c r="G281" t="s">
        <v>25</v>
      </c>
      <c r="H281" t="b">
        <v>1</v>
      </c>
      <c r="I281">
        <v>10</v>
      </c>
      <c r="J281">
        <v>12.8571428571429</v>
      </c>
      <c r="L281">
        <v>18</v>
      </c>
      <c r="M281">
        <v>7.0200000000000004E-4</v>
      </c>
      <c r="N281">
        <v>18</v>
      </c>
      <c r="O281">
        <v>7.0200000000000004E-4</v>
      </c>
    </row>
    <row r="282" spans="1:16" x14ac:dyDescent="0.35">
      <c r="A282" t="s">
        <v>345</v>
      </c>
      <c r="B282" t="s">
        <v>88</v>
      </c>
      <c r="C282" t="s">
        <v>89</v>
      </c>
      <c r="D282" t="s">
        <v>283</v>
      </c>
      <c r="E282" t="s">
        <v>20</v>
      </c>
      <c r="F282" t="s">
        <v>21</v>
      </c>
      <c r="G282" t="s">
        <v>143</v>
      </c>
      <c r="H282" t="b">
        <v>1</v>
      </c>
      <c r="I282">
        <v>10</v>
      </c>
      <c r="J282">
        <v>18.3333333333333</v>
      </c>
      <c r="L282">
        <v>5.5</v>
      </c>
      <c r="M282">
        <v>1.0449999999999999E-3</v>
      </c>
      <c r="N282">
        <v>5.5</v>
      </c>
      <c r="O282">
        <v>1.0449999999999999E-3</v>
      </c>
    </row>
    <row r="283" spans="1:16" ht="29" x14ac:dyDescent="0.35">
      <c r="A283" t="s">
        <v>346</v>
      </c>
      <c r="B283" t="s">
        <v>88</v>
      </c>
      <c r="C283" t="s">
        <v>89</v>
      </c>
      <c r="D283" t="s">
        <v>283</v>
      </c>
      <c r="E283" t="s">
        <v>20</v>
      </c>
      <c r="F283" t="s">
        <v>21</v>
      </c>
      <c r="G283" t="s">
        <v>33</v>
      </c>
      <c r="H283" t="b">
        <v>1</v>
      </c>
      <c r="I283">
        <v>10</v>
      </c>
      <c r="J283">
        <v>49.2</v>
      </c>
      <c r="K283">
        <v>14</v>
      </c>
      <c r="L283">
        <v>167.28</v>
      </c>
      <c r="M283">
        <v>3.18384024E-2</v>
      </c>
      <c r="N283">
        <v>167.28</v>
      </c>
      <c r="O283">
        <v>3.18384024E-2</v>
      </c>
      <c r="P283" s="1" t="s">
        <v>23</v>
      </c>
    </row>
    <row r="284" spans="1:16" x14ac:dyDescent="0.35">
      <c r="A284" t="s">
        <v>347</v>
      </c>
      <c r="B284" t="s">
        <v>88</v>
      </c>
      <c r="C284" t="s">
        <v>93</v>
      </c>
      <c r="D284" t="s">
        <v>283</v>
      </c>
      <c r="E284" t="s">
        <v>20</v>
      </c>
      <c r="F284" t="s">
        <v>94</v>
      </c>
      <c r="G284" t="s">
        <v>69</v>
      </c>
      <c r="H284" t="b">
        <v>1</v>
      </c>
      <c r="I284">
        <v>10</v>
      </c>
      <c r="J284">
        <v>34.3333333333333</v>
      </c>
      <c r="L284">
        <v>323.58451388888898</v>
      </c>
      <c r="M284">
        <v>0.18626818957499999</v>
      </c>
      <c r="N284">
        <v>323.58451388888898</v>
      </c>
      <c r="O284">
        <v>0.18626818957499999</v>
      </c>
    </row>
    <row r="285" spans="1:16" ht="29" x14ac:dyDescent="0.35">
      <c r="A285" t="s">
        <v>348</v>
      </c>
      <c r="B285" t="s">
        <v>88</v>
      </c>
      <c r="C285" t="s">
        <v>93</v>
      </c>
      <c r="D285" t="s">
        <v>283</v>
      </c>
      <c r="E285" t="s">
        <v>20</v>
      </c>
      <c r="F285" t="s">
        <v>94</v>
      </c>
      <c r="G285" t="s">
        <v>33</v>
      </c>
      <c r="H285" t="b">
        <v>1</v>
      </c>
      <c r="I285">
        <v>10</v>
      </c>
      <c r="J285">
        <v>54.7</v>
      </c>
      <c r="K285">
        <v>21</v>
      </c>
      <c r="L285">
        <v>7045.66009027778</v>
      </c>
      <c r="M285">
        <v>1.3410004849825701</v>
      </c>
      <c r="N285">
        <v>7045.66009027778</v>
      </c>
      <c r="O285">
        <v>1.3410004849825701</v>
      </c>
      <c r="P285" s="1" t="s">
        <v>23</v>
      </c>
    </row>
    <row r="286" spans="1:16" x14ac:dyDescent="0.35">
      <c r="A286" t="s">
        <v>349</v>
      </c>
      <c r="B286" t="s">
        <v>88</v>
      </c>
      <c r="C286" t="s">
        <v>93</v>
      </c>
      <c r="D286" t="s">
        <v>283</v>
      </c>
      <c r="E286" t="s">
        <v>20</v>
      </c>
      <c r="F286" t="s">
        <v>94</v>
      </c>
      <c r="G286" t="s">
        <v>143</v>
      </c>
      <c r="H286" t="b">
        <v>1</v>
      </c>
      <c r="I286">
        <v>10</v>
      </c>
      <c r="J286">
        <v>5</v>
      </c>
      <c r="L286">
        <v>15.707986111111101</v>
      </c>
      <c r="M286">
        <v>2.9845173611111101E-3</v>
      </c>
      <c r="N286">
        <v>15.707986111111101</v>
      </c>
      <c r="O286">
        <v>2.9845173611111101E-3</v>
      </c>
    </row>
    <row r="287" spans="1:16" x14ac:dyDescent="0.35">
      <c r="A287" t="s">
        <v>350</v>
      </c>
      <c r="B287" t="s">
        <v>88</v>
      </c>
      <c r="C287" t="s">
        <v>93</v>
      </c>
      <c r="D287" t="s">
        <v>283</v>
      </c>
      <c r="E287" t="s">
        <v>20</v>
      </c>
      <c r="F287" t="s">
        <v>94</v>
      </c>
      <c r="G287" t="s">
        <v>25</v>
      </c>
      <c r="H287" t="b">
        <v>1</v>
      </c>
      <c r="I287">
        <v>10</v>
      </c>
      <c r="J287">
        <v>7.25</v>
      </c>
      <c r="L287">
        <v>91.106319444444395</v>
      </c>
      <c r="M287">
        <v>3.5531464583333301E-3</v>
      </c>
      <c r="N287">
        <v>91.106319444444395</v>
      </c>
      <c r="O287">
        <v>3.5531464583333301E-3</v>
      </c>
    </row>
    <row r="288" spans="1:16" ht="29" x14ac:dyDescent="0.35">
      <c r="A288" t="s">
        <v>351</v>
      </c>
      <c r="B288" t="s">
        <v>88</v>
      </c>
      <c r="C288" t="s">
        <v>97</v>
      </c>
      <c r="D288" t="s">
        <v>283</v>
      </c>
      <c r="E288" t="s">
        <v>20</v>
      </c>
      <c r="F288" t="s">
        <v>94</v>
      </c>
      <c r="G288" t="s">
        <v>33</v>
      </c>
      <c r="H288" t="b">
        <v>1</v>
      </c>
      <c r="I288">
        <v>10</v>
      </c>
      <c r="J288">
        <v>41.7</v>
      </c>
      <c r="K288">
        <v>22</v>
      </c>
      <c r="L288">
        <v>5502.1933749999998</v>
      </c>
      <c r="M288">
        <v>1.0472324650637499</v>
      </c>
      <c r="N288">
        <v>5502.1933749999998</v>
      </c>
      <c r="O288">
        <v>1.0472324650637499</v>
      </c>
      <c r="P288" s="1" t="s">
        <v>23</v>
      </c>
    </row>
    <row r="289" spans="1:16" ht="29" x14ac:dyDescent="0.35">
      <c r="A289" t="s">
        <v>352</v>
      </c>
      <c r="B289" t="s">
        <v>88</v>
      </c>
      <c r="C289" t="s">
        <v>97</v>
      </c>
      <c r="D289" t="s">
        <v>283</v>
      </c>
      <c r="E289" t="s">
        <v>20</v>
      </c>
      <c r="F289" t="s">
        <v>94</v>
      </c>
      <c r="G289" t="s">
        <v>22</v>
      </c>
      <c r="H289" t="b">
        <v>1</v>
      </c>
      <c r="I289">
        <v>10</v>
      </c>
      <c r="J289">
        <v>14</v>
      </c>
      <c r="L289">
        <v>131.94708333333301</v>
      </c>
      <c r="M289">
        <v>9.4736120863689998E-3</v>
      </c>
      <c r="N289">
        <v>131.94708333333301</v>
      </c>
      <c r="O289">
        <v>9.4736120863689998E-3</v>
      </c>
      <c r="P289" s="1" t="s">
        <v>23</v>
      </c>
    </row>
    <row r="290" spans="1:16" x14ac:dyDescent="0.35">
      <c r="A290" t="s">
        <v>353</v>
      </c>
      <c r="B290" t="s">
        <v>88</v>
      </c>
      <c r="C290" t="s">
        <v>97</v>
      </c>
      <c r="D290" t="s">
        <v>283</v>
      </c>
      <c r="E290" t="s">
        <v>20</v>
      </c>
      <c r="F290" t="s">
        <v>94</v>
      </c>
      <c r="G290" t="s">
        <v>69</v>
      </c>
      <c r="H290" t="b">
        <v>1</v>
      </c>
      <c r="I290">
        <v>10</v>
      </c>
      <c r="J290">
        <v>40</v>
      </c>
      <c r="L290">
        <v>251.32777777777801</v>
      </c>
      <c r="M290">
        <v>0.14467432199999999</v>
      </c>
      <c r="N290">
        <v>251.32777777777801</v>
      </c>
      <c r="O290">
        <v>0.14467432199999999</v>
      </c>
    </row>
    <row r="291" spans="1:16" x14ac:dyDescent="0.35">
      <c r="A291" t="s">
        <v>354</v>
      </c>
      <c r="B291" t="s">
        <v>88</v>
      </c>
      <c r="C291" t="s">
        <v>97</v>
      </c>
      <c r="D291" t="s">
        <v>283</v>
      </c>
      <c r="E291" t="s">
        <v>20</v>
      </c>
      <c r="F291" t="s">
        <v>94</v>
      </c>
      <c r="G291" t="s">
        <v>54</v>
      </c>
      <c r="H291" t="b">
        <v>1</v>
      </c>
      <c r="I291">
        <v>10</v>
      </c>
      <c r="J291">
        <v>26</v>
      </c>
      <c r="L291">
        <v>81.681527777777802</v>
      </c>
      <c r="M291">
        <v>3.02221652777778E-2</v>
      </c>
      <c r="N291">
        <v>81.681527777777802</v>
      </c>
      <c r="O291">
        <v>3.02221652777778E-2</v>
      </c>
    </row>
    <row r="292" spans="1:16" x14ac:dyDescent="0.35">
      <c r="A292" t="s">
        <v>355</v>
      </c>
      <c r="B292" t="s">
        <v>88</v>
      </c>
      <c r="C292" t="s">
        <v>97</v>
      </c>
      <c r="D292" t="s">
        <v>283</v>
      </c>
      <c r="E292" t="s">
        <v>20</v>
      </c>
      <c r="F292" t="s">
        <v>94</v>
      </c>
      <c r="G292" t="s">
        <v>25</v>
      </c>
      <c r="H292" t="b">
        <v>1</v>
      </c>
      <c r="I292">
        <v>10</v>
      </c>
      <c r="J292">
        <v>11</v>
      </c>
      <c r="L292">
        <v>241.90298611111101</v>
      </c>
      <c r="M292">
        <v>9.4342164583333301E-3</v>
      </c>
      <c r="N292">
        <v>241.90298611111101</v>
      </c>
      <c r="O292">
        <v>9.4342164583333301E-3</v>
      </c>
    </row>
    <row r="293" spans="1:16" ht="29" x14ac:dyDescent="0.35">
      <c r="A293" t="s">
        <v>356</v>
      </c>
      <c r="B293" t="s">
        <v>88</v>
      </c>
      <c r="C293" t="s">
        <v>103</v>
      </c>
      <c r="D293" t="s">
        <v>283</v>
      </c>
      <c r="E293" t="s">
        <v>20</v>
      </c>
      <c r="F293" t="s">
        <v>94</v>
      </c>
      <c r="G293" t="s">
        <v>33</v>
      </c>
      <c r="H293" t="b">
        <v>1</v>
      </c>
      <c r="I293">
        <v>10</v>
      </c>
      <c r="J293">
        <v>56.2</v>
      </c>
      <c r="K293">
        <v>19</v>
      </c>
      <c r="L293">
        <v>6885.7527916666704</v>
      </c>
      <c r="M293">
        <v>1.31056532883792</v>
      </c>
      <c r="N293">
        <v>6885.7527916666704</v>
      </c>
      <c r="O293">
        <v>1.31056532883792</v>
      </c>
      <c r="P293" s="1" t="s">
        <v>23</v>
      </c>
    </row>
    <row r="294" spans="1:16" x14ac:dyDescent="0.35">
      <c r="A294" t="s">
        <v>357</v>
      </c>
      <c r="B294" t="s">
        <v>88</v>
      </c>
      <c r="C294" t="s">
        <v>103</v>
      </c>
      <c r="D294" t="s">
        <v>283</v>
      </c>
      <c r="E294" t="s">
        <v>20</v>
      </c>
      <c r="F294" t="s">
        <v>94</v>
      </c>
      <c r="G294" t="s">
        <v>224</v>
      </c>
      <c r="H294" t="b">
        <v>0</v>
      </c>
      <c r="I294">
        <v>10</v>
      </c>
      <c r="J294">
        <v>16</v>
      </c>
      <c r="L294">
        <v>50.265555555555601</v>
      </c>
      <c r="M294">
        <v>1.1058422222222199E-3</v>
      </c>
      <c r="N294">
        <v>0</v>
      </c>
      <c r="O294">
        <v>0</v>
      </c>
    </row>
    <row r="295" spans="1:16" ht="29" x14ac:dyDescent="0.35">
      <c r="A295" t="s">
        <v>358</v>
      </c>
      <c r="B295" t="s">
        <v>88</v>
      </c>
      <c r="C295" t="s">
        <v>103</v>
      </c>
      <c r="D295" t="s">
        <v>283</v>
      </c>
      <c r="E295" t="s">
        <v>20</v>
      </c>
      <c r="F295" t="s">
        <v>94</v>
      </c>
      <c r="G295" t="s">
        <v>22</v>
      </c>
      <c r="H295" t="b">
        <v>1</v>
      </c>
      <c r="I295">
        <v>10</v>
      </c>
      <c r="J295">
        <v>38.25</v>
      </c>
      <c r="L295">
        <v>480.66437500000001</v>
      </c>
      <c r="M295">
        <v>3.45110154574872E-2</v>
      </c>
      <c r="N295">
        <v>480.66437500000001</v>
      </c>
      <c r="O295">
        <v>3.45110154574872E-2</v>
      </c>
      <c r="P295" s="1" t="s">
        <v>23</v>
      </c>
    </row>
    <row r="296" spans="1:16" x14ac:dyDescent="0.35">
      <c r="A296" t="s">
        <v>359</v>
      </c>
      <c r="B296" t="s">
        <v>88</v>
      </c>
      <c r="C296" t="s">
        <v>103</v>
      </c>
      <c r="D296" t="s">
        <v>283</v>
      </c>
      <c r="E296" t="s">
        <v>20</v>
      </c>
      <c r="F296" t="s">
        <v>94</v>
      </c>
      <c r="G296" t="s">
        <v>143</v>
      </c>
      <c r="H296" t="b">
        <v>1</v>
      </c>
      <c r="I296">
        <v>10</v>
      </c>
      <c r="J296">
        <v>17.399999999999999</v>
      </c>
      <c r="L296">
        <v>273.318958333333</v>
      </c>
      <c r="M296">
        <v>5.1930602083333298E-2</v>
      </c>
      <c r="N296">
        <v>273.318958333333</v>
      </c>
      <c r="O296">
        <v>5.1930602083333298E-2</v>
      </c>
    </row>
    <row r="297" spans="1:16" x14ac:dyDescent="0.35">
      <c r="A297" t="s">
        <v>360</v>
      </c>
      <c r="B297" t="s">
        <v>88</v>
      </c>
      <c r="C297" t="s">
        <v>103</v>
      </c>
      <c r="D297" t="s">
        <v>283</v>
      </c>
      <c r="E297" t="s">
        <v>20</v>
      </c>
      <c r="F297" t="s">
        <v>94</v>
      </c>
      <c r="G297" t="s">
        <v>25</v>
      </c>
      <c r="H297" t="b">
        <v>1</v>
      </c>
      <c r="I297">
        <v>10</v>
      </c>
      <c r="J297">
        <v>8</v>
      </c>
      <c r="L297">
        <v>25.1327777777778</v>
      </c>
      <c r="M297">
        <v>9.8017833333333398E-4</v>
      </c>
      <c r="N297">
        <v>25.1327777777778</v>
      </c>
      <c r="O297">
        <v>9.8017833333333398E-4</v>
      </c>
    </row>
    <row r="298" spans="1:16" x14ac:dyDescent="0.35">
      <c r="A298" t="s">
        <v>361</v>
      </c>
      <c r="B298" t="s">
        <v>108</v>
      </c>
      <c r="C298" t="s">
        <v>109</v>
      </c>
      <c r="D298" t="s">
        <v>283</v>
      </c>
      <c r="E298" t="s">
        <v>20</v>
      </c>
      <c r="F298" t="s">
        <v>309</v>
      </c>
      <c r="G298" t="s">
        <v>69</v>
      </c>
      <c r="H298" t="b">
        <v>1</v>
      </c>
      <c r="I298">
        <v>10</v>
      </c>
      <c r="J298">
        <v>28.571428571428601</v>
      </c>
      <c r="L298">
        <v>20</v>
      </c>
      <c r="M298">
        <v>1.15128E-2</v>
      </c>
      <c r="N298">
        <v>20</v>
      </c>
      <c r="O298">
        <v>1.15128E-2</v>
      </c>
    </row>
    <row r="299" spans="1:16" x14ac:dyDescent="0.35">
      <c r="A299" t="s">
        <v>362</v>
      </c>
      <c r="B299" t="s">
        <v>108</v>
      </c>
      <c r="C299" t="s">
        <v>109</v>
      </c>
      <c r="D299" t="s">
        <v>283</v>
      </c>
      <c r="E299" t="s">
        <v>20</v>
      </c>
      <c r="F299" t="s">
        <v>309</v>
      </c>
      <c r="G299" t="s">
        <v>25</v>
      </c>
      <c r="H299" t="b">
        <v>1</v>
      </c>
      <c r="I299">
        <v>10</v>
      </c>
      <c r="J299">
        <v>11.5</v>
      </c>
      <c r="L299">
        <v>2.2999999999999998</v>
      </c>
      <c r="M299">
        <v>8.9699999999999998E-5</v>
      </c>
      <c r="N299">
        <v>2.2999999999999998</v>
      </c>
      <c r="O299">
        <v>8.9699999999999998E-5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17.5</v>
      </c>
      <c r="K2">
        <v>16</v>
      </c>
      <c r="L2">
        <v>63</v>
      </c>
      <c r="M2">
        <v>4.5233099994599997E-3</v>
      </c>
      <c r="N2">
        <v>63</v>
      </c>
      <c r="O2">
        <v>4.5233099994599997E-3</v>
      </c>
      <c r="P2" s="1" t="s">
        <v>23</v>
      </c>
    </row>
    <row r="3" spans="1:16" ht="29" x14ac:dyDescent="0.35">
      <c r="A3" t="s">
        <v>32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33</v>
      </c>
      <c r="H3" t="b">
        <v>1</v>
      </c>
      <c r="I3">
        <v>10</v>
      </c>
      <c r="J3">
        <v>87.3333333333333</v>
      </c>
      <c r="L3">
        <v>26.2</v>
      </c>
      <c r="M3">
        <v>4.986646E-3</v>
      </c>
      <c r="N3">
        <v>26.2</v>
      </c>
      <c r="O3">
        <v>4.986646E-3</v>
      </c>
      <c r="P3" s="1" t="s">
        <v>23</v>
      </c>
    </row>
    <row r="4" spans="1:16" ht="29" x14ac:dyDescent="0.35">
      <c r="A4" t="s">
        <v>36</v>
      </c>
      <c r="B4" t="s">
        <v>17</v>
      </c>
      <c r="C4" t="s">
        <v>37</v>
      </c>
      <c r="D4" t="s">
        <v>19</v>
      </c>
      <c r="E4" t="s">
        <v>20</v>
      </c>
      <c r="F4" t="s">
        <v>21</v>
      </c>
      <c r="G4" t="s">
        <v>22</v>
      </c>
      <c r="H4" t="b">
        <v>1</v>
      </c>
      <c r="I4">
        <v>10</v>
      </c>
      <c r="J4">
        <v>122.6</v>
      </c>
      <c r="L4">
        <v>183.9</v>
      </c>
      <c r="M4">
        <v>1.3203757284138E-2</v>
      </c>
      <c r="N4">
        <v>183.9</v>
      </c>
      <c r="O4">
        <v>1.3203757284138E-2</v>
      </c>
      <c r="P4" s="1" t="s">
        <v>23</v>
      </c>
    </row>
    <row r="5" spans="1:16" ht="29" x14ac:dyDescent="0.35">
      <c r="A5" t="s">
        <v>41</v>
      </c>
      <c r="B5" t="s">
        <v>17</v>
      </c>
      <c r="C5" t="s">
        <v>37</v>
      </c>
      <c r="D5" t="s">
        <v>19</v>
      </c>
      <c r="E5" t="s">
        <v>20</v>
      </c>
      <c r="F5" t="s">
        <v>21</v>
      </c>
      <c r="G5" t="s">
        <v>33</v>
      </c>
      <c r="H5" t="b">
        <v>1</v>
      </c>
      <c r="I5">
        <v>10</v>
      </c>
      <c r="J5">
        <v>37</v>
      </c>
      <c r="L5">
        <v>14.8</v>
      </c>
      <c r="M5">
        <v>2.816884E-3</v>
      </c>
      <c r="N5">
        <v>14.8</v>
      </c>
      <c r="O5">
        <v>2.816884E-3</v>
      </c>
      <c r="P5" s="1" t="s">
        <v>23</v>
      </c>
    </row>
    <row r="6" spans="1:16" ht="29" x14ac:dyDescent="0.35">
      <c r="A6" t="s">
        <v>50</v>
      </c>
      <c r="B6" t="s">
        <v>51</v>
      </c>
      <c r="C6" t="s">
        <v>52</v>
      </c>
      <c r="D6" t="s">
        <v>19</v>
      </c>
      <c r="E6" t="s">
        <v>20</v>
      </c>
      <c r="F6" t="s">
        <v>21</v>
      </c>
      <c r="G6" t="s">
        <v>33</v>
      </c>
      <c r="H6" t="b">
        <v>1</v>
      </c>
      <c r="I6">
        <v>10</v>
      </c>
      <c r="J6">
        <v>35.875</v>
      </c>
      <c r="L6">
        <v>57.4</v>
      </c>
      <c r="M6">
        <v>1.0924942E-2</v>
      </c>
      <c r="N6">
        <v>57.4</v>
      </c>
      <c r="O6">
        <v>1.0924942E-2</v>
      </c>
      <c r="P6" s="1" t="s">
        <v>23</v>
      </c>
    </row>
    <row r="7" spans="1:16" ht="29" x14ac:dyDescent="0.35">
      <c r="A7" t="s">
        <v>59</v>
      </c>
      <c r="B7" t="s">
        <v>51</v>
      </c>
      <c r="C7" t="s">
        <v>60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46.909090909090899</v>
      </c>
      <c r="L7">
        <v>51.6</v>
      </c>
      <c r="M7">
        <v>9.8210280000000007E-3</v>
      </c>
      <c r="N7">
        <v>51.6</v>
      </c>
      <c r="O7">
        <v>9.8210280000000007E-3</v>
      </c>
      <c r="P7" s="1" t="s">
        <v>23</v>
      </c>
    </row>
    <row r="8" spans="1:16" ht="29" x14ac:dyDescent="0.35">
      <c r="A8" t="s">
        <v>70</v>
      </c>
      <c r="B8" t="s">
        <v>51</v>
      </c>
      <c r="C8" t="s">
        <v>71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26.5</v>
      </c>
      <c r="L8">
        <v>21.2</v>
      </c>
      <c r="M8">
        <v>1.522129714104E-3</v>
      </c>
      <c r="N8">
        <v>21.2</v>
      </c>
      <c r="O8">
        <v>1.522129714104E-3</v>
      </c>
      <c r="P8" s="1" t="s">
        <v>23</v>
      </c>
    </row>
    <row r="9" spans="1:16" ht="29" x14ac:dyDescent="0.35">
      <c r="A9" t="s">
        <v>72</v>
      </c>
      <c r="B9" t="s">
        <v>51</v>
      </c>
      <c r="C9" t="s">
        <v>71</v>
      </c>
      <c r="D9" t="s">
        <v>19</v>
      </c>
      <c r="E9" t="s">
        <v>20</v>
      </c>
      <c r="F9" t="s">
        <v>21</v>
      </c>
      <c r="G9" t="s">
        <v>33</v>
      </c>
      <c r="H9" t="b">
        <v>1</v>
      </c>
      <c r="I9">
        <v>10</v>
      </c>
      <c r="J9">
        <v>48.4</v>
      </c>
      <c r="K9">
        <v>206</v>
      </c>
      <c r="L9">
        <v>1093.8399999999999</v>
      </c>
      <c r="M9">
        <v>0.20819056720000001</v>
      </c>
      <c r="N9">
        <v>1093.8399999999999</v>
      </c>
      <c r="O9">
        <v>0.20819056720000001</v>
      </c>
      <c r="P9" s="1" t="s">
        <v>23</v>
      </c>
    </row>
    <row r="10" spans="1:16" ht="29" x14ac:dyDescent="0.35">
      <c r="A10" t="s">
        <v>75</v>
      </c>
      <c r="B10" t="s">
        <v>51</v>
      </c>
      <c r="C10" t="s">
        <v>76</v>
      </c>
      <c r="D10" t="s">
        <v>19</v>
      </c>
      <c r="E10" t="s">
        <v>20</v>
      </c>
      <c r="F10" t="s">
        <v>21</v>
      </c>
      <c r="G10" t="s">
        <v>22</v>
      </c>
      <c r="H10" t="b">
        <v>1</v>
      </c>
      <c r="I10">
        <v>10</v>
      </c>
      <c r="J10">
        <v>37.200000000000003</v>
      </c>
      <c r="L10">
        <v>18.600000000000001</v>
      </c>
      <c r="M10">
        <v>1.335453428412E-3</v>
      </c>
      <c r="N10">
        <v>18.600000000000001</v>
      </c>
      <c r="O10">
        <v>1.335453428412E-3</v>
      </c>
      <c r="P10" s="1" t="s">
        <v>23</v>
      </c>
    </row>
    <row r="11" spans="1:16" ht="29" x14ac:dyDescent="0.35">
      <c r="A11" t="s">
        <v>77</v>
      </c>
      <c r="B11" t="s">
        <v>51</v>
      </c>
      <c r="C11" t="s">
        <v>76</v>
      </c>
      <c r="D11" t="s">
        <v>19</v>
      </c>
      <c r="E11" t="s">
        <v>20</v>
      </c>
      <c r="F11" t="s">
        <v>21</v>
      </c>
      <c r="G11" t="s">
        <v>33</v>
      </c>
      <c r="H11" t="b">
        <v>1</v>
      </c>
      <c r="I11">
        <v>10</v>
      </c>
      <c r="J11">
        <v>44.9444444444444</v>
      </c>
      <c r="L11">
        <v>80.900000000000006</v>
      </c>
      <c r="M11">
        <v>1.5397697E-2</v>
      </c>
      <c r="N11">
        <v>80.900000000000006</v>
      </c>
      <c r="O11">
        <v>1.5397697E-2</v>
      </c>
      <c r="P11" s="1" t="s">
        <v>23</v>
      </c>
    </row>
    <row r="12" spans="1:16" ht="29" x14ac:dyDescent="0.35">
      <c r="A12" t="s">
        <v>82</v>
      </c>
      <c r="B12" t="s">
        <v>51</v>
      </c>
      <c r="C12" t="s">
        <v>83</v>
      </c>
      <c r="D12" t="s">
        <v>19</v>
      </c>
      <c r="E12" t="s">
        <v>20</v>
      </c>
      <c r="F12" t="s">
        <v>21</v>
      </c>
      <c r="G12" t="s">
        <v>33</v>
      </c>
      <c r="H12" t="b">
        <v>1</v>
      </c>
      <c r="I12">
        <v>10</v>
      </c>
      <c r="J12">
        <v>46.15</v>
      </c>
      <c r="K12">
        <v>58</v>
      </c>
      <c r="L12">
        <v>359.97</v>
      </c>
      <c r="M12">
        <v>6.8513090099999993E-2</v>
      </c>
      <c r="N12">
        <v>359.97</v>
      </c>
      <c r="O12">
        <v>6.8513090099999993E-2</v>
      </c>
      <c r="P12" s="1" t="s">
        <v>23</v>
      </c>
    </row>
    <row r="13" spans="1:16" ht="29" x14ac:dyDescent="0.35">
      <c r="A13" t="s">
        <v>85</v>
      </c>
      <c r="B13" t="s">
        <v>51</v>
      </c>
      <c r="C13" t="s">
        <v>83</v>
      </c>
      <c r="D13" t="s">
        <v>19</v>
      </c>
      <c r="E13" t="s">
        <v>20</v>
      </c>
      <c r="F13" t="s">
        <v>21</v>
      </c>
      <c r="G13" t="s">
        <v>22</v>
      </c>
      <c r="H13" t="b">
        <v>1</v>
      </c>
      <c r="I13">
        <v>10</v>
      </c>
      <c r="J13">
        <v>29.8571428571429</v>
      </c>
      <c r="L13">
        <v>20.9</v>
      </c>
      <c r="M13">
        <v>1.5005901426780001E-3</v>
      </c>
      <c r="N13">
        <v>20.9</v>
      </c>
      <c r="O13">
        <v>1.5005901426780001E-3</v>
      </c>
      <c r="P13" s="1" t="s">
        <v>23</v>
      </c>
    </row>
    <row r="14" spans="1:16" ht="29" x14ac:dyDescent="0.35">
      <c r="A14" t="s">
        <v>87</v>
      </c>
      <c r="B14" t="s">
        <v>88</v>
      </c>
      <c r="C14" t="s">
        <v>89</v>
      </c>
      <c r="D14" t="s">
        <v>19</v>
      </c>
      <c r="E14" t="s">
        <v>20</v>
      </c>
      <c r="F14" t="s">
        <v>21</v>
      </c>
      <c r="G14" t="s">
        <v>33</v>
      </c>
      <c r="H14" t="b">
        <v>1</v>
      </c>
      <c r="I14">
        <v>10</v>
      </c>
      <c r="J14">
        <v>69.099999999999994</v>
      </c>
      <c r="K14">
        <v>37</v>
      </c>
      <c r="L14">
        <v>393.87</v>
      </c>
      <c r="M14">
        <v>7.4965277100000005E-2</v>
      </c>
      <c r="N14">
        <v>393.87</v>
      </c>
      <c r="O14">
        <v>7.4965277100000005E-2</v>
      </c>
      <c r="P14" s="1" t="s">
        <v>23</v>
      </c>
    </row>
    <row r="15" spans="1:16" ht="29" x14ac:dyDescent="0.35">
      <c r="A15" t="s">
        <v>90</v>
      </c>
      <c r="B15" t="s">
        <v>88</v>
      </c>
      <c r="C15" t="s">
        <v>89</v>
      </c>
      <c r="D15" t="s">
        <v>19</v>
      </c>
      <c r="E15" t="s">
        <v>20</v>
      </c>
      <c r="F15" t="s">
        <v>21</v>
      </c>
      <c r="G15" t="s">
        <v>22</v>
      </c>
      <c r="H15" t="b">
        <v>1</v>
      </c>
      <c r="I15">
        <v>10</v>
      </c>
      <c r="J15">
        <v>18.8333333333333</v>
      </c>
      <c r="L15">
        <v>11.3</v>
      </c>
      <c r="M15">
        <v>8.11323857046E-4</v>
      </c>
      <c r="N15">
        <v>11.3</v>
      </c>
      <c r="O15">
        <v>8.11323857046E-4</v>
      </c>
      <c r="P15" s="1" t="s">
        <v>23</v>
      </c>
    </row>
    <row r="16" spans="1:16" ht="29" x14ac:dyDescent="0.35">
      <c r="A16" t="s">
        <v>92</v>
      </c>
      <c r="B16" t="s">
        <v>88</v>
      </c>
      <c r="C16" t="s">
        <v>93</v>
      </c>
      <c r="D16" t="s">
        <v>19</v>
      </c>
      <c r="E16" t="s">
        <v>20</v>
      </c>
      <c r="F16" t="s">
        <v>94</v>
      </c>
      <c r="G16" t="s">
        <v>33</v>
      </c>
      <c r="H16" t="b">
        <v>1</v>
      </c>
      <c r="I16">
        <v>10</v>
      </c>
      <c r="J16">
        <v>54.3</v>
      </c>
      <c r="K16">
        <v>27</v>
      </c>
      <c r="L16">
        <v>8017.6702708333296</v>
      </c>
      <c r="M16">
        <v>1.5260031826477101</v>
      </c>
      <c r="N16">
        <v>8017.6702708333296</v>
      </c>
      <c r="O16">
        <v>1.5260031826477101</v>
      </c>
      <c r="P16" s="1" t="s">
        <v>23</v>
      </c>
    </row>
    <row r="17" spans="1:16" ht="29" x14ac:dyDescent="0.35">
      <c r="A17" t="s">
        <v>96</v>
      </c>
      <c r="B17" t="s">
        <v>88</v>
      </c>
      <c r="C17" t="s">
        <v>97</v>
      </c>
      <c r="D17" t="s">
        <v>19</v>
      </c>
      <c r="E17" t="s">
        <v>20</v>
      </c>
      <c r="F17" t="s">
        <v>94</v>
      </c>
      <c r="G17" t="s">
        <v>33</v>
      </c>
      <c r="H17" t="b">
        <v>1</v>
      </c>
      <c r="I17">
        <v>10</v>
      </c>
      <c r="J17">
        <v>45.25</v>
      </c>
      <c r="K17">
        <v>48</v>
      </c>
      <c r="L17">
        <v>9666.69465277778</v>
      </c>
      <c r="M17">
        <v>1.8398619932631901</v>
      </c>
      <c r="N17">
        <v>9666.69465277778</v>
      </c>
      <c r="O17">
        <v>1.8398619932631901</v>
      </c>
      <c r="P17" s="1" t="s">
        <v>23</v>
      </c>
    </row>
    <row r="18" spans="1:16" ht="29" x14ac:dyDescent="0.35">
      <c r="A18" t="s">
        <v>98</v>
      </c>
      <c r="B18" t="s">
        <v>88</v>
      </c>
      <c r="C18" t="s">
        <v>97</v>
      </c>
      <c r="D18" t="s">
        <v>19</v>
      </c>
      <c r="E18" t="s">
        <v>20</v>
      </c>
      <c r="F18" t="s">
        <v>94</v>
      </c>
      <c r="G18" t="s">
        <v>22</v>
      </c>
      <c r="H18" t="b">
        <v>1</v>
      </c>
      <c r="I18">
        <v>10</v>
      </c>
      <c r="J18">
        <v>15</v>
      </c>
      <c r="L18">
        <v>94.247916666666697</v>
      </c>
      <c r="M18">
        <v>6.76686577597787E-3</v>
      </c>
      <c r="N18">
        <v>94.247916666666598</v>
      </c>
      <c r="O18">
        <v>6.76686577597787E-3</v>
      </c>
      <c r="P18" s="1" t="s">
        <v>23</v>
      </c>
    </row>
    <row r="19" spans="1:16" ht="29" x14ac:dyDescent="0.35">
      <c r="A19" t="s">
        <v>102</v>
      </c>
      <c r="B19" t="s">
        <v>88</v>
      </c>
      <c r="C19" t="s">
        <v>103</v>
      </c>
      <c r="D19" t="s">
        <v>19</v>
      </c>
      <c r="E19" t="s">
        <v>20</v>
      </c>
      <c r="F19" t="s">
        <v>21</v>
      </c>
      <c r="G19" t="s">
        <v>33</v>
      </c>
      <c r="H19" t="b">
        <v>1</v>
      </c>
      <c r="I19">
        <v>10</v>
      </c>
      <c r="J19">
        <v>50.8</v>
      </c>
      <c r="K19">
        <v>110</v>
      </c>
      <c r="L19">
        <v>660.4</v>
      </c>
      <c r="M19">
        <v>0.12569393200000001</v>
      </c>
      <c r="N19">
        <v>660.4</v>
      </c>
      <c r="O19">
        <v>0.12569393200000001</v>
      </c>
      <c r="P19" s="1" t="s">
        <v>23</v>
      </c>
    </row>
    <row r="20" spans="1:16" ht="29" x14ac:dyDescent="0.35">
      <c r="A20" t="s">
        <v>105</v>
      </c>
      <c r="B20" t="s">
        <v>88</v>
      </c>
      <c r="C20" t="s">
        <v>103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29.5</v>
      </c>
      <c r="L20">
        <v>11.8</v>
      </c>
      <c r="M20">
        <v>8.4722314275599998E-4</v>
      </c>
      <c r="N20">
        <v>11.8</v>
      </c>
      <c r="O20">
        <v>8.4722314275599998E-4</v>
      </c>
      <c r="P20" s="1" t="s">
        <v>23</v>
      </c>
    </row>
    <row r="21" spans="1:16" ht="29" x14ac:dyDescent="0.35">
      <c r="A21" t="s">
        <v>120</v>
      </c>
      <c r="B21" t="s">
        <v>17</v>
      </c>
      <c r="C21" t="s">
        <v>18</v>
      </c>
      <c r="D21" t="s">
        <v>118</v>
      </c>
      <c r="E21" t="s">
        <v>20</v>
      </c>
      <c r="F21" t="s">
        <v>21</v>
      </c>
      <c r="G21" t="s">
        <v>22</v>
      </c>
      <c r="H21" t="b">
        <v>1</v>
      </c>
      <c r="I21">
        <v>10</v>
      </c>
      <c r="J21">
        <v>36</v>
      </c>
      <c r="L21">
        <v>39.6</v>
      </c>
      <c r="M21">
        <v>2.843223428232E-3</v>
      </c>
      <c r="N21">
        <v>39.6</v>
      </c>
      <c r="O21">
        <v>2.843223428232E-3</v>
      </c>
      <c r="P21" s="1" t="s">
        <v>23</v>
      </c>
    </row>
    <row r="22" spans="1:16" ht="29" x14ac:dyDescent="0.35">
      <c r="A22" t="s">
        <v>122</v>
      </c>
      <c r="B22" t="s">
        <v>17</v>
      </c>
      <c r="C22" t="s">
        <v>18</v>
      </c>
      <c r="D22" t="s">
        <v>118</v>
      </c>
      <c r="E22" t="s">
        <v>20</v>
      </c>
      <c r="F22" t="s">
        <v>21</v>
      </c>
      <c r="G22" t="s">
        <v>33</v>
      </c>
      <c r="H22" t="b">
        <v>1</v>
      </c>
      <c r="I22">
        <v>10</v>
      </c>
      <c r="J22">
        <v>58.3333333333333</v>
      </c>
      <c r="L22">
        <v>17.5</v>
      </c>
      <c r="M22">
        <v>3.3307749999999998E-3</v>
      </c>
      <c r="N22">
        <v>17.5</v>
      </c>
      <c r="O22">
        <v>3.3307749999999998E-3</v>
      </c>
      <c r="P22" s="1" t="s">
        <v>23</v>
      </c>
    </row>
    <row r="23" spans="1:16" ht="29" x14ac:dyDescent="0.35">
      <c r="A23" t="s">
        <v>126</v>
      </c>
      <c r="B23" t="s">
        <v>17</v>
      </c>
      <c r="C23" t="s">
        <v>37</v>
      </c>
      <c r="D23" t="s">
        <v>118</v>
      </c>
      <c r="E23" t="s">
        <v>20</v>
      </c>
      <c r="F23" t="s">
        <v>21</v>
      </c>
      <c r="G23" t="s">
        <v>22</v>
      </c>
      <c r="H23" t="b">
        <v>1</v>
      </c>
      <c r="I23">
        <v>10</v>
      </c>
      <c r="J23">
        <v>69.95</v>
      </c>
      <c r="K23">
        <v>80</v>
      </c>
      <c r="L23">
        <v>699.5</v>
      </c>
      <c r="M23">
        <v>5.0223100708290003E-2</v>
      </c>
      <c r="N23">
        <v>699.5</v>
      </c>
      <c r="O23">
        <v>5.0223100708290003E-2</v>
      </c>
      <c r="P23" s="1" t="s">
        <v>23</v>
      </c>
    </row>
    <row r="24" spans="1:16" ht="29" x14ac:dyDescent="0.35">
      <c r="A24" t="s">
        <v>130</v>
      </c>
      <c r="B24" t="s">
        <v>17</v>
      </c>
      <c r="C24" t="s">
        <v>37</v>
      </c>
      <c r="D24" t="s">
        <v>118</v>
      </c>
      <c r="E24" t="s">
        <v>20</v>
      </c>
      <c r="F24" t="s">
        <v>21</v>
      </c>
      <c r="G24" t="s">
        <v>33</v>
      </c>
      <c r="H24" t="b">
        <v>1</v>
      </c>
      <c r="I24">
        <v>10</v>
      </c>
      <c r="J24">
        <v>38.25</v>
      </c>
      <c r="L24">
        <v>30.6</v>
      </c>
      <c r="M24">
        <v>5.8240979999999998E-3</v>
      </c>
      <c r="N24">
        <v>30.6</v>
      </c>
      <c r="O24">
        <v>5.8240979999999998E-3</v>
      </c>
      <c r="P24" s="1" t="s">
        <v>23</v>
      </c>
    </row>
    <row r="25" spans="1:16" ht="29" x14ac:dyDescent="0.35">
      <c r="A25" t="s">
        <v>135</v>
      </c>
      <c r="B25" t="s">
        <v>51</v>
      </c>
      <c r="C25" t="s">
        <v>52</v>
      </c>
      <c r="D25" t="s">
        <v>118</v>
      </c>
      <c r="E25" t="s">
        <v>20</v>
      </c>
      <c r="F25" t="s">
        <v>21</v>
      </c>
      <c r="G25" t="s">
        <v>33</v>
      </c>
      <c r="H25" t="b">
        <v>1</v>
      </c>
      <c r="I25">
        <v>10</v>
      </c>
      <c r="J25">
        <v>43.153846153846203</v>
      </c>
      <c r="L25">
        <v>56.1</v>
      </c>
      <c r="M25">
        <v>1.0677513E-2</v>
      </c>
      <c r="N25">
        <v>56.1</v>
      </c>
      <c r="O25">
        <v>1.0677513E-2</v>
      </c>
      <c r="P25" s="1" t="s">
        <v>23</v>
      </c>
    </row>
    <row r="26" spans="1:16" ht="29" x14ac:dyDescent="0.35">
      <c r="A26" t="s">
        <v>141</v>
      </c>
      <c r="B26" t="s">
        <v>51</v>
      </c>
      <c r="C26" t="s">
        <v>60</v>
      </c>
      <c r="D26" t="s">
        <v>118</v>
      </c>
      <c r="E26" t="s">
        <v>20</v>
      </c>
      <c r="F26" t="s">
        <v>21</v>
      </c>
      <c r="G26" t="s">
        <v>33</v>
      </c>
      <c r="H26" t="b">
        <v>1</v>
      </c>
      <c r="I26">
        <v>10</v>
      </c>
      <c r="J26">
        <v>26.5</v>
      </c>
      <c r="L26">
        <v>10.6</v>
      </c>
      <c r="M26">
        <v>2.0174979999999999E-3</v>
      </c>
      <c r="N26">
        <v>10.6</v>
      </c>
      <c r="O26">
        <v>2.0174979999999999E-3</v>
      </c>
      <c r="P26" s="1" t="s">
        <v>23</v>
      </c>
    </row>
    <row r="27" spans="1:16" ht="29" x14ac:dyDescent="0.35">
      <c r="A27" t="s">
        <v>147</v>
      </c>
      <c r="B27" t="s">
        <v>51</v>
      </c>
      <c r="C27" t="s">
        <v>60</v>
      </c>
      <c r="D27" t="s">
        <v>118</v>
      </c>
      <c r="E27" t="s">
        <v>20</v>
      </c>
      <c r="F27" t="s">
        <v>21</v>
      </c>
      <c r="G27" t="s">
        <v>22</v>
      </c>
      <c r="H27" t="b">
        <v>1</v>
      </c>
      <c r="I27">
        <v>10</v>
      </c>
      <c r="J27">
        <v>15.5</v>
      </c>
      <c r="L27">
        <v>3.1</v>
      </c>
      <c r="M27">
        <v>2.2257557140199999E-4</v>
      </c>
      <c r="N27">
        <v>3.1</v>
      </c>
      <c r="O27">
        <v>2.2257557140199999E-4</v>
      </c>
      <c r="P27" s="1" t="s">
        <v>23</v>
      </c>
    </row>
    <row r="28" spans="1:16" ht="29" x14ac:dyDescent="0.35">
      <c r="A28" t="s">
        <v>149</v>
      </c>
      <c r="B28" t="s">
        <v>51</v>
      </c>
      <c r="C28" t="s">
        <v>71</v>
      </c>
      <c r="D28" t="s">
        <v>118</v>
      </c>
      <c r="E28" t="s">
        <v>20</v>
      </c>
      <c r="F28" t="s">
        <v>94</v>
      </c>
      <c r="G28" t="s">
        <v>33</v>
      </c>
      <c r="H28" t="b">
        <v>1</v>
      </c>
      <c r="I28">
        <v>10</v>
      </c>
      <c r="J28">
        <v>40.5555555555556</v>
      </c>
      <c r="L28">
        <v>1146.68298611111</v>
      </c>
      <c r="M28">
        <v>0.218248172746528</v>
      </c>
      <c r="N28">
        <v>1146.68298611111</v>
      </c>
      <c r="O28">
        <v>0.218248172746528</v>
      </c>
      <c r="P28" s="1" t="s">
        <v>23</v>
      </c>
    </row>
    <row r="29" spans="1:16" ht="29" x14ac:dyDescent="0.35">
      <c r="A29" t="s">
        <v>151</v>
      </c>
      <c r="B29" t="s">
        <v>51</v>
      </c>
      <c r="C29" t="s">
        <v>71</v>
      </c>
      <c r="D29" t="s">
        <v>118</v>
      </c>
      <c r="E29" t="s">
        <v>20</v>
      </c>
      <c r="F29" t="s">
        <v>94</v>
      </c>
      <c r="G29" t="s">
        <v>22</v>
      </c>
      <c r="H29" t="b">
        <v>1</v>
      </c>
      <c r="I29">
        <v>10</v>
      </c>
      <c r="J29">
        <v>27</v>
      </c>
      <c r="L29">
        <v>169.64625000000001</v>
      </c>
      <c r="M29">
        <v>1.21803583967602E-2</v>
      </c>
      <c r="N29">
        <v>169.64625000000001</v>
      </c>
      <c r="O29">
        <v>1.21803583967602E-2</v>
      </c>
      <c r="P29" s="1" t="s">
        <v>23</v>
      </c>
    </row>
    <row r="30" spans="1:16" ht="29" x14ac:dyDescent="0.35">
      <c r="A30" t="s">
        <v>154</v>
      </c>
      <c r="B30" t="s">
        <v>51</v>
      </c>
      <c r="C30" t="s">
        <v>76</v>
      </c>
      <c r="D30" t="s">
        <v>118</v>
      </c>
      <c r="E30" t="s">
        <v>20</v>
      </c>
      <c r="F30" t="s">
        <v>21</v>
      </c>
      <c r="G30" t="s">
        <v>33</v>
      </c>
      <c r="H30" t="b">
        <v>1</v>
      </c>
      <c r="I30">
        <v>10</v>
      </c>
      <c r="J30">
        <v>33.700000000000003</v>
      </c>
      <c r="K30">
        <v>17</v>
      </c>
      <c r="L30">
        <v>124.69</v>
      </c>
      <c r="M30">
        <v>2.37322477E-2</v>
      </c>
      <c r="N30">
        <v>124.69</v>
      </c>
      <c r="O30">
        <v>2.37322477E-2</v>
      </c>
      <c r="P30" s="1" t="s">
        <v>23</v>
      </c>
    </row>
    <row r="31" spans="1:16" ht="29" x14ac:dyDescent="0.35">
      <c r="A31" t="s">
        <v>158</v>
      </c>
      <c r="B31" t="s">
        <v>51</v>
      </c>
      <c r="C31" t="s">
        <v>83</v>
      </c>
      <c r="D31" t="s">
        <v>118</v>
      </c>
      <c r="E31" t="s">
        <v>20</v>
      </c>
      <c r="F31" t="s">
        <v>21</v>
      </c>
      <c r="G31" t="s">
        <v>33</v>
      </c>
      <c r="H31" t="b">
        <v>1</v>
      </c>
      <c r="I31">
        <v>10</v>
      </c>
      <c r="J31">
        <v>36.049999999999997</v>
      </c>
      <c r="K31">
        <v>53</v>
      </c>
      <c r="L31">
        <v>263.16500000000002</v>
      </c>
      <c r="M31">
        <v>5.0088194449999998E-2</v>
      </c>
      <c r="N31">
        <v>263.16500000000002</v>
      </c>
      <c r="O31">
        <v>5.0088194449999998E-2</v>
      </c>
      <c r="P31" s="1" t="s">
        <v>23</v>
      </c>
    </row>
    <row r="32" spans="1:16" ht="29" x14ac:dyDescent="0.35">
      <c r="A32" t="s">
        <v>166</v>
      </c>
      <c r="B32" t="s">
        <v>88</v>
      </c>
      <c r="C32" t="s">
        <v>89</v>
      </c>
      <c r="D32" t="s">
        <v>118</v>
      </c>
      <c r="E32" t="s">
        <v>20</v>
      </c>
      <c r="F32" t="s">
        <v>94</v>
      </c>
      <c r="G32" t="s">
        <v>33</v>
      </c>
      <c r="H32" t="b">
        <v>1</v>
      </c>
      <c r="I32">
        <v>10</v>
      </c>
      <c r="J32">
        <v>45.153846153846203</v>
      </c>
      <c r="L32">
        <v>1844.1175694444401</v>
      </c>
      <c r="M32">
        <v>0.35099089699236002</v>
      </c>
      <c r="N32">
        <v>1844.1175694444401</v>
      </c>
      <c r="O32">
        <v>0.35099089699236002</v>
      </c>
      <c r="P32" s="1" t="s">
        <v>23</v>
      </c>
    </row>
    <row r="33" spans="1:16" ht="29" x14ac:dyDescent="0.35">
      <c r="A33" t="s">
        <v>167</v>
      </c>
      <c r="B33" t="s">
        <v>88</v>
      </c>
      <c r="C33" t="s">
        <v>89</v>
      </c>
      <c r="D33" t="s">
        <v>118</v>
      </c>
      <c r="E33" t="s">
        <v>20</v>
      </c>
      <c r="F33" t="s">
        <v>94</v>
      </c>
      <c r="G33" t="s">
        <v>22</v>
      </c>
      <c r="H33" t="b">
        <v>1</v>
      </c>
      <c r="I33">
        <v>10</v>
      </c>
      <c r="J33">
        <v>700</v>
      </c>
      <c r="L33">
        <v>2199.1180555555602</v>
      </c>
      <c r="M33">
        <v>0.15789353477281701</v>
      </c>
      <c r="N33">
        <v>2199.1180555555602</v>
      </c>
      <c r="O33">
        <v>0.15789353477281701</v>
      </c>
      <c r="P33" s="1" t="s">
        <v>23</v>
      </c>
    </row>
    <row r="34" spans="1:16" ht="29" x14ac:dyDescent="0.35">
      <c r="A34" t="s">
        <v>170</v>
      </c>
      <c r="B34" t="s">
        <v>88</v>
      </c>
      <c r="C34" t="s">
        <v>93</v>
      </c>
      <c r="D34" t="s">
        <v>118</v>
      </c>
      <c r="E34" t="s">
        <v>20</v>
      </c>
      <c r="F34" t="s">
        <v>94</v>
      </c>
      <c r="G34" t="s">
        <v>33</v>
      </c>
      <c r="H34" t="b">
        <v>1</v>
      </c>
      <c r="I34">
        <v>10</v>
      </c>
      <c r="J34">
        <v>38.8125</v>
      </c>
      <c r="L34">
        <v>1950.931875</v>
      </c>
      <c r="M34">
        <v>0.37132086376875001</v>
      </c>
      <c r="N34">
        <v>1950.931875</v>
      </c>
      <c r="O34">
        <v>0.37132086376875001</v>
      </c>
      <c r="P34" s="1" t="s">
        <v>23</v>
      </c>
    </row>
    <row r="35" spans="1:16" ht="29" x14ac:dyDescent="0.35">
      <c r="A35" t="s">
        <v>176</v>
      </c>
      <c r="B35" t="s">
        <v>88</v>
      </c>
      <c r="C35" t="s">
        <v>97</v>
      </c>
      <c r="D35" t="s">
        <v>118</v>
      </c>
      <c r="E35" t="s">
        <v>20</v>
      </c>
      <c r="F35" t="s">
        <v>94</v>
      </c>
      <c r="G35" t="s">
        <v>33</v>
      </c>
      <c r="H35" t="b">
        <v>1</v>
      </c>
      <c r="I35">
        <v>10</v>
      </c>
      <c r="J35">
        <v>37.764705882352899</v>
      </c>
      <c r="L35">
        <v>2016.9054166666699</v>
      </c>
      <c r="M35">
        <v>0.38387760795416698</v>
      </c>
      <c r="N35">
        <v>2016.9054166666699</v>
      </c>
      <c r="O35">
        <v>0.38387760795416698</v>
      </c>
      <c r="P35" s="1" t="s">
        <v>23</v>
      </c>
    </row>
    <row r="36" spans="1:16" ht="29" x14ac:dyDescent="0.35">
      <c r="A36" t="s">
        <v>177</v>
      </c>
      <c r="B36" t="s">
        <v>88</v>
      </c>
      <c r="C36" t="s">
        <v>97</v>
      </c>
      <c r="D36" t="s">
        <v>118</v>
      </c>
      <c r="E36" t="s">
        <v>20</v>
      </c>
      <c r="F36" t="s">
        <v>94</v>
      </c>
      <c r="G36" t="s">
        <v>22</v>
      </c>
      <c r="H36" t="b">
        <v>1</v>
      </c>
      <c r="I36">
        <v>10</v>
      </c>
      <c r="J36">
        <v>78</v>
      </c>
      <c r="L36">
        <v>245.04458333333301</v>
      </c>
      <c r="M36">
        <v>1.7593851017542499E-2</v>
      </c>
      <c r="N36">
        <v>245.04458333333301</v>
      </c>
      <c r="O36">
        <v>1.7593851017542499E-2</v>
      </c>
      <c r="P36" s="1" t="s">
        <v>23</v>
      </c>
    </row>
    <row r="37" spans="1:16" ht="29" x14ac:dyDescent="0.35">
      <c r="A37" t="s">
        <v>180</v>
      </c>
      <c r="B37" t="s">
        <v>88</v>
      </c>
      <c r="C37" t="s">
        <v>103</v>
      </c>
      <c r="D37" t="s">
        <v>118</v>
      </c>
      <c r="E37" t="s">
        <v>20</v>
      </c>
      <c r="F37" t="s">
        <v>94</v>
      </c>
      <c r="G37" t="s">
        <v>33</v>
      </c>
      <c r="H37" t="b">
        <v>1</v>
      </c>
      <c r="I37">
        <v>10</v>
      </c>
      <c r="J37">
        <v>51.3888888888889</v>
      </c>
      <c r="L37">
        <v>2905.9774305555602</v>
      </c>
      <c r="M37">
        <v>0.55309468435763998</v>
      </c>
      <c r="N37">
        <v>2905.9774305555602</v>
      </c>
      <c r="O37">
        <v>0.55309468435763998</v>
      </c>
      <c r="P37" s="1" t="s">
        <v>23</v>
      </c>
    </row>
    <row r="38" spans="1:16" ht="29" x14ac:dyDescent="0.35">
      <c r="A38" t="s">
        <v>181</v>
      </c>
      <c r="B38" t="s">
        <v>88</v>
      </c>
      <c r="C38" t="s">
        <v>103</v>
      </c>
      <c r="D38" t="s">
        <v>118</v>
      </c>
      <c r="E38" t="s">
        <v>20</v>
      </c>
      <c r="F38" t="s">
        <v>94</v>
      </c>
      <c r="G38" t="s">
        <v>22</v>
      </c>
      <c r="H38" t="b">
        <v>1</v>
      </c>
      <c r="I38">
        <v>10</v>
      </c>
      <c r="J38">
        <v>26.5</v>
      </c>
      <c r="L38">
        <v>333.00930555555499</v>
      </c>
      <c r="M38">
        <v>2.3909592408455201E-2</v>
      </c>
      <c r="N38">
        <v>333.00930555555601</v>
      </c>
      <c r="O38">
        <v>2.3909592408455201E-2</v>
      </c>
      <c r="P38" s="1" t="s">
        <v>23</v>
      </c>
    </row>
    <row r="39" spans="1:16" ht="29" x14ac:dyDescent="0.35">
      <c r="A39" t="s">
        <v>189</v>
      </c>
      <c r="B39" t="s">
        <v>17</v>
      </c>
      <c r="C39" t="s">
        <v>18</v>
      </c>
      <c r="D39" t="s">
        <v>190</v>
      </c>
      <c r="E39" t="s">
        <v>20</v>
      </c>
      <c r="F39" t="s">
        <v>21</v>
      </c>
      <c r="G39" t="s">
        <v>33</v>
      </c>
      <c r="H39" t="b">
        <v>1</v>
      </c>
      <c r="I39">
        <v>10</v>
      </c>
      <c r="J39">
        <v>69</v>
      </c>
      <c r="L39">
        <v>41.4</v>
      </c>
      <c r="M39">
        <v>7.8796620000000008E-3</v>
      </c>
      <c r="N39">
        <v>41.4</v>
      </c>
      <c r="O39">
        <v>7.8796620000000008E-3</v>
      </c>
      <c r="P39" s="1" t="s">
        <v>23</v>
      </c>
    </row>
    <row r="40" spans="1:16" ht="29" x14ac:dyDescent="0.35">
      <c r="A40" t="s">
        <v>191</v>
      </c>
      <c r="B40" t="s">
        <v>17</v>
      </c>
      <c r="C40" t="s">
        <v>18</v>
      </c>
      <c r="D40" t="s">
        <v>190</v>
      </c>
      <c r="E40" t="s">
        <v>20</v>
      </c>
      <c r="F40" t="s">
        <v>21</v>
      </c>
      <c r="G40" t="s">
        <v>22</v>
      </c>
      <c r="H40" t="b">
        <v>1</v>
      </c>
      <c r="I40">
        <v>10</v>
      </c>
      <c r="J40">
        <v>28.15</v>
      </c>
      <c r="K40">
        <v>17</v>
      </c>
      <c r="L40">
        <v>104.155</v>
      </c>
      <c r="M40">
        <v>7.4781802062501004E-3</v>
      </c>
      <c r="N40">
        <v>104.155</v>
      </c>
      <c r="O40">
        <v>7.4781802062501004E-3</v>
      </c>
      <c r="P40" s="1" t="s">
        <v>23</v>
      </c>
    </row>
    <row r="41" spans="1:16" ht="29" x14ac:dyDescent="0.35">
      <c r="A41" t="s">
        <v>203</v>
      </c>
      <c r="B41" t="s">
        <v>17</v>
      </c>
      <c r="C41" t="s">
        <v>37</v>
      </c>
      <c r="D41" t="s">
        <v>190</v>
      </c>
      <c r="G41" t="s">
        <v>204</v>
      </c>
      <c r="H41" t="b">
        <v>1</v>
      </c>
      <c r="J41">
        <v>0</v>
      </c>
      <c r="L41">
        <v>1700</v>
      </c>
      <c r="M41">
        <v>3.0939999999999999E-2</v>
      </c>
      <c r="N41">
        <v>1700</v>
      </c>
      <c r="O41">
        <v>3.0939999999999999E-2</v>
      </c>
      <c r="P41" s="1" t="s">
        <v>23</v>
      </c>
    </row>
    <row r="42" spans="1:16" ht="29" x14ac:dyDescent="0.35">
      <c r="A42" t="s">
        <v>205</v>
      </c>
      <c r="B42" t="s">
        <v>17</v>
      </c>
      <c r="C42" t="s">
        <v>37</v>
      </c>
      <c r="D42" t="s">
        <v>190</v>
      </c>
      <c r="G42" t="s">
        <v>22</v>
      </c>
      <c r="H42" t="b">
        <v>1</v>
      </c>
      <c r="J42">
        <v>0</v>
      </c>
      <c r="L42">
        <v>95</v>
      </c>
      <c r="M42">
        <v>6.8208642848999997E-3</v>
      </c>
      <c r="N42">
        <v>95</v>
      </c>
      <c r="O42">
        <v>6.8208642848999997E-3</v>
      </c>
      <c r="P42" s="1" t="s">
        <v>23</v>
      </c>
    </row>
    <row r="43" spans="1:16" ht="29" x14ac:dyDescent="0.35">
      <c r="A43" t="s">
        <v>213</v>
      </c>
      <c r="B43" t="s">
        <v>51</v>
      </c>
      <c r="C43" t="s">
        <v>52</v>
      </c>
      <c r="D43" t="s">
        <v>190</v>
      </c>
      <c r="E43" t="s">
        <v>20</v>
      </c>
      <c r="F43" t="s">
        <v>21</v>
      </c>
      <c r="G43" t="s">
        <v>33</v>
      </c>
      <c r="H43" t="b">
        <v>1</v>
      </c>
      <c r="I43">
        <v>10</v>
      </c>
      <c r="J43">
        <v>47.5</v>
      </c>
      <c r="L43">
        <v>19</v>
      </c>
      <c r="M43">
        <v>3.61627E-3</v>
      </c>
      <c r="N43">
        <v>19</v>
      </c>
      <c r="O43">
        <v>3.61627E-3</v>
      </c>
      <c r="P43" s="1" t="s">
        <v>23</v>
      </c>
    </row>
    <row r="44" spans="1:16" ht="29" x14ac:dyDescent="0.35">
      <c r="A44" t="s">
        <v>225</v>
      </c>
      <c r="B44" t="s">
        <v>51</v>
      </c>
      <c r="C44" t="s">
        <v>60</v>
      </c>
      <c r="D44" t="s">
        <v>190</v>
      </c>
      <c r="G44" t="s">
        <v>22</v>
      </c>
      <c r="H44" t="b">
        <v>1</v>
      </c>
      <c r="J44">
        <v>0</v>
      </c>
      <c r="L44">
        <v>16</v>
      </c>
      <c r="M44">
        <v>1.14877714272E-3</v>
      </c>
      <c r="N44">
        <v>16</v>
      </c>
      <c r="O44">
        <v>1.14877714272E-3</v>
      </c>
      <c r="P44" s="1" t="s">
        <v>23</v>
      </c>
    </row>
    <row r="45" spans="1:16" ht="29" x14ac:dyDescent="0.35">
      <c r="A45" t="s">
        <v>226</v>
      </c>
      <c r="B45" t="s">
        <v>51</v>
      </c>
      <c r="C45" t="s">
        <v>60</v>
      </c>
      <c r="D45" t="s">
        <v>190</v>
      </c>
      <c r="G45" t="s">
        <v>33</v>
      </c>
      <c r="H45" t="b">
        <v>1</v>
      </c>
      <c r="J45">
        <v>0</v>
      </c>
      <c r="L45">
        <v>500</v>
      </c>
      <c r="M45">
        <v>9.5165E-2</v>
      </c>
      <c r="N45">
        <v>500</v>
      </c>
      <c r="O45">
        <v>9.5165E-2</v>
      </c>
      <c r="P45" s="1" t="s">
        <v>23</v>
      </c>
    </row>
    <row r="46" spans="1:16" ht="29" x14ac:dyDescent="0.35">
      <c r="A46" t="s">
        <v>233</v>
      </c>
      <c r="B46" t="s">
        <v>51</v>
      </c>
      <c r="C46" t="s">
        <v>71</v>
      </c>
      <c r="D46" t="s">
        <v>190</v>
      </c>
      <c r="E46" t="s">
        <v>20</v>
      </c>
      <c r="F46" t="s">
        <v>94</v>
      </c>
      <c r="G46" t="s">
        <v>33</v>
      </c>
      <c r="H46" t="b">
        <v>1</v>
      </c>
      <c r="I46">
        <v>10</v>
      </c>
      <c r="J46">
        <v>37.15</v>
      </c>
      <c r="K46">
        <v>15</v>
      </c>
      <c r="L46">
        <v>4084.8617881944401</v>
      </c>
      <c r="M46">
        <v>0.77747174414704801</v>
      </c>
      <c r="N46">
        <v>4084.8617881944401</v>
      </c>
      <c r="O46">
        <v>0.77747174414704801</v>
      </c>
      <c r="P46" s="1" t="s">
        <v>23</v>
      </c>
    </row>
    <row r="47" spans="1:16" ht="29" x14ac:dyDescent="0.35">
      <c r="A47" t="s">
        <v>237</v>
      </c>
      <c r="B47" t="s">
        <v>51</v>
      </c>
      <c r="C47" t="s">
        <v>71</v>
      </c>
      <c r="D47" t="s">
        <v>190</v>
      </c>
      <c r="E47" t="s">
        <v>20</v>
      </c>
      <c r="F47" t="s">
        <v>94</v>
      </c>
      <c r="G47" t="s">
        <v>22</v>
      </c>
      <c r="H47" t="b">
        <v>1</v>
      </c>
      <c r="I47">
        <v>10</v>
      </c>
      <c r="J47">
        <v>33</v>
      </c>
      <c r="L47">
        <v>207.34541666666701</v>
      </c>
      <c r="M47">
        <v>1.4887104707151299E-2</v>
      </c>
      <c r="N47">
        <v>207.34541666666701</v>
      </c>
      <c r="O47">
        <v>1.4887104707151299E-2</v>
      </c>
      <c r="P47" s="1" t="s">
        <v>23</v>
      </c>
    </row>
    <row r="48" spans="1:16" ht="29" x14ac:dyDescent="0.35">
      <c r="A48" t="s">
        <v>243</v>
      </c>
      <c r="B48" t="s">
        <v>51</v>
      </c>
      <c r="C48" t="s">
        <v>76</v>
      </c>
      <c r="D48" t="s">
        <v>190</v>
      </c>
      <c r="G48" t="s">
        <v>33</v>
      </c>
      <c r="H48" t="b">
        <v>1</v>
      </c>
      <c r="J48">
        <v>0</v>
      </c>
      <c r="L48">
        <v>190</v>
      </c>
      <c r="M48">
        <v>3.6162699999999999E-2</v>
      </c>
      <c r="N48">
        <v>190</v>
      </c>
      <c r="O48">
        <v>3.6162699999999999E-2</v>
      </c>
      <c r="P48" s="1" t="s">
        <v>23</v>
      </c>
    </row>
    <row r="49" spans="1:16" ht="29" x14ac:dyDescent="0.35">
      <c r="A49" t="s">
        <v>253</v>
      </c>
      <c r="B49" t="s">
        <v>51</v>
      </c>
      <c r="C49" t="s">
        <v>83</v>
      </c>
      <c r="D49" t="s">
        <v>190</v>
      </c>
      <c r="G49" t="s">
        <v>33</v>
      </c>
      <c r="H49" t="b">
        <v>1</v>
      </c>
      <c r="J49">
        <v>0</v>
      </c>
      <c r="L49">
        <v>2000</v>
      </c>
      <c r="M49">
        <v>0.38066</v>
      </c>
      <c r="N49">
        <v>2000</v>
      </c>
      <c r="O49">
        <v>0.38066</v>
      </c>
      <c r="P49" s="1" t="s">
        <v>23</v>
      </c>
    </row>
    <row r="50" spans="1:16" ht="29" x14ac:dyDescent="0.35">
      <c r="A50" t="s">
        <v>259</v>
      </c>
      <c r="B50" t="s">
        <v>88</v>
      </c>
      <c r="C50" t="s">
        <v>89</v>
      </c>
      <c r="D50" t="s">
        <v>190</v>
      </c>
      <c r="E50" t="s">
        <v>20</v>
      </c>
      <c r="F50" t="s">
        <v>21</v>
      </c>
      <c r="G50" t="s">
        <v>33</v>
      </c>
      <c r="H50" t="b">
        <v>1</v>
      </c>
      <c r="I50">
        <v>10</v>
      </c>
      <c r="J50">
        <v>38.25</v>
      </c>
      <c r="K50">
        <v>9</v>
      </c>
      <c r="L50">
        <v>110.925</v>
      </c>
      <c r="M50">
        <v>2.1112355249999999E-2</v>
      </c>
      <c r="N50">
        <v>110.925</v>
      </c>
      <c r="O50">
        <v>2.1112355249999999E-2</v>
      </c>
      <c r="P50" s="1" t="s">
        <v>23</v>
      </c>
    </row>
    <row r="51" spans="1:16" ht="29" x14ac:dyDescent="0.35">
      <c r="A51" t="s">
        <v>260</v>
      </c>
      <c r="B51" t="s">
        <v>88</v>
      </c>
      <c r="C51" t="s">
        <v>89</v>
      </c>
      <c r="D51" t="s">
        <v>190</v>
      </c>
      <c r="E51" t="s">
        <v>20</v>
      </c>
      <c r="F51" t="s">
        <v>21</v>
      </c>
      <c r="G51" t="s">
        <v>22</v>
      </c>
      <c r="H51" t="b">
        <v>1</v>
      </c>
      <c r="I51">
        <v>10</v>
      </c>
      <c r="J51">
        <v>9.3333333333333304</v>
      </c>
      <c r="L51">
        <v>2.8</v>
      </c>
      <c r="M51">
        <v>2.01035999976E-4</v>
      </c>
      <c r="N51">
        <v>2.8</v>
      </c>
      <c r="O51">
        <v>2.01035999976E-4</v>
      </c>
      <c r="P51" s="1" t="s">
        <v>23</v>
      </c>
    </row>
    <row r="52" spans="1:16" ht="29" x14ac:dyDescent="0.35">
      <c r="A52" t="s">
        <v>262</v>
      </c>
      <c r="B52" t="s">
        <v>88</v>
      </c>
      <c r="C52" t="s">
        <v>93</v>
      </c>
      <c r="D52" t="s">
        <v>190</v>
      </c>
      <c r="E52" t="s">
        <v>20</v>
      </c>
      <c r="F52" t="s">
        <v>94</v>
      </c>
      <c r="G52" t="s">
        <v>33</v>
      </c>
      <c r="H52" t="b">
        <v>1</v>
      </c>
      <c r="I52">
        <v>10</v>
      </c>
      <c r="J52">
        <v>36.375</v>
      </c>
      <c r="L52">
        <v>914.20479166666701</v>
      </c>
      <c r="M52">
        <v>0.17400059799791701</v>
      </c>
      <c r="N52">
        <v>914.20479166666598</v>
      </c>
      <c r="O52">
        <v>0.17400059799791701</v>
      </c>
      <c r="P52" s="1" t="s">
        <v>23</v>
      </c>
    </row>
    <row r="53" spans="1:16" ht="29" x14ac:dyDescent="0.35">
      <c r="A53" t="s">
        <v>267</v>
      </c>
      <c r="B53" t="s">
        <v>88</v>
      </c>
      <c r="C53" t="s">
        <v>97</v>
      </c>
      <c r="D53" t="s">
        <v>190</v>
      </c>
      <c r="E53" t="s">
        <v>20</v>
      </c>
      <c r="F53" t="s">
        <v>94</v>
      </c>
      <c r="G53" t="s">
        <v>33</v>
      </c>
      <c r="H53" t="b">
        <v>1</v>
      </c>
      <c r="I53">
        <v>10</v>
      </c>
      <c r="J53">
        <v>40.5</v>
      </c>
      <c r="K53">
        <v>10</v>
      </c>
      <c r="L53">
        <v>3817.0406250000001</v>
      </c>
      <c r="M53">
        <v>0.72649734215624995</v>
      </c>
      <c r="N53">
        <v>3817.0406250000001</v>
      </c>
      <c r="O53">
        <v>0.72649734215624995</v>
      </c>
      <c r="P53" s="1" t="s">
        <v>23</v>
      </c>
    </row>
    <row r="54" spans="1:16" ht="29" x14ac:dyDescent="0.35">
      <c r="A54" t="s">
        <v>270</v>
      </c>
      <c r="B54" t="s">
        <v>88</v>
      </c>
      <c r="C54" t="s">
        <v>103</v>
      </c>
      <c r="D54" t="s">
        <v>190</v>
      </c>
      <c r="E54" t="s">
        <v>20</v>
      </c>
      <c r="F54" t="s">
        <v>21</v>
      </c>
      <c r="G54" t="s">
        <v>33</v>
      </c>
      <c r="H54" t="b">
        <v>1</v>
      </c>
      <c r="I54">
        <v>10</v>
      </c>
      <c r="J54">
        <v>40.700000000000003</v>
      </c>
      <c r="K54">
        <v>130</v>
      </c>
      <c r="L54">
        <v>610.5</v>
      </c>
      <c r="M54">
        <v>0.116196465</v>
      </c>
      <c r="N54">
        <v>610.5</v>
      </c>
      <c r="O54">
        <v>0.116196465</v>
      </c>
      <c r="P54" s="1" t="s">
        <v>23</v>
      </c>
    </row>
    <row r="55" spans="1:16" ht="29" x14ac:dyDescent="0.35">
      <c r="A55" t="s">
        <v>271</v>
      </c>
      <c r="B55" t="s">
        <v>88</v>
      </c>
      <c r="C55" t="s">
        <v>103</v>
      </c>
      <c r="D55" t="s">
        <v>190</v>
      </c>
      <c r="E55" t="s">
        <v>20</v>
      </c>
      <c r="F55" t="s">
        <v>21</v>
      </c>
      <c r="G55" t="s">
        <v>22</v>
      </c>
      <c r="H55" t="b">
        <v>1</v>
      </c>
      <c r="I55">
        <v>10</v>
      </c>
      <c r="J55">
        <v>18.571428571428601</v>
      </c>
      <c r="L55">
        <v>13</v>
      </c>
      <c r="M55">
        <v>9.3338142845999996E-4</v>
      </c>
      <c r="N55">
        <v>13</v>
      </c>
      <c r="O55">
        <v>9.3338142845999996E-4</v>
      </c>
      <c r="P55" s="1" t="s">
        <v>23</v>
      </c>
    </row>
    <row r="56" spans="1:16" ht="29" x14ac:dyDescent="0.35">
      <c r="A56" t="s">
        <v>278</v>
      </c>
      <c r="B56" t="s">
        <v>108</v>
      </c>
      <c r="C56" t="s">
        <v>109</v>
      </c>
      <c r="D56" t="s">
        <v>190</v>
      </c>
      <c r="G56" t="s">
        <v>22</v>
      </c>
      <c r="H56" t="b">
        <v>1</v>
      </c>
      <c r="J56">
        <v>0</v>
      </c>
      <c r="L56">
        <v>54</v>
      </c>
      <c r="M56">
        <v>3.8771228566800001E-3</v>
      </c>
      <c r="N56">
        <v>54</v>
      </c>
      <c r="O56">
        <v>3.8771228566800001E-3</v>
      </c>
      <c r="P56" s="1" t="s">
        <v>23</v>
      </c>
    </row>
    <row r="57" spans="1:16" ht="29" x14ac:dyDescent="0.35">
      <c r="A57" t="s">
        <v>280</v>
      </c>
      <c r="B57" t="s">
        <v>281</v>
      </c>
      <c r="C57" t="s">
        <v>282</v>
      </c>
      <c r="D57" t="s">
        <v>283</v>
      </c>
      <c r="E57" t="s">
        <v>20</v>
      </c>
      <c r="F57" t="s">
        <v>21</v>
      </c>
      <c r="G57" t="s">
        <v>33</v>
      </c>
      <c r="H57" t="b">
        <v>1</v>
      </c>
      <c r="I57">
        <v>10</v>
      </c>
      <c r="J57">
        <v>58.4</v>
      </c>
      <c r="K57">
        <v>69</v>
      </c>
      <c r="L57">
        <v>519.76</v>
      </c>
      <c r="M57">
        <v>9.8925920799999997E-2</v>
      </c>
      <c r="N57">
        <v>519.76</v>
      </c>
      <c r="O57">
        <v>9.8925920799999997E-2</v>
      </c>
      <c r="P57" s="1" t="s">
        <v>23</v>
      </c>
    </row>
    <row r="58" spans="1:16" ht="29" x14ac:dyDescent="0.35">
      <c r="A58" t="s">
        <v>287</v>
      </c>
      <c r="B58" t="s">
        <v>281</v>
      </c>
      <c r="C58" t="s">
        <v>282</v>
      </c>
      <c r="D58" t="s">
        <v>283</v>
      </c>
      <c r="E58" t="s">
        <v>20</v>
      </c>
      <c r="F58" t="s">
        <v>21</v>
      </c>
      <c r="G58" t="s">
        <v>22</v>
      </c>
      <c r="H58" t="b">
        <v>1</v>
      </c>
      <c r="I58">
        <v>10</v>
      </c>
      <c r="J58">
        <v>18</v>
      </c>
      <c r="L58">
        <v>1.8</v>
      </c>
      <c r="M58">
        <v>1.29237428556E-4</v>
      </c>
      <c r="N58">
        <v>1.8</v>
      </c>
      <c r="O58">
        <v>1.29237428556E-4</v>
      </c>
      <c r="P58" s="1" t="s">
        <v>23</v>
      </c>
    </row>
    <row r="59" spans="1:16" ht="29" x14ac:dyDescent="0.35">
      <c r="A59" t="s">
        <v>291</v>
      </c>
      <c r="B59" t="s">
        <v>17</v>
      </c>
      <c r="C59" t="s">
        <v>18</v>
      </c>
      <c r="D59" t="s">
        <v>283</v>
      </c>
      <c r="E59" t="s">
        <v>20</v>
      </c>
      <c r="F59" t="s">
        <v>21</v>
      </c>
      <c r="G59" t="s">
        <v>22</v>
      </c>
      <c r="H59" t="b">
        <v>1</v>
      </c>
      <c r="I59">
        <v>10</v>
      </c>
      <c r="J59">
        <v>41.6</v>
      </c>
      <c r="K59">
        <v>15</v>
      </c>
      <c r="L59">
        <v>145.6</v>
      </c>
      <c r="M59">
        <v>1.0453871998752E-2</v>
      </c>
      <c r="N59">
        <v>145.6</v>
      </c>
      <c r="O59">
        <v>1.0453871998752E-2</v>
      </c>
      <c r="P59" s="1" t="s">
        <v>23</v>
      </c>
    </row>
    <row r="60" spans="1:16" ht="29" x14ac:dyDescent="0.35">
      <c r="A60" t="s">
        <v>292</v>
      </c>
      <c r="B60" t="s">
        <v>17</v>
      </c>
      <c r="C60" t="s">
        <v>18</v>
      </c>
      <c r="D60" t="s">
        <v>283</v>
      </c>
      <c r="E60" t="s">
        <v>20</v>
      </c>
      <c r="F60" t="s">
        <v>21</v>
      </c>
      <c r="G60" t="s">
        <v>33</v>
      </c>
      <c r="H60" t="b">
        <v>1</v>
      </c>
      <c r="I60">
        <v>10</v>
      </c>
      <c r="J60">
        <v>45.894736842105303</v>
      </c>
      <c r="L60">
        <v>87.2</v>
      </c>
      <c r="M60">
        <v>1.6596776000000001E-2</v>
      </c>
      <c r="N60">
        <v>87.2</v>
      </c>
      <c r="O60">
        <v>1.6596776000000001E-2</v>
      </c>
      <c r="P60" s="1" t="s">
        <v>23</v>
      </c>
    </row>
    <row r="61" spans="1:16" ht="29" x14ac:dyDescent="0.35">
      <c r="A61" t="s">
        <v>301</v>
      </c>
      <c r="B61" t="s">
        <v>17</v>
      </c>
      <c r="C61" t="s">
        <v>37</v>
      </c>
      <c r="D61" t="s">
        <v>283</v>
      </c>
      <c r="E61" t="s">
        <v>20</v>
      </c>
      <c r="F61" t="s">
        <v>21</v>
      </c>
      <c r="G61" t="s">
        <v>22</v>
      </c>
      <c r="H61" t="b">
        <v>1</v>
      </c>
      <c r="I61">
        <v>10</v>
      </c>
      <c r="J61">
        <v>48</v>
      </c>
      <c r="L61">
        <v>24</v>
      </c>
      <c r="M61">
        <v>1.72316571408E-3</v>
      </c>
      <c r="N61">
        <v>24</v>
      </c>
      <c r="O61">
        <v>1.72316571408E-3</v>
      </c>
      <c r="P61" s="1" t="s">
        <v>23</v>
      </c>
    </row>
    <row r="62" spans="1:16" ht="29" x14ac:dyDescent="0.35">
      <c r="A62" t="s">
        <v>303</v>
      </c>
      <c r="B62" t="s">
        <v>17</v>
      </c>
      <c r="C62" t="s">
        <v>37</v>
      </c>
      <c r="D62" t="s">
        <v>283</v>
      </c>
      <c r="E62" t="s">
        <v>20</v>
      </c>
      <c r="F62" t="s">
        <v>21</v>
      </c>
      <c r="G62" t="s">
        <v>33</v>
      </c>
      <c r="H62" t="b">
        <v>1</v>
      </c>
      <c r="I62">
        <v>10</v>
      </c>
      <c r="J62">
        <v>152.6</v>
      </c>
      <c r="L62">
        <v>76.3</v>
      </c>
      <c r="M62">
        <v>1.4522179E-2</v>
      </c>
      <c r="N62">
        <v>76.3</v>
      </c>
      <c r="O62">
        <v>1.4522179E-2</v>
      </c>
      <c r="P62" s="1" t="s">
        <v>23</v>
      </c>
    </row>
    <row r="63" spans="1:16" ht="29" x14ac:dyDescent="0.35">
      <c r="A63" t="s">
        <v>308</v>
      </c>
      <c r="B63" t="s">
        <v>51</v>
      </c>
      <c r="C63" t="s">
        <v>52</v>
      </c>
      <c r="D63" t="s">
        <v>283</v>
      </c>
      <c r="E63" t="s">
        <v>20</v>
      </c>
      <c r="F63" t="s">
        <v>309</v>
      </c>
      <c r="G63" t="s">
        <v>33</v>
      </c>
      <c r="H63" t="b">
        <v>1</v>
      </c>
      <c r="I63">
        <v>10</v>
      </c>
      <c r="J63">
        <v>34.25</v>
      </c>
      <c r="L63">
        <v>27.4</v>
      </c>
      <c r="M63">
        <v>5.2150419999999996E-3</v>
      </c>
      <c r="N63">
        <v>27.4</v>
      </c>
      <c r="O63">
        <v>5.2150419999999996E-3</v>
      </c>
      <c r="P63" s="1" t="s">
        <v>23</v>
      </c>
    </row>
    <row r="64" spans="1:16" ht="29" x14ac:dyDescent="0.35">
      <c r="A64" t="s">
        <v>316</v>
      </c>
      <c r="B64" t="s">
        <v>51</v>
      </c>
      <c r="C64" t="s">
        <v>60</v>
      </c>
      <c r="D64" t="s">
        <v>283</v>
      </c>
      <c r="E64" t="s">
        <v>20</v>
      </c>
      <c r="F64" t="s">
        <v>309</v>
      </c>
      <c r="G64" t="s">
        <v>33</v>
      </c>
      <c r="H64" t="b">
        <v>1</v>
      </c>
      <c r="I64">
        <v>10</v>
      </c>
      <c r="J64">
        <v>33.428571428571402</v>
      </c>
      <c r="L64">
        <v>23.4</v>
      </c>
      <c r="M64">
        <v>4.4537220000000002E-3</v>
      </c>
      <c r="N64">
        <v>23.4</v>
      </c>
      <c r="O64">
        <v>4.4537220000000002E-3</v>
      </c>
      <c r="P64" s="1" t="s">
        <v>23</v>
      </c>
    </row>
    <row r="65" spans="1:16" ht="29" x14ac:dyDescent="0.35">
      <c r="A65" t="s">
        <v>321</v>
      </c>
      <c r="B65" t="s">
        <v>51</v>
      </c>
      <c r="C65" t="s">
        <v>71</v>
      </c>
      <c r="D65" t="s">
        <v>283</v>
      </c>
      <c r="E65" t="s">
        <v>20</v>
      </c>
      <c r="F65" t="s">
        <v>21</v>
      </c>
      <c r="G65" t="s">
        <v>33</v>
      </c>
      <c r="H65" t="b">
        <v>1</v>
      </c>
      <c r="I65">
        <v>10</v>
      </c>
      <c r="J65">
        <v>46.65</v>
      </c>
      <c r="K65">
        <v>113</v>
      </c>
      <c r="L65">
        <v>620.44500000000005</v>
      </c>
      <c r="M65">
        <v>0.11808929685</v>
      </c>
      <c r="N65">
        <v>620.44500000000005</v>
      </c>
      <c r="O65">
        <v>0.11808929685</v>
      </c>
      <c r="P65" s="1" t="s">
        <v>23</v>
      </c>
    </row>
    <row r="66" spans="1:16" ht="29" x14ac:dyDescent="0.35">
      <c r="A66" t="s">
        <v>324</v>
      </c>
      <c r="B66" t="s">
        <v>51</v>
      </c>
      <c r="C66" t="s">
        <v>71</v>
      </c>
      <c r="D66" t="s">
        <v>283</v>
      </c>
      <c r="E66" t="s">
        <v>20</v>
      </c>
      <c r="F66" t="s">
        <v>21</v>
      </c>
      <c r="G66" t="s">
        <v>22</v>
      </c>
      <c r="H66" t="b">
        <v>1</v>
      </c>
      <c r="I66">
        <v>10</v>
      </c>
      <c r="J66">
        <v>42</v>
      </c>
      <c r="L66">
        <v>4.2</v>
      </c>
      <c r="M66">
        <v>3.0155399996399998E-4</v>
      </c>
      <c r="N66">
        <v>4.2</v>
      </c>
      <c r="O66">
        <v>3.0155399996399998E-4</v>
      </c>
      <c r="P66" s="1" t="s">
        <v>23</v>
      </c>
    </row>
    <row r="67" spans="1:16" ht="29" x14ac:dyDescent="0.35">
      <c r="A67" t="s">
        <v>332</v>
      </c>
      <c r="B67" t="s">
        <v>51</v>
      </c>
      <c r="C67" t="s">
        <v>76</v>
      </c>
      <c r="D67" t="s">
        <v>283</v>
      </c>
      <c r="E67" t="s">
        <v>20</v>
      </c>
      <c r="F67" t="s">
        <v>21</v>
      </c>
      <c r="G67" t="s">
        <v>33</v>
      </c>
      <c r="H67" t="b">
        <v>1</v>
      </c>
      <c r="I67">
        <v>10</v>
      </c>
      <c r="J67">
        <v>51.8</v>
      </c>
      <c r="L67">
        <v>25.9</v>
      </c>
      <c r="M67">
        <v>4.9295470000000003E-3</v>
      </c>
      <c r="N67">
        <v>25.9</v>
      </c>
      <c r="O67">
        <v>4.9295470000000003E-3</v>
      </c>
      <c r="P67" s="1" t="s">
        <v>23</v>
      </c>
    </row>
    <row r="68" spans="1:16" ht="29" x14ac:dyDescent="0.35">
      <c r="A68" t="s">
        <v>338</v>
      </c>
      <c r="B68" t="s">
        <v>51</v>
      </c>
      <c r="C68" t="s">
        <v>83</v>
      </c>
      <c r="D68" t="s">
        <v>283</v>
      </c>
      <c r="E68" t="s">
        <v>20</v>
      </c>
      <c r="F68" t="s">
        <v>21</v>
      </c>
      <c r="G68" t="s">
        <v>33</v>
      </c>
      <c r="H68" t="b">
        <v>1</v>
      </c>
      <c r="I68">
        <v>10</v>
      </c>
      <c r="J68">
        <v>46.25</v>
      </c>
      <c r="K68">
        <v>10</v>
      </c>
      <c r="L68">
        <v>138.75</v>
      </c>
      <c r="M68">
        <v>2.6408287499999999E-2</v>
      </c>
      <c r="N68">
        <v>138.75</v>
      </c>
      <c r="O68">
        <v>2.6408287499999999E-2</v>
      </c>
      <c r="P68" s="1" t="s">
        <v>23</v>
      </c>
    </row>
    <row r="69" spans="1:16" ht="29" x14ac:dyDescent="0.35">
      <c r="A69" t="s">
        <v>342</v>
      </c>
      <c r="B69" t="s">
        <v>51</v>
      </c>
      <c r="C69" t="s">
        <v>83</v>
      </c>
      <c r="D69" t="s">
        <v>283</v>
      </c>
      <c r="E69" t="s">
        <v>20</v>
      </c>
      <c r="F69" t="s">
        <v>21</v>
      </c>
      <c r="G69" t="s">
        <v>22</v>
      </c>
      <c r="H69" t="b">
        <v>1</v>
      </c>
      <c r="I69">
        <v>10</v>
      </c>
      <c r="J69">
        <v>19.3333333333333</v>
      </c>
      <c r="L69">
        <v>5.8</v>
      </c>
      <c r="M69">
        <v>4.1643171423600003E-4</v>
      </c>
      <c r="N69">
        <v>5.8</v>
      </c>
      <c r="O69">
        <v>4.1643171423600003E-4</v>
      </c>
      <c r="P69" s="1" t="s">
        <v>23</v>
      </c>
    </row>
    <row r="70" spans="1:16" ht="29" x14ac:dyDescent="0.35">
      <c r="A70" t="s">
        <v>346</v>
      </c>
      <c r="B70" t="s">
        <v>88</v>
      </c>
      <c r="C70" t="s">
        <v>89</v>
      </c>
      <c r="D70" t="s">
        <v>283</v>
      </c>
      <c r="E70" t="s">
        <v>20</v>
      </c>
      <c r="F70" t="s">
        <v>21</v>
      </c>
      <c r="G70" t="s">
        <v>33</v>
      </c>
      <c r="H70" t="b">
        <v>1</v>
      </c>
      <c r="I70">
        <v>10</v>
      </c>
      <c r="J70">
        <v>49.2</v>
      </c>
      <c r="K70">
        <v>14</v>
      </c>
      <c r="L70">
        <v>167.28</v>
      </c>
      <c r="M70">
        <v>3.18384024E-2</v>
      </c>
      <c r="N70">
        <v>167.28</v>
      </c>
      <c r="O70">
        <v>3.18384024E-2</v>
      </c>
      <c r="P70" s="1" t="s">
        <v>23</v>
      </c>
    </row>
    <row r="71" spans="1:16" ht="29" x14ac:dyDescent="0.35">
      <c r="A71" t="s">
        <v>348</v>
      </c>
      <c r="B71" t="s">
        <v>88</v>
      </c>
      <c r="C71" t="s">
        <v>93</v>
      </c>
      <c r="D71" t="s">
        <v>283</v>
      </c>
      <c r="E71" t="s">
        <v>20</v>
      </c>
      <c r="F71" t="s">
        <v>94</v>
      </c>
      <c r="G71" t="s">
        <v>33</v>
      </c>
      <c r="H71" t="b">
        <v>1</v>
      </c>
      <c r="I71">
        <v>10</v>
      </c>
      <c r="J71">
        <v>54.7</v>
      </c>
      <c r="K71">
        <v>21</v>
      </c>
      <c r="L71">
        <v>7045.66009027778</v>
      </c>
      <c r="M71">
        <v>1.3410004849825701</v>
      </c>
      <c r="N71">
        <v>7045.66009027778</v>
      </c>
      <c r="O71">
        <v>1.3410004849825701</v>
      </c>
      <c r="P71" s="1" t="s">
        <v>23</v>
      </c>
    </row>
    <row r="72" spans="1:16" ht="29" x14ac:dyDescent="0.35">
      <c r="A72" t="s">
        <v>351</v>
      </c>
      <c r="B72" t="s">
        <v>88</v>
      </c>
      <c r="C72" t="s">
        <v>97</v>
      </c>
      <c r="D72" t="s">
        <v>283</v>
      </c>
      <c r="E72" t="s">
        <v>20</v>
      </c>
      <c r="F72" t="s">
        <v>94</v>
      </c>
      <c r="G72" t="s">
        <v>33</v>
      </c>
      <c r="H72" t="b">
        <v>1</v>
      </c>
      <c r="I72">
        <v>10</v>
      </c>
      <c r="J72">
        <v>41.7</v>
      </c>
      <c r="K72">
        <v>22</v>
      </c>
      <c r="L72">
        <v>5502.1933749999998</v>
      </c>
      <c r="M72">
        <v>1.0472324650637499</v>
      </c>
      <c r="N72">
        <v>5502.1933749999998</v>
      </c>
      <c r="O72">
        <v>1.0472324650637499</v>
      </c>
      <c r="P72" s="1" t="s">
        <v>23</v>
      </c>
    </row>
    <row r="73" spans="1:16" ht="29" x14ac:dyDescent="0.35">
      <c r="A73" t="s">
        <v>352</v>
      </c>
      <c r="B73" t="s">
        <v>88</v>
      </c>
      <c r="C73" t="s">
        <v>97</v>
      </c>
      <c r="D73" t="s">
        <v>283</v>
      </c>
      <c r="E73" t="s">
        <v>20</v>
      </c>
      <c r="F73" t="s">
        <v>94</v>
      </c>
      <c r="G73" t="s">
        <v>22</v>
      </c>
      <c r="H73" t="b">
        <v>1</v>
      </c>
      <c r="I73">
        <v>10</v>
      </c>
      <c r="J73">
        <v>14</v>
      </c>
      <c r="L73">
        <v>131.94708333333301</v>
      </c>
      <c r="M73">
        <v>9.4736120863689998E-3</v>
      </c>
      <c r="N73">
        <v>131.94708333333301</v>
      </c>
      <c r="O73">
        <v>9.4736120863689998E-3</v>
      </c>
      <c r="P73" s="1" t="s">
        <v>23</v>
      </c>
    </row>
    <row r="74" spans="1:16" ht="29" x14ac:dyDescent="0.35">
      <c r="A74" t="s">
        <v>356</v>
      </c>
      <c r="B74" t="s">
        <v>88</v>
      </c>
      <c r="C74" t="s">
        <v>103</v>
      </c>
      <c r="D74" t="s">
        <v>283</v>
      </c>
      <c r="E74" t="s">
        <v>20</v>
      </c>
      <c r="F74" t="s">
        <v>94</v>
      </c>
      <c r="G74" t="s">
        <v>33</v>
      </c>
      <c r="H74" t="b">
        <v>1</v>
      </c>
      <c r="I74">
        <v>10</v>
      </c>
      <c r="J74">
        <v>56.2</v>
      </c>
      <c r="K74">
        <v>19</v>
      </c>
      <c r="L74">
        <v>6885.7527916666704</v>
      </c>
      <c r="M74">
        <v>1.31056532883792</v>
      </c>
      <c r="N74">
        <v>6885.7527916666704</v>
      </c>
      <c r="O74">
        <v>1.31056532883792</v>
      </c>
      <c r="P74" s="1" t="s">
        <v>23</v>
      </c>
    </row>
    <row r="75" spans="1:16" ht="29" x14ac:dyDescent="0.35">
      <c r="A75" t="s">
        <v>358</v>
      </c>
      <c r="B75" t="s">
        <v>88</v>
      </c>
      <c r="C75" t="s">
        <v>103</v>
      </c>
      <c r="D75" t="s">
        <v>283</v>
      </c>
      <c r="E75" t="s">
        <v>20</v>
      </c>
      <c r="F75" t="s">
        <v>94</v>
      </c>
      <c r="G75" t="s">
        <v>22</v>
      </c>
      <c r="H75" t="b">
        <v>1</v>
      </c>
      <c r="I75">
        <v>10</v>
      </c>
      <c r="J75">
        <v>38.25</v>
      </c>
      <c r="L75">
        <v>480.66437500000001</v>
      </c>
      <c r="M75">
        <v>3.45110154574872E-2</v>
      </c>
      <c r="N75">
        <v>480.66437500000001</v>
      </c>
      <c r="O75">
        <v>3.45110154574872E-2</v>
      </c>
      <c r="P75" s="1" t="s">
        <v>23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A5" workbookViewId="0"/>
  </sheetViews>
  <sheetFormatPr defaultRowHeight="14.5" x14ac:dyDescent="0.35"/>
  <cols>
    <col min="1" max="1" width="24" customWidth="1"/>
    <col min="2" max="2" width="32.08984375" customWidth="1"/>
  </cols>
  <sheetData>
    <row r="1" spans="1:10" x14ac:dyDescent="0.35">
      <c r="A1" s="2" t="s">
        <v>363</v>
      </c>
      <c r="B1" s="2" t="s">
        <v>364</v>
      </c>
    </row>
    <row r="2" spans="1:10" x14ac:dyDescent="0.35">
      <c r="A2" s="3" t="s">
        <v>365</v>
      </c>
      <c r="B2" s="3" t="s">
        <v>365</v>
      </c>
    </row>
    <row r="3" spans="1:10" x14ac:dyDescent="0.35">
      <c r="A3" s="4" t="s">
        <v>366</v>
      </c>
      <c r="B3" s="4" t="s">
        <v>367</v>
      </c>
    </row>
    <row r="4" spans="1:10" x14ac:dyDescent="0.35">
      <c r="A4" s="5" t="s">
        <v>368</v>
      </c>
      <c r="B4" s="5" t="s">
        <v>369</v>
      </c>
    </row>
    <row r="8" spans="1:10" x14ac:dyDescent="0.35">
      <c r="C8" s="6" t="s">
        <v>383</v>
      </c>
      <c r="D8" s="6" t="s">
        <v>384</v>
      </c>
    </row>
    <row r="9" spans="1:10" x14ac:dyDescent="0.35">
      <c r="C9" t="s">
        <v>19</v>
      </c>
      <c r="E9" t="s">
        <v>118</v>
      </c>
      <c r="G9" t="s">
        <v>190</v>
      </c>
      <c r="I9" t="s">
        <v>283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3.6848905999460002E-2</v>
      </c>
      <c r="D11">
        <v>3.6820555999459999E-2</v>
      </c>
      <c r="E11">
        <v>0.10166605042823201</v>
      </c>
      <c r="F11">
        <v>0.10166605042823201</v>
      </c>
      <c r="G11">
        <v>4.0853838206250104E-2</v>
      </c>
      <c r="H11">
        <v>4.07791382062501E-2</v>
      </c>
      <c r="I11">
        <v>6.3654797998751997E-2</v>
      </c>
      <c r="J11">
        <v>6.3614747998752011E-2</v>
      </c>
    </row>
    <row r="12" spans="1:10" x14ac:dyDescent="0.35">
      <c r="B12" t="s">
        <v>37</v>
      </c>
      <c r="C12">
        <v>0.10584384128413803</v>
      </c>
      <c r="D12">
        <v>0.10580106128413802</v>
      </c>
      <c r="E12">
        <v>6.2615722708290009E-2</v>
      </c>
      <c r="F12">
        <v>6.1620662708290017E-2</v>
      </c>
      <c r="G12">
        <v>0.10873920428490001</v>
      </c>
      <c r="H12">
        <v>0.10577350428490001</v>
      </c>
      <c r="I12">
        <v>2.1052084714080006E-2</v>
      </c>
      <c r="J12">
        <v>2.1034144714080005E-2</v>
      </c>
    </row>
    <row r="13" spans="1:10" x14ac:dyDescent="0.35">
      <c r="A13" t="s">
        <v>51</v>
      </c>
      <c r="B13" t="s">
        <v>52</v>
      </c>
      <c r="C13">
        <v>1.7233502000000001E-2</v>
      </c>
      <c r="D13">
        <v>1.2771141999999999E-2</v>
      </c>
      <c r="E13">
        <v>0.121004213</v>
      </c>
      <c r="F13">
        <v>0.118484213</v>
      </c>
      <c r="G13">
        <v>7.4796949999999997E-3</v>
      </c>
      <c r="H13">
        <v>4.5202699999999998E-3</v>
      </c>
      <c r="I13">
        <v>6.1671419999999996E-3</v>
      </c>
      <c r="J13">
        <v>6.0960419999999994E-3</v>
      </c>
    </row>
    <row r="14" spans="1:10" x14ac:dyDescent="0.35">
      <c r="B14" t="s">
        <v>60</v>
      </c>
      <c r="C14">
        <v>6.5712794000000005E-2</v>
      </c>
      <c r="D14">
        <v>6.5640513999999997E-2</v>
      </c>
      <c r="E14">
        <v>5.7544603571401995E-2</v>
      </c>
      <c r="F14">
        <v>5.7539083571401993E-2</v>
      </c>
      <c r="G14">
        <v>0.14474725714272002</v>
      </c>
      <c r="H14">
        <v>0.14118125714272001</v>
      </c>
      <c r="I14">
        <v>1.7389602000000001E-2</v>
      </c>
      <c r="J14">
        <v>1.5562121999999998E-2</v>
      </c>
    </row>
    <row r="15" spans="1:10" x14ac:dyDescent="0.35">
      <c r="B15" t="s">
        <v>71</v>
      </c>
      <c r="C15">
        <v>0.20984004691410402</v>
      </c>
      <c r="D15">
        <v>0.20982969691410402</v>
      </c>
      <c r="E15">
        <v>0.43544602426828821</v>
      </c>
      <c r="F15">
        <v>0.43544602426828821</v>
      </c>
      <c r="G15">
        <v>4.2218475166208664</v>
      </c>
      <c r="H15">
        <v>4.2218475166208664</v>
      </c>
      <c r="I15">
        <v>0.217187706849964</v>
      </c>
      <c r="J15">
        <v>0.21619860684996398</v>
      </c>
    </row>
    <row r="16" spans="1:10" x14ac:dyDescent="0.35">
      <c r="B16" t="s">
        <v>76</v>
      </c>
      <c r="C16">
        <v>2.6157582428412002E-2</v>
      </c>
      <c r="D16">
        <v>2.4951582428411997E-2</v>
      </c>
      <c r="E16">
        <v>2.8734347700000003E-2</v>
      </c>
      <c r="F16">
        <v>2.5584347700000003E-2</v>
      </c>
      <c r="G16">
        <v>4.5126940000000004E-2</v>
      </c>
      <c r="H16">
        <v>4.3343939999999997E-2</v>
      </c>
      <c r="I16">
        <v>8.8779032999999993E-2</v>
      </c>
      <c r="J16">
        <v>8.6973182999999996E-2</v>
      </c>
    </row>
    <row r="17" spans="1:10" x14ac:dyDescent="0.35">
      <c r="B17" t="s">
        <v>83</v>
      </c>
      <c r="C17">
        <v>8.6927416242677996E-2</v>
      </c>
      <c r="D17">
        <v>8.6927416242677996E-2</v>
      </c>
      <c r="E17">
        <v>8.0032594449999994E-2</v>
      </c>
      <c r="F17">
        <v>7.9978594449999996E-2</v>
      </c>
      <c r="G17">
        <v>0.43675152999999994</v>
      </c>
      <c r="H17">
        <v>0.42936227999999999</v>
      </c>
      <c r="I17">
        <v>6.3098119214235998E-2</v>
      </c>
      <c r="J17">
        <v>6.2998669214235997E-2</v>
      </c>
    </row>
    <row r="18" spans="1:10" x14ac:dyDescent="0.35">
      <c r="A18" t="s">
        <v>88</v>
      </c>
      <c r="B18" t="s">
        <v>89</v>
      </c>
      <c r="C18">
        <v>7.591700095704601E-2</v>
      </c>
      <c r="D18">
        <v>7.591700095704601E-2</v>
      </c>
      <c r="E18">
        <v>0.55085617065406611</v>
      </c>
      <c r="F18">
        <v>0.55085617065406611</v>
      </c>
      <c r="G18">
        <v>2.1434291249975999E-2</v>
      </c>
      <c r="H18">
        <v>2.1434291249975999E-2</v>
      </c>
      <c r="I18">
        <v>3.3585402399999999E-2</v>
      </c>
      <c r="J18">
        <v>3.3585402399999999E-2</v>
      </c>
    </row>
    <row r="19" spans="1:10" x14ac:dyDescent="0.35">
      <c r="B19" t="s">
        <v>93</v>
      </c>
      <c r="C19">
        <v>1.5333545201477101</v>
      </c>
      <c r="D19">
        <v>1.5333545201477101</v>
      </c>
      <c r="E19">
        <v>0.42834110467986131</v>
      </c>
      <c r="F19">
        <v>0.42654411106875018</v>
      </c>
      <c r="G19">
        <v>0.24165124992569476</v>
      </c>
      <c r="H19">
        <v>0.23867929895347254</v>
      </c>
      <c r="I19">
        <v>1.5338063383770146</v>
      </c>
      <c r="J19">
        <v>1.5338063383770146</v>
      </c>
    </row>
    <row r="20" spans="1:10" x14ac:dyDescent="0.35">
      <c r="B20" t="s">
        <v>97</v>
      </c>
      <c r="C20">
        <v>2.3339942609141682</v>
      </c>
      <c r="D20">
        <v>2.3339942609141682</v>
      </c>
      <c r="E20">
        <v>0.43494203577726509</v>
      </c>
      <c r="F20">
        <v>0.43494203577726509</v>
      </c>
      <c r="G20">
        <v>0.77156355430902768</v>
      </c>
      <c r="H20">
        <v>0.77156355430902768</v>
      </c>
      <c r="I20">
        <v>1.2410367808862302</v>
      </c>
      <c r="J20">
        <v>1.2410367808862302</v>
      </c>
    </row>
    <row r="21" spans="1:10" x14ac:dyDescent="0.35">
      <c r="B21" t="s">
        <v>103</v>
      </c>
      <c r="C21">
        <v>0.12715345514275603</v>
      </c>
      <c r="D21">
        <v>0.12715345514275603</v>
      </c>
      <c r="E21">
        <v>0.59891377579387295</v>
      </c>
      <c r="F21">
        <v>0.59891377579387295</v>
      </c>
      <c r="G21">
        <v>0.11821747842846</v>
      </c>
      <c r="H21">
        <v>0.11821747842846</v>
      </c>
      <c r="I21">
        <v>1.3990929669342962</v>
      </c>
      <c r="J21">
        <v>1.3979871247120739</v>
      </c>
    </row>
    <row r="22" spans="1:10" x14ac:dyDescent="0.35">
      <c r="A22" t="s">
        <v>108</v>
      </c>
      <c r="B22" t="s">
        <v>109</v>
      </c>
      <c r="C22">
        <v>4.6581992000000003E-2</v>
      </c>
      <c r="D22">
        <v>4.6581992000000003E-2</v>
      </c>
      <c r="E22">
        <v>1.5741339999999999E-2</v>
      </c>
      <c r="F22">
        <v>1.5741339999999999E-2</v>
      </c>
      <c r="G22">
        <v>5.1917628566800003E-3</v>
      </c>
      <c r="H22">
        <v>5.1917628566800003E-3</v>
      </c>
      <c r="I22">
        <v>1.16025E-2</v>
      </c>
      <c r="J22">
        <v>1.16025E-2</v>
      </c>
    </row>
    <row r="23" spans="1:10" x14ac:dyDescent="0.35">
      <c r="A23" t="s">
        <v>281</v>
      </c>
      <c r="B23" t="s">
        <v>282</v>
      </c>
      <c r="I23">
        <v>0.121491384228556</v>
      </c>
      <c r="J23">
        <v>0.121464834228556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tabSelected="1" topLeftCell="A5" workbookViewId="0">
      <selection activeCell="G6" sqref="G6"/>
    </sheetView>
  </sheetViews>
  <sheetFormatPr defaultRowHeight="14.5" x14ac:dyDescent="0.35"/>
  <cols>
    <col min="1" max="1" width="24.6328125" customWidth="1"/>
    <col min="2" max="2" width="33.7265625" customWidth="1"/>
    <col min="3" max="3" width="30.453125" customWidth="1"/>
    <col min="4" max="4" width="30.08984375" customWidth="1"/>
    <col min="5" max="5" width="16.26953125" customWidth="1"/>
    <col min="6" max="6" width="17.90625" customWidth="1"/>
  </cols>
  <sheetData>
    <row r="1" spans="1:6" x14ac:dyDescent="0.35">
      <c r="A1" s="2" t="s">
        <v>370</v>
      </c>
      <c r="B1" s="2" t="s">
        <v>371</v>
      </c>
      <c r="C1" s="2" t="s">
        <v>372</v>
      </c>
      <c r="D1" s="2" t="s">
        <v>373</v>
      </c>
    </row>
    <row r="2" spans="1:6" x14ac:dyDescent="0.35">
      <c r="A2" s="3" t="s">
        <v>374</v>
      </c>
      <c r="B2" s="3" t="s">
        <v>374</v>
      </c>
      <c r="C2" s="3" t="s">
        <v>374</v>
      </c>
      <c r="D2" s="3" t="s">
        <v>374</v>
      </c>
    </row>
    <row r="3" spans="1:6" x14ac:dyDescent="0.35">
      <c r="A3" s="4" t="s">
        <v>375</v>
      </c>
      <c r="B3" s="4" t="s">
        <v>376</v>
      </c>
      <c r="C3" s="4" t="s">
        <v>377</v>
      </c>
      <c r="D3" s="4" t="s">
        <v>378</v>
      </c>
    </row>
    <row r="4" spans="1:6" x14ac:dyDescent="0.35">
      <c r="A4" s="5" t="s">
        <v>379</v>
      </c>
      <c r="B4" s="5" t="s">
        <v>380</v>
      </c>
      <c r="C4" s="5" t="s">
        <v>381</v>
      </c>
      <c r="D4" s="5" t="s">
        <v>382</v>
      </c>
    </row>
    <row r="8" spans="1:6" x14ac:dyDescent="0.35">
      <c r="A8" s="6" t="s">
        <v>11</v>
      </c>
      <c r="C8" s="6" t="s">
        <v>383</v>
      </c>
      <c r="D8" s="6" t="s">
        <v>15</v>
      </c>
    </row>
    <row r="9" spans="1:6" x14ac:dyDescent="0.35">
      <c r="C9" t="s">
        <v>19</v>
      </c>
      <c r="D9" t="s">
        <v>118</v>
      </c>
      <c r="E9" t="s">
        <v>190</v>
      </c>
      <c r="F9" t="s">
        <v>283</v>
      </c>
    </row>
    <row r="10" spans="1:6" x14ac:dyDescent="0.35">
      <c r="A10" s="6" t="s">
        <v>1</v>
      </c>
      <c r="B10" s="6" t="s">
        <v>2</v>
      </c>
      <c r="C10" t="s">
        <v>23</v>
      </c>
      <c r="D10" t="s">
        <v>23</v>
      </c>
      <c r="E10" t="s">
        <v>23</v>
      </c>
      <c r="F10" t="s">
        <v>23</v>
      </c>
    </row>
    <row r="11" spans="1:6" x14ac:dyDescent="0.35">
      <c r="A11" t="s">
        <v>17</v>
      </c>
      <c r="B11" t="s">
        <v>18</v>
      </c>
      <c r="C11" s="9">
        <v>89.2</v>
      </c>
      <c r="D11">
        <v>57.1</v>
      </c>
      <c r="E11">
        <v>145.55500000000001</v>
      </c>
      <c r="F11">
        <v>232.8</v>
      </c>
    </row>
    <row r="12" spans="1:6" x14ac:dyDescent="0.35">
      <c r="B12" t="s">
        <v>37</v>
      </c>
      <c r="C12" s="9">
        <v>198.70000000000002</v>
      </c>
      <c r="D12">
        <v>730.1</v>
      </c>
      <c r="E12">
        <v>1795</v>
      </c>
      <c r="F12">
        <v>100.3</v>
      </c>
    </row>
    <row r="13" spans="1:6" x14ac:dyDescent="0.35">
      <c r="A13" t="s">
        <v>51</v>
      </c>
      <c r="B13" t="s">
        <v>52</v>
      </c>
      <c r="C13" s="9">
        <v>57.4</v>
      </c>
      <c r="D13">
        <v>56.1</v>
      </c>
      <c r="E13">
        <v>19</v>
      </c>
      <c r="F13">
        <v>27.4</v>
      </c>
    </row>
    <row r="14" spans="1:6" x14ac:dyDescent="0.35">
      <c r="B14" t="s">
        <v>60</v>
      </c>
      <c r="C14" s="9">
        <v>51.6</v>
      </c>
      <c r="D14">
        <v>13.7</v>
      </c>
      <c r="E14">
        <v>516</v>
      </c>
      <c r="F14">
        <v>23.4</v>
      </c>
    </row>
    <row r="15" spans="1:6" x14ac:dyDescent="0.35">
      <c r="B15" t="s">
        <v>71</v>
      </c>
      <c r="C15" s="9">
        <v>1115.04</v>
      </c>
      <c r="D15">
        <v>1316.32923611111</v>
      </c>
      <c r="E15">
        <v>4292.2072048611071</v>
      </c>
      <c r="F15">
        <v>624.6450000000001</v>
      </c>
    </row>
    <row r="16" spans="1:6" x14ac:dyDescent="0.35">
      <c r="B16" t="s">
        <v>76</v>
      </c>
      <c r="C16" s="9">
        <v>99.5</v>
      </c>
      <c r="D16">
        <v>124.69</v>
      </c>
      <c r="E16">
        <v>190</v>
      </c>
      <c r="F16">
        <v>25.9</v>
      </c>
    </row>
    <row r="17" spans="1:6" x14ac:dyDescent="0.35">
      <c r="B17" t="s">
        <v>83</v>
      </c>
      <c r="C17" s="9">
        <v>380.87</v>
      </c>
      <c r="D17">
        <v>263.16500000000002</v>
      </c>
      <c r="E17">
        <v>2000</v>
      </c>
      <c r="F17">
        <v>144.55000000000001</v>
      </c>
    </row>
    <row r="18" spans="1:6" x14ac:dyDescent="0.35">
      <c r="A18" t="s">
        <v>88</v>
      </c>
      <c r="B18" t="s">
        <v>89</v>
      </c>
      <c r="C18" s="9">
        <v>405.17</v>
      </c>
      <c r="D18">
        <v>4043.2356250000003</v>
      </c>
      <c r="E18">
        <v>113.72499999999999</v>
      </c>
      <c r="F18">
        <v>167.28</v>
      </c>
    </row>
    <row r="19" spans="1:6" x14ac:dyDescent="0.35">
      <c r="B19" t="s">
        <v>93</v>
      </c>
      <c r="C19" s="9">
        <v>8017.6702708333296</v>
      </c>
      <c r="D19">
        <v>1950.931875</v>
      </c>
      <c r="E19">
        <v>914.20479166666701</v>
      </c>
      <c r="F19">
        <v>7045.66009027778</v>
      </c>
    </row>
    <row r="20" spans="1:6" x14ac:dyDescent="0.35">
      <c r="B20" t="s">
        <v>97</v>
      </c>
      <c r="C20" s="9">
        <v>9760.9425694444471</v>
      </c>
      <c r="D20">
        <v>2261.950000000003</v>
      </c>
      <c r="E20">
        <v>3817.0406250000001</v>
      </c>
      <c r="F20">
        <v>5634.1404583333333</v>
      </c>
    </row>
    <row r="21" spans="1:6" x14ac:dyDescent="0.35">
      <c r="B21" t="s">
        <v>103</v>
      </c>
      <c r="C21" s="9">
        <v>672.19999999999993</v>
      </c>
      <c r="D21">
        <v>3238.9867361111151</v>
      </c>
      <c r="E21">
        <v>623.5</v>
      </c>
      <c r="F21">
        <v>7366.4171666666707</v>
      </c>
    </row>
    <row r="22" spans="1:6" x14ac:dyDescent="0.35">
      <c r="A22" t="s">
        <v>108</v>
      </c>
      <c r="B22" t="s">
        <v>109</v>
      </c>
      <c r="E22">
        <v>54</v>
      </c>
    </row>
    <row r="23" spans="1:6" x14ac:dyDescent="0.35">
      <c r="A23" t="s">
        <v>281</v>
      </c>
      <c r="B23" t="s">
        <v>282</v>
      </c>
      <c r="F23">
        <v>521.55999999999995</v>
      </c>
    </row>
    <row r="30" spans="1:6" x14ac:dyDescent="0.35">
      <c r="A30" s="2" t="s">
        <v>363</v>
      </c>
    </row>
    <row r="31" spans="1:6" x14ac:dyDescent="0.35">
      <c r="A31" s="3" t="s">
        <v>365</v>
      </c>
    </row>
    <row r="32" spans="1:6" x14ac:dyDescent="0.35">
      <c r="A32" s="4" t="s">
        <v>366</v>
      </c>
    </row>
    <row r="33" spans="1:6" x14ac:dyDescent="0.35">
      <c r="A33" s="5" t="s">
        <v>368</v>
      </c>
    </row>
    <row r="37" spans="1:6" x14ac:dyDescent="0.35">
      <c r="A37" s="6" t="s">
        <v>12</v>
      </c>
      <c r="C37" s="6" t="s">
        <v>383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118</v>
      </c>
      <c r="E38" t="s">
        <v>190</v>
      </c>
      <c r="F38" t="s">
        <v>283</v>
      </c>
    </row>
    <row r="39" spans="1:6" x14ac:dyDescent="0.35">
      <c r="A39" t="s">
        <v>17</v>
      </c>
      <c r="B39" t="s">
        <v>18</v>
      </c>
      <c r="C39" s="8">
        <v>3.6848905999460002E-2</v>
      </c>
      <c r="D39" s="8">
        <v>0.10166605042823201</v>
      </c>
      <c r="E39" s="8">
        <v>4.0853838206250104E-2</v>
      </c>
      <c r="F39" s="8">
        <v>6.3654797998751997E-2</v>
      </c>
    </row>
    <row r="40" spans="1:6" x14ac:dyDescent="0.35">
      <c r="B40" t="s">
        <v>37</v>
      </c>
      <c r="C40" s="8">
        <v>0.10584384128413803</v>
      </c>
      <c r="D40" s="8">
        <v>6.2615722708290009E-2</v>
      </c>
      <c r="E40" s="8">
        <v>0.10873920428490001</v>
      </c>
      <c r="F40" s="8">
        <v>2.1052084714080006E-2</v>
      </c>
    </row>
    <row r="41" spans="1:6" x14ac:dyDescent="0.35">
      <c r="A41" t="s">
        <v>51</v>
      </c>
      <c r="B41" t="s">
        <v>52</v>
      </c>
      <c r="C41" s="8">
        <v>1.7233502000000001E-2</v>
      </c>
      <c r="D41" s="8">
        <v>0.121004213</v>
      </c>
      <c r="E41" s="8">
        <v>7.4796949999999997E-3</v>
      </c>
      <c r="F41" s="8">
        <v>6.1671419999999996E-3</v>
      </c>
    </row>
    <row r="42" spans="1:6" x14ac:dyDescent="0.35">
      <c r="B42" t="s">
        <v>60</v>
      </c>
      <c r="C42" s="8">
        <v>6.5712794000000005E-2</v>
      </c>
      <c r="D42" s="8">
        <v>5.7544603571401995E-2</v>
      </c>
      <c r="E42" s="8">
        <v>0.14474725714272002</v>
      </c>
      <c r="F42" s="8">
        <v>1.7389602000000001E-2</v>
      </c>
    </row>
    <row r="43" spans="1:6" x14ac:dyDescent="0.35">
      <c r="B43" t="s">
        <v>71</v>
      </c>
      <c r="C43" s="8">
        <v>0.20984004691410402</v>
      </c>
      <c r="D43" s="8">
        <v>0.43544602426828821</v>
      </c>
      <c r="E43" s="7">
        <v>4.2218475166208664</v>
      </c>
      <c r="F43" s="8">
        <v>0.217187706849964</v>
      </c>
    </row>
    <row r="44" spans="1:6" x14ac:dyDescent="0.35">
      <c r="B44" t="s">
        <v>76</v>
      </c>
      <c r="C44" s="8">
        <v>2.6157582428412002E-2</v>
      </c>
      <c r="D44" s="8">
        <v>2.8734347700000003E-2</v>
      </c>
      <c r="E44" s="8">
        <v>4.5126940000000004E-2</v>
      </c>
      <c r="F44" s="8">
        <v>8.8779032999999993E-2</v>
      </c>
    </row>
    <row r="45" spans="1:6" x14ac:dyDescent="0.35">
      <c r="B45" t="s">
        <v>83</v>
      </c>
      <c r="C45" s="8">
        <v>8.6927416242677996E-2</v>
      </c>
      <c r="D45" s="8">
        <v>8.0032594449999994E-2</v>
      </c>
      <c r="E45" s="8">
        <v>0.43675152999999994</v>
      </c>
      <c r="F45" s="8">
        <v>6.3098119214235998E-2</v>
      </c>
    </row>
    <row r="46" spans="1:6" x14ac:dyDescent="0.35">
      <c r="A46" t="s">
        <v>88</v>
      </c>
      <c r="B46" t="s">
        <v>89</v>
      </c>
      <c r="C46" s="8">
        <v>7.591700095704601E-2</v>
      </c>
      <c r="D46" s="7">
        <v>0.55085617065406611</v>
      </c>
      <c r="E46" s="8">
        <v>2.1434291249975999E-2</v>
      </c>
      <c r="F46" s="8">
        <v>3.3585402399999999E-2</v>
      </c>
    </row>
    <row r="47" spans="1:6" x14ac:dyDescent="0.35">
      <c r="B47" t="s">
        <v>93</v>
      </c>
      <c r="C47" s="7">
        <v>1.5333545201477101</v>
      </c>
      <c r="D47" s="8">
        <v>0.42834110467986131</v>
      </c>
      <c r="E47" s="8">
        <v>0.24165124992569476</v>
      </c>
      <c r="F47" s="7">
        <v>1.5338063383770146</v>
      </c>
    </row>
    <row r="48" spans="1:6" x14ac:dyDescent="0.35">
      <c r="B48" t="s">
        <v>97</v>
      </c>
      <c r="C48" s="7">
        <v>2.3339942609141682</v>
      </c>
      <c r="D48" s="8">
        <v>0.43494203577726509</v>
      </c>
      <c r="E48" s="7">
        <v>0.77156355430902768</v>
      </c>
      <c r="F48" s="7">
        <v>1.2410367808862302</v>
      </c>
    </row>
    <row r="49" spans="1:6" x14ac:dyDescent="0.35">
      <c r="B49" t="s">
        <v>103</v>
      </c>
      <c r="C49" s="8">
        <v>0.12715345514275603</v>
      </c>
      <c r="D49" s="7">
        <v>0.59891377579387295</v>
      </c>
      <c r="E49" s="8">
        <v>0.11821747842846</v>
      </c>
      <c r="F49" s="7">
        <v>1.3990929669342962</v>
      </c>
    </row>
    <row r="50" spans="1:6" x14ac:dyDescent="0.35">
      <c r="A50" t="s">
        <v>108</v>
      </c>
      <c r="B50" t="s">
        <v>109</v>
      </c>
      <c r="C50" s="8">
        <v>4.6581992000000003E-2</v>
      </c>
      <c r="D50" s="8">
        <v>1.5741339999999999E-2</v>
      </c>
      <c r="E50" s="8">
        <v>5.1917628566800003E-3</v>
      </c>
      <c r="F50" s="8">
        <v>1.16025E-2</v>
      </c>
    </row>
    <row r="51" spans="1:6" x14ac:dyDescent="0.35">
      <c r="A51" t="s">
        <v>281</v>
      </c>
      <c r="B51" t="s">
        <v>282</v>
      </c>
      <c r="F51">
        <v>0.121491384228556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2026-04-08T23:22:14Z</dcterms:created>
  <dcterms:modified xsi:type="dcterms:W3CDTF">2026-04-08T23:50:07Z</dcterms:modified>
</cp:coreProperties>
</file>