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oprc-my.sharepoint.com/personal/amber_sutherland_boprc_govt_nz/Documents/Desktop/Amber Sutherland 2025-2026/Cyanobacteria weekly results 2025-2026/"/>
    </mc:Choice>
  </mc:AlternateContent>
  <xr:revisionPtr revIDLastSave="0" documentId="8_{78615F48-7BE9-454D-95A2-EF9ED0B8EC86}" xr6:coauthVersionLast="47" xr6:coauthVersionMax="47" xr10:uidLastSave="{00000000-0000-0000-0000-000000000000}"/>
  <bookViews>
    <workbookView xWindow="-38510" yWindow="-110" windowWidth="19420" windowHeight="11500" activeTab="2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8" r:id="rId5"/>
    <pivotCache cacheId="15" r:id="rId6"/>
    <pivotCache cacheId="21" r:id="rId7"/>
  </pivotCaches>
</workbook>
</file>

<file path=xl/sharedStrings.xml><?xml version="1.0" encoding="utf-8"?>
<sst xmlns="http://schemas.openxmlformats.org/spreadsheetml/2006/main" count="618" uniqueCount="146">
  <si>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</si>
  <si>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</si>
  <si>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</si>
  <si>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</si>
  <si>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</si>
  <si>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</si>
  <si>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</si>
  <si>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</si>
  <si>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</si>
  <si>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</si>
  <si>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</si>
  <si>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</si>
  <si>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</si>
  <si>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</si>
  <si>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</si>
  <si>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</si>
  <si>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5772.1</t>
  </si>
  <si>
    <t>Rotoiti</t>
  </si>
  <si>
    <t>Okere Arm</t>
  </si>
  <si>
    <t>15/12/2025</t>
  </si>
  <si>
    <t>20A</t>
  </si>
  <si>
    <t>160</t>
  </si>
  <si>
    <t>Dolichospermum circinale</t>
  </si>
  <si>
    <t>5772.2</t>
  </si>
  <si>
    <t>Merismopedia sp</t>
  </si>
  <si>
    <t>5772.3</t>
  </si>
  <si>
    <t>Dolichospermum planctonicum </t>
  </si>
  <si>
    <t>5772.4</t>
  </si>
  <si>
    <t>Dolichospermum spiroides</t>
  </si>
  <si>
    <t>5772.5</t>
  </si>
  <si>
    <t xml:space="preserve">Limnococcus limneticus
</t>
  </si>
  <si>
    <t>5772.6</t>
  </si>
  <si>
    <t>Pseudanabaena galeata (cylinder)</t>
  </si>
  <si>
    <t>5773.1</t>
  </si>
  <si>
    <t>Okawa Bay</t>
  </si>
  <si>
    <t>Microcystis wesenbergii</t>
  </si>
  <si>
    <t xml:space="preserve">Microcystis spp.
</t>
  </si>
  <si>
    <t>5773.2</t>
  </si>
  <si>
    <t>5773.3</t>
  </si>
  <si>
    <t>Dolichospermum sp</t>
  </si>
  <si>
    <t>5773.4</t>
  </si>
  <si>
    <t>Aphanocapsa sp</t>
  </si>
  <si>
    <t>5773.5</t>
  </si>
  <si>
    <t>5773.6</t>
  </si>
  <si>
    <t>Dolichospermum smithii</t>
  </si>
  <si>
    <t>5773.7</t>
  </si>
  <si>
    <t>5774.1</t>
  </si>
  <si>
    <t>Rotorua</t>
  </si>
  <si>
    <t>Ohau Channel</t>
  </si>
  <si>
    <t>5775.1</t>
  </si>
  <si>
    <t>Holdens Bay</t>
  </si>
  <si>
    <t>5775.2</t>
  </si>
  <si>
    <t>Pseudanabaena limnetica (cylinder)</t>
  </si>
  <si>
    <t>5775.3</t>
  </si>
  <si>
    <t>5775.4</t>
  </si>
  <si>
    <t>5775.5</t>
  </si>
  <si>
    <t>5776.1</t>
  </si>
  <si>
    <t>Kaituna</t>
  </si>
  <si>
    <t>Trout Pool</t>
  </si>
  <si>
    <t>5776.2</t>
  </si>
  <si>
    <t>5776.3</t>
  </si>
  <si>
    <t>5776.4</t>
  </si>
  <si>
    <t>5776.5</t>
  </si>
  <si>
    <t>Coelosphaerium cf natans</t>
  </si>
  <si>
    <t>5776.6</t>
  </si>
  <si>
    <t>5777.1</t>
  </si>
  <si>
    <t>Lake Okaro</t>
  </si>
  <si>
    <t>Boat ramp</t>
  </si>
  <si>
    <t>25</t>
  </si>
  <si>
    <t>5777.2</t>
  </si>
  <si>
    <t>5777.3</t>
  </si>
  <si>
    <t>Woronichinia naegeliana</t>
  </si>
  <si>
    <t>5777.4</t>
  </si>
  <si>
    <t>Dolichospermum lemmermannii</t>
  </si>
  <si>
    <t>5777.5</t>
  </si>
  <si>
    <t>5778.1</t>
  </si>
  <si>
    <t>Te Weta</t>
  </si>
  <si>
    <t>5778.2</t>
  </si>
  <si>
    <t>5778.3</t>
  </si>
  <si>
    <t>Aphanocapsa delicatissima</t>
  </si>
  <si>
    <t>5778.4</t>
  </si>
  <si>
    <t>5778.5</t>
  </si>
  <si>
    <t>5779.1</t>
  </si>
  <si>
    <t>Hamurana</t>
  </si>
  <si>
    <t>5779.2</t>
  </si>
  <si>
    <t>5779.3</t>
  </si>
  <si>
    <t>5779.4</t>
  </si>
  <si>
    <t>5780.1</t>
  </si>
  <si>
    <t>Ngongotaha</t>
  </si>
  <si>
    <t>5780.2</t>
  </si>
  <si>
    <t>5780.3</t>
  </si>
  <si>
    <t>5780.4</t>
  </si>
  <si>
    <t>5780.5</t>
  </si>
  <si>
    <t>5781.1</t>
  </si>
  <si>
    <t>Rotoehu</t>
  </si>
  <si>
    <t>Kennedy Bay</t>
  </si>
  <si>
    <t>Whole Plate</t>
  </si>
  <si>
    <t>5781.2</t>
  </si>
  <si>
    <t>5781.3</t>
  </si>
  <si>
    <t>5781.4</t>
  </si>
  <si>
    <t>Microcystis aeruginosa</t>
  </si>
  <si>
    <t>5781.5</t>
  </si>
  <si>
    <t>Picocyanobacteria</t>
  </si>
  <si>
    <t>5781.6</t>
  </si>
  <si>
    <t>5781.7</t>
  </si>
  <si>
    <t>5781.8</t>
  </si>
  <si>
    <t>Oscillatoria sp</t>
  </si>
  <si>
    <t>5782.1</t>
  </si>
  <si>
    <t>Otaramarae</t>
  </si>
  <si>
    <t>5782.2</t>
  </si>
  <si>
    <t>Microcystis sp</t>
  </si>
  <si>
    <t>5782.3</t>
  </si>
  <si>
    <t>5783.1</t>
  </si>
  <si>
    <t>Hinehopu</t>
  </si>
  <si>
    <t>5783.2</t>
  </si>
  <si>
    <t>Pseudanabaena sp.</t>
  </si>
  <si>
    <t>5784.1</t>
  </si>
  <si>
    <t>Otautu</t>
  </si>
  <si>
    <t>5784.2</t>
  </si>
  <si>
    <t>5784.3</t>
  </si>
  <si>
    <t>5784.4</t>
  </si>
  <si>
    <t>5784.5</t>
  </si>
  <si>
    <t>5784.6</t>
  </si>
  <si>
    <t>Chroococcus dispersus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</si>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</sst>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00"/>
    <numFmt numFmtId="172" formatCode="0.0"/>
  </numFmts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99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2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  <xf numFmtId="0" fontId="0" fillId="6" borderId="0" xfId="0" applyNumberFormat="1" applyFill="1" applyAlignment="1" applyProtection="1"/>
    <xf numFmtId="171" fontId="0" fillId="8" borderId="0" xfId="0" applyNumberFormat="1" applyFill="1" applyAlignment="1" applyProtection="1"/>
    <xf numFmtId="171" fontId="0" fillId="7" borderId="0" xfId="0" applyNumberFormat="1" applyFill="1" applyAlignment="1" applyProtection="1"/>
    <xf numFmtId="171" fontId="0" fillId="6" borderId="0" xfId="0" applyNumberFormat="1" applyFill="1" applyAlignment="1" applyProtection="1"/>
    <xf numFmtId="172" fontId="0" fillId="6" borderId="0" xfId="0" applyNumberFormat="1" applyFill="1" applyAlignment="1" applyProtection="1"/>
  </cellXfs>
  <cellStyles count="1">
    <cellStyle name="Normal" xfId="0" builtinId="0"/>
  </cellStyles>
  <dxfs count="33">
    <dxf>
      <fill>
        <patternFill>
          <bgColor rgb="FFFFC000"/>
        </patternFill>
      </fill>
    </dxf>
    <dxf>
      <numFmt numFmtId="1" formatCode="0"/>
    </dxf>
    <dxf>
      <numFmt numFmtId="172" formatCode="0.0"/>
    </dxf>
    <dxf>
      <fill>
        <patternFill patternType="solid">
          <bgColor rgb="FF99FF33"/>
        </patternFill>
      </fill>
    </dxf>
    <dxf>
      <numFmt numFmtId="1" formatCode="0"/>
    </dxf>
    <dxf>
      <fill>
        <patternFill patternType="solid">
          <bgColor rgb="FF99FF33"/>
        </patternFill>
      </fill>
    </dxf>
    <dxf>
      <numFmt numFmtId="170" formatCode="0.0000"/>
    </dxf>
    <dxf>
      <numFmt numFmtId="171" formatCode="0.000"/>
    </dxf>
    <dxf>
      <numFmt numFmtId="169" formatCode="0.00000"/>
    </dxf>
    <dxf>
      <numFmt numFmtId="168" formatCode="0.000000"/>
    </dxf>
    <dxf>
      <numFmt numFmtId="167" formatCode="0.0000000"/>
    </dxf>
    <dxf>
      <numFmt numFmtId="166" formatCode="0.00000000"/>
    </dxf>
    <dxf>
      <numFmt numFmtId="165" formatCode="0.000000000"/>
    </dxf>
    <dxf>
      <numFmt numFmtId="164" formatCode="0.0000000000"/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9FF33"/>
        </patternFill>
      </fill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08.615120486109" refreshedVersion="8" recordCount="63" xr:uid="{00000000-000A-0000-FFFF-FFFF02000000}">
  <cacheSource type="worksheet">
    <worksheetSource ref="A1:P64" sheet="Lakes Data"/>
  </cacheSource>
  <cacheFields count="16">
    <cacheField name="SampleId" numFmtId="0">
      <sharedItems/>
    </cacheField>
    <cacheField name="Location" numFmtId="0">
      <sharedItems count="5">
        <s v="Rotoiti"/>
        <s v="Rotorua"/>
        <s v="Kaituna"/>
        <s v="Lake Okaro"/>
        <s v="Rotoehu"/>
      </sharedItems>
    </cacheField>
    <cacheField name="Site" numFmtId="0">
      <sharedItems count="13">
        <s v="Okere Arm"/>
        <s v="Okawa Bay"/>
        <s v="Ohau Channel"/>
        <s v="Holdens Bay"/>
        <s v="Trout Pool"/>
        <s v="Boat ramp"/>
        <s v="Te Weta"/>
        <s v="Hamurana"/>
        <s v="Ngongotaha"/>
        <s v="Kennedy Bay"/>
        <s v="Otaramarae"/>
        <s v="Hinehopu"/>
        <s v="Otautu"/>
      </sharedItems>
    </cacheField>
    <cacheField name="SampleDate" numFmtId="0">
      <sharedItems count="1">
        <s v="15/12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6" maxValue="368"/>
    </cacheField>
    <cacheField name="NumberOfColonies" numFmtId="0">
      <sharedItems containsString="0" containsBlank="1" containsNumber="1" containsInteger="1" minValue="5" maxValue="156"/>
    </cacheField>
    <cacheField name="CellsPerMl" numFmtId="0">
      <sharedItems containsSemiMixedTypes="0" containsString="0" containsNumber="1" minValue="0.8" maxValue="49885.547955555601"/>
    </cacheField>
    <cacheField name="TotalBioVolume" numFmtId="0">
      <sharedItems containsSemiMixedTypes="0" containsString="0" containsNumber="1" minValue="0" maxValue="28.716116825136002"/>
    </cacheField>
    <cacheField name="PotentiallyToxicCellMl" numFmtId="0">
      <sharedItems containsSemiMixedTypes="0" containsString="0" containsNumber="1" minValue="0" maxValue="49885.547955555601"/>
    </cacheField>
    <cacheField name="PotentiallyToxicBioVolume" numFmtId="0">
      <sharedItems containsSemiMixedTypes="0" containsString="0" containsNumber="1" minValue="0" maxValue="28.716116825136002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08.615120717594" refreshedVersion="8" recordCount="6" xr:uid="{00000000-000A-0000-FFFF-FFFF01000000}">
  <cacheSource type="worksheet">
    <worksheetSource ref="A1:P7" sheet="Toxin Data"/>
  </cacheSource>
  <cacheFields count="16">
    <cacheField name="SampleId" numFmtId="0">
      <sharedItems/>
    </cacheField>
    <cacheField name="Location" numFmtId="0">
      <sharedItems count="3">
        <s v="Rotoiti"/>
        <s v="Rotorua"/>
        <s v="Rotoehu"/>
      </sharedItems>
    </cacheField>
    <cacheField name="Site" numFmtId="0">
      <sharedItems count="5">
        <s v="Okawa Bay"/>
        <s v="Ngongotaha"/>
        <s v="Kennedy Bay"/>
        <s v="Otaramarae"/>
        <s v="Otautu"/>
      </sharedItems>
    </cacheField>
    <cacheField name="SampleDate" numFmtId="0">
      <sharedItems count="1">
        <s v="15/12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containsInteger="1" minValue="18" maxValue="132"/>
    </cacheField>
    <cacheField name="NumberOfColonies" numFmtId="0">
      <sharedItems containsNonDate="0" containsString="0" containsBlank="1"/>
    </cacheField>
    <cacheField name="CellsPerMl" numFmtId="0">
      <sharedItems containsSemiMixedTypes="0" containsString="0" containsNumber="1" minValue="4.2" maxValue="414.69083333333299"/>
    </cacheField>
    <cacheField name="TotalBioVolume" numFmtId="0">
      <sharedItems containsSemiMixedTypes="0" containsString="0" containsNumber="1" minValue="3.6539999999999999E-4" maxValue="7.8928106308333301E-2"/>
    </cacheField>
    <cacheField name="PotentiallyToxicCellMl" numFmtId="0">
      <sharedItems containsSemiMixedTypes="0" containsString="0" containsNumber="1" minValue="4.2" maxValue="414.69083333333299"/>
    </cacheField>
    <cacheField name="PotentiallyToxicBioVolume" numFmtId="0">
      <sharedItems containsSemiMixedTypes="0" containsString="0" containsNumber="1" minValue="3.6539999999999999E-4" maxValue="7.8928106308333301E-2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08.615120949071" refreshedVersion="8" recordCount="63" xr:uid="{00000000-000A-0000-FFFF-FFFF00000000}">
  <cacheSource type="worksheet">
    <worksheetSource ref="A1:P64" sheet="Lakes Data"/>
  </cacheSource>
  <cacheFields count="16">
    <cacheField name="SampleId" numFmtId="0">
      <sharedItems/>
    </cacheField>
    <cacheField name="Location" numFmtId="0">
      <sharedItems count="5">
        <s v="Rotoiti"/>
        <s v="Rotorua"/>
        <s v="Kaituna"/>
        <s v="Lake Okaro"/>
        <s v="Rotoehu"/>
      </sharedItems>
    </cacheField>
    <cacheField name="Site" numFmtId="0">
      <sharedItems count="13">
        <s v="Okere Arm"/>
        <s v="Okawa Bay"/>
        <s v="Ohau Channel"/>
        <s v="Holdens Bay"/>
        <s v="Trout Pool"/>
        <s v="Boat ramp"/>
        <s v="Te Weta"/>
        <s v="Hamurana"/>
        <s v="Ngongotaha"/>
        <s v="Kennedy Bay"/>
        <s v="Otaramarae"/>
        <s v="Hinehopu"/>
        <s v="Otautu"/>
      </sharedItems>
    </cacheField>
    <cacheField name="SampleDate" numFmtId="0">
      <sharedItems count="1">
        <s v="15/12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6" maxValue="368"/>
    </cacheField>
    <cacheField name="NumberOfColonies" numFmtId="0">
      <sharedItems containsString="0" containsBlank="1" containsNumber="1" containsInteger="1" minValue="5" maxValue="156"/>
    </cacheField>
    <cacheField name="CellsPerMl" numFmtId="0">
      <sharedItems containsSemiMixedTypes="0" containsString="0" containsNumber="1" minValue="0.8" maxValue="49885.547955555601"/>
    </cacheField>
    <cacheField name="TotalBioVolume" numFmtId="0">
      <sharedItems containsSemiMixedTypes="0" containsString="0" containsNumber="1" minValue="0" maxValue="28.716116825136002"/>
    </cacheField>
    <cacheField name="PotentiallyToxicCellMl" numFmtId="0">
      <sharedItems containsSemiMixedTypes="0" containsString="0" containsNumber="1" minValue="0" maxValue="49885.547955555601"/>
    </cacheField>
    <cacheField name="PotentiallyToxicBioVolume" numFmtId="0">
      <sharedItems containsSemiMixedTypes="0" containsString="0" containsNumber="1" minValue="0" maxValue="28.716116825136002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5772.1"/>
    <x v="0"/>
    <x v="0"/>
    <x v="0"/>
    <s v="20A"/>
    <s v="160"/>
    <s v="Dolichospermum circinale"/>
    <b v="1"/>
    <n v="10"/>
    <n v="24.7"/>
    <n v="50"/>
    <n v="5431.8215972222197"/>
    <n v="3.1267737842250001"/>
    <n v="5431.8215972222197"/>
    <n v="3.1267737842250001"/>
    <m/>
  </r>
  <r>
    <s v="5772.2"/>
    <x v="0"/>
    <x v="0"/>
    <x v="0"/>
    <s v="20A"/>
    <s v="160"/>
    <s v="Merismopedia sp"/>
    <b v="0"/>
    <n v="10"/>
    <n v="8"/>
    <m/>
    <n v="25.1327777777778"/>
    <n v="5.5292111111111201E-4"/>
    <n v="0"/>
    <n v="0"/>
    <m/>
  </r>
  <r>
    <s v="5772.3"/>
    <x v="0"/>
    <x v="0"/>
    <x v="0"/>
    <s v="20A"/>
    <s v="160"/>
    <s v="Dolichospermum planctonicum "/>
    <b v="1"/>
    <n v="10"/>
    <n v="32"/>
    <m/>
    <n v="100.531111111111"/>
    <n v="3.7196511111111101E-2"/>
    <n v="100.531111111111"/>
    <n v="3.7196511111111101E-2"/>
    <m/>
  </r>
  <r>
    <s v="5772.4"/>
    <x v="0"/>
    <x v="0"/>
    <x v="0"/>
    <s v="20A"/>
    <s v="160"/>
    <s v="Dolichospermum spiroides"/>
    <b v="1"/>
    <n v="10"/>
    <n v="22"/>
    <m/>
    <n v="207.34541666666701"/>
    <n v="5.3909808333333399E-2"/>
    <n v="207.34541666666701"/>
    <n v="5.3909808333333399E-2"/>
    <m/>
  </r>
  <r>
    <s v="5772.5"/>
    <x v="0"/>
    <x v="0"/>
    <x v="0"/>
    <s v="20A"/>
    <s v="160"/>
    <s v="Limnococcus limneticus_x000a_"/>
    <b v="0"/>
    <n v="10"/>
    <n v="8"/>
    <m/>
    <n v="50.265555555555601"/>
    <n v="2.2619500000000001E-2"/>
    <n v="0"/>
    <n v="0"/>
    <m/>
  </r>
  <r>
    <s v="5772.6"/>
    <x v="0"/>
    <x v="0"/>
    <x v="0"/>
    <s v="20A"/>
    <s v="160"/>
    <s v="Pseudanabaena galeata (cylinder)"/>
    <b v="1"/>
    <n v="10"/>
    <n v="6"/>
    <m/>
    <n v="18.8495833333333"/>
    <n v="1.130975E-3"/>
    <n v="18.8495833333333"/>
    <n v="1.130975E-3"/>
    <m/>
  </r>
  <r>
    <s v="5773.1"/>
    <x v="0"/>
    <x v="1"/>
    <x v="0"/>
    <s v="20A"/>
    <s v="160"/>
    <s v="Microcystis wesenbergii"/>
    <b v="1"/>
    <n v="10"/>
    <n v="24"/>
    <m/>
    <n v="75.398333333333298"/>
    <n v="1.4350564783333301E-2"/>
    <n v="75.398333333333298"/>
    <n v="1.4350564783333301E-2"/>
    <s v="Microcystis spp._x000a_"/>
  </r>
  <r>
    <s v="5773.2"/>
    <x v="0"/>
    <x v="1"/>
    <x v="0"/>
    <s v="20A"/>
    <s v="160"/>
    <s v="Dolichospermum circinale"/>
    <b v="1"/>
    <n v="10"/>
    <n v="29.75"/>
    <m/>
    <n v="373.85006944444399"/>
    <n v="0.215203053975"/>
    <n v="373.85006944444399"/>
    <n v="0.215203053975"/>
    <m/>
  </r>
  <r>
    <s v="5773.3"/>
    <x v="0"/>
    <x v="1"/>
    <x v="0"/>
    <s v="20A"/>
    <s v="160"/>
    <s v="Dolichospermum sp"/>
    <b v="1"/>
    <n v="10"/>
    <n v="16.850000000000001"/>
    <n v="127"/>
    <n v="7781.5792395833296"/>
    <n v="1.4785000555208301"/>
    <n v="7781.5792395833296"/>
    <n v="1.4785000555208301"/>
    <m/>
  </r>
  <r>
    <s v="5773.4"/>
    <x v="0"/>
    <x v="1"/>
    <x v="0"/>
    <s v="20A"/>
    <s v="160"/>
    <s v="Aphanocapsa sp"/>
    <b v="0"/>
    <n v="10"/>
    <n v="16"/>
    <m/>
    <n v="50.265555555555601"/>
    <n v="1.130975E-4"/>
    <n v="0"/>
    <n v="0"/>
    <m/>
  </r>
  <r>
    <s v="5773.5"/>
    <x v="0"/>
    <x v="1"/>
    <x v="0"/>
    <s v="20A"/>
    <s v="160"/>
    <s v="Dolichospermum spiroides"/>
    <b v="1"/>
    <n v="10"/>
    <n v="30"/>
    <m/>
    <n v="471.23958333333297"/>
    <n v="0.122522291666667"/>
    <n v="471.23958333333297"/>
    <n v="0.122522291666667"/>
    <m/>
  </r>
  <r>
    <s v="5773.6"/>
    <x v="0"/>
    <x v="1"/>
    <x v="0"/>
    <s v="20A"/>
    <s v="160"/>
    <s v="Dolichospermum smithii"/>
    <b v="1"/>
    <n v="10"/>
    <n v="7"/>
    <m/>
    <n v="21.991180555555601"/>
    <n v="9.5221811805555803E-3"/>
    <n v="21.991180555555601"/>
    <n v="9.5221811805555803E-3"/>
    <m/>
  </r>
  <r>
    <s v="5773.7"/>
    <x v="0"/>
    <x v="1"/>
    <x v="0"/>
    <s v="20A"/>
    <s v="160"/>
    <s v="Dolichospermum planctonicum "/>
    <b v="1"/>
    <n v="10"/>
    <n v="20"/>
    <m/>
    <n v="125.66388888888901"/>
    <n v="4.6495638888888899E-2"/>
    <n v="125.66388888888901"/>
    <n v="4.6495638888888899E-2"/>
    <m/>
  </r>
  <r>
    <s v="5774.1"/>
    <x v="1"/>
    <x v="2"/>
    <x v="0"/>
    <s v="20A"/>
    <s v="160"/>
    <s v="Dolichospermum circinale"/>
    <b v="1"/>
    <n v="10"/>
    <n v="24.85"/>
    <n v="156"/>
    <n v="13740.0896111111"/>
    <n v="7.9093451837399904"/>
    <n v="13740.0896111111"/>
    <n v="7.9093451837399904"/>
    <m/>
  </r>
  <r>
    <s v="5775.1"/>
    <x v="1"/>
    <x v="3"/>
    <x v="0"/>
    <s v="20A"/>
    <s v="160"/>
    <s v="Dolichospermum circinale"/>
    <b v="1"/>
    <n v="10"/>
    <n v="21.75"/>
    <n v="9"/>
    <n v="1981.56244791667"/>
    <n v="1.1406666075187499"/>
    <n v="1981.56244791667"/>
    <n v="1.1406666075187499"/>
    <m/>
  </r>
  <r>
    <s v="5775.2"/>
    <x v="1"/>
    <x v="3"/>
    <x v="0"/>
    <s v="20A"/>
    <s v="160"/>
    <s v="Pseudanabaena limnetica (cylinder)"/>
    <b v="1"/>
    <n v="10"/>
    <n v="13.6666666666667"/>
    <m/>
    <n v="128.80548611111101"/>
    <n v="1.0175633402777801E-2"/>
    <n v="128.80548611111101"/>
    <n v="1.0175633402777801E-2"/>
    <m/>
  </r>
  <r>
    <s v="5775.3"/>
    <x v="1"/>
    <x v="3"/>
    <x v="0"/>
    <s v="20A"/>
    <s v="160"/>
    <s v="Dolichospermum spiroides"/>
    <b v="1"/>
    <n v="10"/>
    <n v="30.3333333333333"/>
    <m/>
    <n v="285.88534722222198"/>
    <n v="7.4330190277777694E-2"/>
    <n v="285.88534722222198"/>
    <n v="7.4330190277777694E-2"/>
    <m/>
  </r>
  <r>
    <s v="5775.4"/>
    <x v="1"/>
    <x v="3"/>
    <x v="0"/>
    <s v="20A"/>
    <s v="160"/>
    <s v="Pseudanabaena galeata (cylinder)"/>
    <b v="1"/>
    <n v="10"/>
    <n v="6"/>
    <m/>
    <n v="18.8495833333333"/>
    <n v="1.130975E-3"/>
    <n v="18.8495833333333"/>
    <n v="1.130975E-3"/>
    <m/>
  </r>
  <r>
    <s v="5775.5"/>
    <x v="1"/>
    <x v="3"/>
    <x v="0"/>
    <s v="20A"/>
    <s v="160"/>
    <s v="Dolichospermum planctonicum "/>
    <b v="1"/>
    <n v="10"/>
    <n v="32"/>
    <m/>
    <n v="100.531111111111"/>
    <n v="3.7196511111111101E-2"/>
    <n v="100.531111111111"/>
    <n v="3.7196511111111101E-2"/>
    <m/>
  </r>
  <r>
    <s v="5776.1"/>
    <x v="2"/>
    <x v="4"/>
    <x v="0"/>
    <s v="20A"/>
    <s v="160"/>
    <s v="Dolichospermum circinale"/>
    <b v="1"/>
    <n v="10"/>
    <n v="19.588235294117599"/>
    <m/>
    <n v="1046.151875"/>
    <n v="0.60220686532500001"/>
    <n v="1046.151875"/>
    <n v="0.60220686532500001"/>
    <m/>
  </r>
  <r>
    <s v="5776.2"/>
    <x v="2"/>
    <x v="4"/>
    <x v="0"/>
    <s v="20A"/>
    <s v="160"/>
    <s v="Pseudanabaena limnetica (cylinder)"/>
    <b v="1"/>
    <n v="10"/>
    <n v="10"/>
    <m/>
    <n v="31.415972222222202"/>
    <n v="2.4818618055555499E-3"/>
    <n v="31.415972222222202"/>
    <n v="2.4818618055555499E-3"/>
    <m/>
  </r>
  <r>
    <s v="5776.3"/>
    <x v="2"/>
    <x v="4"/>
    <x v="0"/>
    <s v="20A"/>
    <s v="160"/>
    <s v="Dolichospermum spiroides"/>
    <b v="1"/>
    <n v="10"/>
    <n v="26.25"/>
    <m/>
    <n v="329.86770833333298"/>
    <n v="8.5765604166666606E-2"/>
    <n v="329.86770833333298"/>
    <n v="8.5765604166666606E-2"/>
    <m/>
  </r>
  <r>
    <s v="5776.4"/>
    <x v="2"/>
    <x v="4"/>
    <x v="0"/>
    <s v="20A"/>
    <s v="160"/>
    <s v="Dolichospermum sp"/>
    <b v="1"/>
    <n v="10"/>
    <n v="9.6875"/>
    <m/>
    <n v="486.94756944444401"/>
    <n v="9.2520038194444404E-2"/>
    <n v="486.94756944444401"/>
    <n v="9.2520038194444404E-2"/>
    <m/>
  </r>
  <r>
    <s v="5776.5"/>
    <x v="2"/>
    <x v="4"/>
    <x v="0"/>
    <s v="20A"/>
    <s v="160"/>
    <s v="Coelosphaerium cf natans"/>
    <b v="0"/>
    <n v="10"/>
    <n v="22"/>
    <m/>
    <n v="69.115138888888893"/>
    <n v="1.5896481944444401E-4"/>
    <n v="0"/>
    <n v="0"/>
    <m/>
  </r>
  <r>
    <s v="5776.6"/>
    <x v="2"/>
    <x v="4"/>
    <x v="0"/>
    <s v="20A"/>
    <s v="160"/>
    <s v="Limnococcus limneticus_x000a_"/>
    <b v="0"/>
    <n v="10"/>
    <n v="26"/>
    <m/>
    <n v="81.681527777777802"/>
    <n v="3.6756687500000003E-2"/>
    <n v="0"/>
    <n v="0"/>
    <m/>
  </r>
  <r>
    <s v="5777.1"/>
    <x v="3"/>
    <x v="5"/>
    <x v="0"/>
    <s v="20A"/>
    <s v="25"/>
    <s v="Dolichospermum circinale"/>
    <b v="1"/>
    <n v="10"/>
    <n v="28.85"/>
    <n v="66"/>
    <n v="49885.547955555601"/>
    <n v="28.716116825136002"/>
    <n v="49885.547955555601"/>
    <n v="28.716116825136002"/>
    <m/>
  </r>
  <r>
    <s v="5777.2"/>
    <x v="3"/>
    <x v="5"/>
    <x v="0"/>
    <s v="20A"/>
    <s v="25"/>
    <s v="Dolichospermum spiroides"/>
    <b v="1"/>
    <n v="10"/>
    <n v="22"/>
    <m/>
    <n v="1327.01066666667"/>
    <n v="0.34502277333333398"/>
    <n v="1327.01066666667"/>
    <n v="0.34502277333333398"/>
    <m/>
  </r>
  <r>
    <s v="5777.3"/>
    <x v="3"/>
    <x v="5"/>
    <x v="0"/>
    <s v="20A"/>
    <s v="25"/>
    <s v="Woronichinia naegeliana"/>
    <b v="1"/>
    <n v="10"/>
    <n v="368"/>
    <m/>
    <n v="22197.269333333301"/>
    <n v="0"/>
    <n v="22197.269333333301"/>
    <n v="0"/>
    <m/>
  </r>
  <r>
    <s v="5777.4"/>
    <x v="3"/>
    <x v="5"/>
    <x v="0"/>
    <s v="20A"/>
    <s v="25"/>
    <s v="Dolichospermum lemmermannii"/>
    <b v="1"/>
    <n v="10"/>
    <n v="41.1666666666667"/>
    <m/>
    <n v="4966.2368888888896"/>
    <n v="0.54628605777777794"/>
    <n v="4966.2368888888896"/>
    <n v="0.54628605777777794"/>
    <m/>
  </r>
  <r>
    <s v="5777.5"/>
    <x v="3"/>
    <x v="5"/>
    <x v="0"/>
    <s v="20A"/>
    <s v="25"/>
    <s v="Dolichospermum planctonicum "/>
    <b v="1"/>
    <n v="10"/>
    <n v="23"/>
    <m/>
    <n v="924.88622222222205"/>
    <n v="0.34220790222222203"/>
    <n v="924.88622222222205"/>
    <n v="0.34220790222222203"/>
    <m/>
  </r>
  <r>
    <s v="5778.1"/>
    <x v="0"/>
    <x v="6"/>
    <x v="0"/>
    <s v="20A"/>
    <s v="160"/>
    <s v="Dolichospermum sp"/>
    <b v="1"/>
    <n v="10"/>
    <n v="15.95"/>
    <n v="24"/>
    <n v="2204.7729305555599"/>
    <n v="0.418906856805556"/>
    <n v="2204.7729305555599"/>
    <n v="0.418906856805556"/>
    <m/>
  </r>
  <r>
    <s v="5778.2"/>
    <x v="0"/>
    <x v="6"/>
    <x v="0"/>
    <s v="20A"/>
    <s v="160"/>
    <s v="Dolichospermum spiroides"/>
    <b v="1"/>
    <n v="10"/>
    <n v="20"/>
    <m/>
    <n v="62.831944444444403"/>
    <n v="1.63363055555555E-2"/>
    <n v="62.831944444444403"/>
    <n v="1.63363055555555E-2"/>
    <m/>
  </r>
  <r>
    <s v="5778.3"/>
    <x v="0"/>
    <x v="6"/>
    <x v="0"/>
    <s v="20A"/>
    <s v="160"/>
    <s v="Aphanocapsa delicatissima"/>
    <b v="0"/>
    <n v="10"/>
    <n v="44.5"/>
    <m/>
    <n v="279.60215277777797"/>
    <n v="2.7960215277777799E-5"/>
    <n v="0"/>
    <n v="0"/>
    <m/>
  </r>
  <r>
    <s v="5778.4"/>
    <x v="0"/>
    <x v="6"/>
    <x v="0"/>
    <s v="20A"/>
    <s v="160"/>
    <s v="Dolichospermum circinale"/>
    <b v="1"/>
    <n v="10"/>
    <n v="36.5"/>
    <m/>
    <n v="229.336597222222"/>
    <n v="0.13201531882500001"/>
    <n v="229.336597222222"/>
    <n v="0.13201531882500001"/>
    <m/>
  </r>
  <r>
    <s v="5778.5"/>
    <x v="0"/>
    <x v="6"/>
    <x v="0"/>
    <s v="20A"/>
    <s v="160"/>
    <s v="Limnococcus limneticus_x000a_"/>
    <b v="0"/>
    <n v="10"/>
    <n v="40"/>
    <m/>
    <n v="125.66388888888901"/>
    <n v="5.6548750000000099E-2"/>
    <n v="0"/>
    <n v="0"/>
    <m/>
  </r>
  <r>
    <s v="5779.1"/>
    <x v="1"/>
    <x v="7"/>
    <x v="0"/>
    <s v="20A"/>
    <s v="160"/>
    <s v="Dolichospermum circinale"/>
    <b v="1"/>
    <n v="10"/>
    <n v="22.85"/>
    <n v="5"/>
    <n v="1794.6374131944399"/>
    <n v="1.03306508053125"/>
    <n v="1794.6374131944399"/>
    <n v="1.03306508053125"/>
    <m/>
  </r>
  <r>
    <s v="5779.2"/>
    <x v="1"/>
    <x v="7"/>
    <x v="0"/>
    <s v="20A"/>
    <s v="160"/>
    <s v="Dolichospermum spiroides"/>
    <b v="1"/>
    <n v="10"/>
    <n v="29"/>
    <m/>
    <n v="364.42527777777798"/>
    <n v="9.4750572222222301E-2"/>
    <n v="364.42527777777798"/>
    <n v="9.4750572222222301E-2"/>
    <m/>
  </r>
  <r>
    <s v="5779.3"/>
    <x v="1"/>
    <x v="7"/>
    <x v="0"/>
    <s v="20A"/>
    <s v="160"/>
    <s v="Aphanocapsa sp"/>
    <b v="0"/>
    <n v="10"/>
    <n v="16"/>
    <m/>
    <n v="50.265555555555601"/>
    <n v="1.130975E-4"/>
    <n v="0"/>
    <n v="0"/>
    <m/>
  </r>
  <r>
    <s v="5779.4"/>
    <x v="1"/>
    <x v="7"/>
    <x v="0"/>
    <s v="20A"/>
    <s v="160"/>
    <s v="Pseudanabaena galeata (cylinder)"/>
    <b v="1"/>
    <n v="10"/>
    <n v="7"/>
    <m/>
    <n v="21.991180555555601"/>
    <n v="1.3194708333333399E-3"/>
    <n v="21.991180555555601"/>
    <n v="1.3194708333333399E-3"/>
    <m/>
  </r>
  <r>
    <s v="5780.1"/>
    <x v="1"/>
    <x v="8"/>
    <x v="0"/>
    <s v="20A"/>
    <s v="160"/>
    <s v="Dolichospermum circinale"/>
    <b v="1"/>
    <n v="10"/>
    <n v="27.8"/>
    <n v="11"/>
    <n v="2707.42848611111"/>
    <n v="1.5585041337450001"/>
    <n v="2707.42848611111"/>
    <n v="1.5585041337450001"/>
    <m/>
  </r>
  <r>
    <s v="5780.2"/>
    <x v="1"/>
    <x v="8"/>
    <x v="0"/>
    <s v="20A"/>
    <s v="160"/>
    <s v="Pseudanabaena limnetica (cylinder)"/>
    <b v="1"/>
    <n v="10"/>
    <n v="8.9166666666666696"/>
    <m/>
    <n v="336.15090277777801"/>
    <n v="2.6555921319444498E-2"/>
    <n v="336.15090277777801"/>
    <n v="2.6555921319444498E-2"/>
    <m/>
  </r>
  <r>
    <s v="5780.3"/>
    <x v="1"/>
    <x v="8"/>
    <x v="0"/>
    <s v="20A"/>
    <s v="160"/>
    <s v="Dolichospermum spiroides"/>
    <b v="1"/>
    <n v="10"/>
    <n v="38"/>
    <m/>
    <n v="238.761388888889"/>
    <n v="6.20779611111111E-2"/>
    <n v="238.761388888889"/>
    <n v="6.20779611111111E-2"/>
    <m/>
  </r>
  <r>
    <s v="5780.4"/>
    <x v="1"/>
    <x v="8"/>
    <x v="0"/>
    <s v="20A"/>
    <s v="160"/>
    <s v="Dolichospermum planctonicum "/>
    <b v="1"/>
    <n v="10"/>
    <n v="38.3333333333333"/>
    <m/>
    <n v="361.28368055555597"/>
    <n v="0.13367496180555599"/>
    <n v="361.28368055555597"/>
    <n v="0.13367496180555599"/>
    <m/>
  </r>
  <r>
    <s v="5780.5"/>
    <x v="1"/>
    <x v="8"/>
    <x v="0"/>
    <s v="20A"/>
    <s v="160"/>
    <s v="Microcystis wesenbergii"/>
    <b v="1"/>
    <n v="10"/>
    <n v="132"/>
    <m/>
    <n v="414.69083333333299"/>
    <n v="7.8928106308333301E-2"/>
    <n v="414.69083333333299"/>
    <n v="7.8928106308333301E-2"/>
    <s v="Microcystis spp._x000a_"/>
  </r>
  <r>
    <s v="5781.1"/>
    <x v="4"/>
    <x v="9"/>
    <x v="0"/>
    <s v="20A"/>
    <s v="Whole Plate"/>
    <s v="Pseudanabaena limnetica (cylinder)"/>
    <b v="1"/>
    <n v="10"/>
    <n v="12.285714285714301"/>
    <m/>
    <n v="8.6"/>
    <n v="6.7940000000000003E-4"/>
    <n v="8.6"/>
    <n v="6.7940000000000003E-4"/>
    <m/>
  </r>
  <r>
    <s v="5781.2"/>
    <x v="4"/>
    <x v="9"/>
    <x v="0"/>
    <s v="20A"/>
    <s v="Whole Plate"/>
    <s v="Dolichospermum sp"/>
    <b v="1"/>
    <n v="10"/>
    <n v="12.55"/>
    <n v="14"/>
    <n v="42.67"/>
    <n v="8.1072999999999996E-3"/>
    <n v="42.67"/>
    <n v="8.1072999999999996E-3"/>
    <m/>
  </r>
  <r>
    <s v="5781.3"/>
    <x v="4"/>
    <x v="9"/>
    <x v="0"/>
    <s v="20A"/>
    <s v="Whole Plate"/>
    <s v="Aphanocapsa sp"/>
    <b v="0"/>
    <n v="10"/>
    <n v="18"/>
    <m/>
    <n v="1.8"/>
    <n v="4.0500000000000002E-6"/>
    <n v="0"/>
    <n v="0"/>
    <m/>
  </r>
  <r>
    <s v="5781.4"/>
    <x v="4"/>
    <x v="9"/>
    <x v="0"/>
    <s v="20A"/>
    <s v="Whole Plate"/>
    <s v="Microcystis aeruginosa"/>
    <b v="1"/>
    <n v="10"/>
    <n v="21"/>
    <m/>
    <n v="4.2"/>
    <n v="3.6539999999999999E-4"/>
    <n v="4.2"/>
    <n v="3.6539999999999999E-4"/>
    <s v="Microcystis spp._x000a_"/>
  </r>
  <r>
    <s v="5781.5"/>
    <x v="4"/>
    <x v="9"/>
    <x v="0"/>
    <s v="20A"/>
    <s v="Whole Plate"/>
    <s v="Picocyanobacteria"/>
    <b v="1"/>
    <n v="10"/>
    <n v="27.5"/>
    <m/>
    <n v="5.5"/>
    <n v="2.8600000000000001E-6"/>
    <n v="5.5"/>
    <n v="2.8600000000000001E-6"/>
    <m/>
  </r>
  <r>
    <s v="5781.6"/>
    <x v="4"/>
    <x v="9"/>
    <x v="0"/>
    <s v="20A"/>
    <s v="Whole Plate"/>
    <s v="Dolichospermum planctonicum "/>
    <b v="1"/>
    <n v="10"/>
    <n v="17"/>
    <m/>
    <n v="3.4"/>
    <n v="1.258E-3"/>
    <n v="3.4"/>
    <n v="1.258E-3"/>
    <m/>
  </r>
  <r>
    <s v="5781.7"/>
    <x v="4"/>
    <x v="9"/>
    <x v="0"/>
    <s v="20A"/>
    <s v="Whole Plate"/>
    <s v="Limnococcus limneticus_x000a_"/>
    <b v="0"/>
    <n v="10"/>
    <n v="12"/>
    <m/>
    <n v="1.2"/>
    <n v="5.4000000000000001E-4"/>
    <n v="0"/>
    <n v="0"/>
    <m/>
  </r>
  <r>
    <s v="5781.8"/>
    <x v="4"/>
    <x v="9"/>
    <x v="0"/>
    <s v="20A"/>
    <s v="Whole Plate"/>
    <s v="Oscillatoria sp"/>
    <b v="1"/>
    <n v="10"/>
    <n v="23"/>
    <m/>
    <n v="4.5999999999999996"/>
    <n v="1.2440700000000001E-2"/>
    <n v="4.5999999999999996"/>
    <n v="1.2440700000000001E-2"/>
    <m/>
  </r>
  <r>
    <s v="5782.1"/>
    <x v="0"/>
    <x v="10"/>
    <x v="0"/>
    <s v="20A"/>
    <s v="160"/>
    <s v="Dolichospermum circinale"/>
    <b v="1"/>
    <n v="10"/>
    <n v="20.6666666666667"/>
    <m/>
    <n v="194.779027777778"/>
    <n v="0.11212259954999999"/>
    <n v="194.779027777778"/>
    <n v="0.11212259954999999"/>
    <m/>
  </r>
  <r>
    <s v="5782.2"/>
    <x v="0"/>
    <x v="10"/>
    <x v="0"/>
    <s v="20A"/>
    <s v="160"/>
    <s v="Microcystis sp"/>
    <b v="1"/>
    <n v="10"/>
    <n v="18"/>
    <m/>
    <n v="56.548749999999998"/>
    <n v="4.0601194655867203E-3"/>
    <n v="56.548749999999998"/>
    <n v="4.0601194655867203E-3"/>
    <s v="Microcystis spp._x000a_"/>
  </r>
  <r>
    <s v="5782.3"/>
    <x v="0"/>
    <x v="10"/>
    <x v="0"/>
    <s v="20A"/>
    <s v="160"/>
    <s v="Dolichospermum sp"/>
    <b v="1"/>
    <n v="10"/>
    <n v="13.9166666666667"/>
    <m/>
    <n v="524.64673611111095"/>
    <n v="9.9682879861111101E-2"/>
    <n v="524.64673611111095"/>
    <n v="9.9682879861111101E-2"/>
    <m/>
  </r>
  <r>
    <s v="5783.1"/>
    <x v="0"/>
    <x v="11"/>
    <x v="0"/>
    <s v="20A"/>
    <s v="Whole Plate"/>
    <s v="Dolichospermum sp"/>
    <b v="1"/>
    <n v="10"/>
    <n v="20.6111111111111"/>
    <m/>
    <n v="37.1"/>
    <n v="7.0489999999999997E-3"/>
    <n v="37.1"/>
    <n v="7.0489999999999997E-3"/>
    <m/>
  </r>
  <r>
    <s v="5783.2"/>
    <x v="0"/>
    <x v="11"/>
    <x v="0"/>
    <s v="20A"/>
    <s v="Whole Plate"/>
    <s v="Pseudanabaena sp."/>
    <b v="1"/>
    <n v="10"/>
    <n v="8"/>
    <m/>
    <n v="0.8"/>
    <n v="3.1199999999999999E-5"/>
    <n v="0.8"/>
    <n v="3.1199999999999999E-5"/>
    <m/>
  </r>
  <r>
    <s v="5784.1"/>
    <x v="4"/>
    <x v="12"/>
    <x v="0"/>
    <s v="20A"/>
    <s v="Whole Plate"/>
    <s v="Microcystis wesenbergii"/>
    <b v="1"/>
    <n v="10"/>
    <n v="42"/>
    <m/>
    <n v="4.2"/>
    <n v="7.9938600000000002E-4"/>
    <n v="4.2"/>
    <n v="7.9938600000000002E-4"/>
    <s v="Microcystis spp._x000a_"/>
  </r>
  <r>
    <s v="5784.2"/>
    <x v="4"/>
    <x v="12"/>
    <x v="0"/>
    <s v="20A"/>
    <s v="Whole Plate"/>
    <s v="Pseudanabaena limnetica (cylinder)"/>
    <b v="1"/>
    <n v="10"/>
    <n v="15.9411764705882"/>
    <m/>
    <n v="27.1"/>
    <n v="2.1408999999999998E-3"/>
    <n v="27.1"/>
    <n v="2.1408999999999998E-3"/>
    <m/>
  </r>
  <r>
    <s v="5784.3"/>
    <x v="4"/>
    <x v="12"/>
    <x v="0"/>
    <s v="20A"/>
    <s v="Whole Plate"/>
    <s v="Dolichospermum sp"/>
    <b v="1"/>
    <n v="10"/>
    <n v="12.9444444444444"/>
    <m/>
    <n v="23.3"/>
    <n v="4.4270000000000004E-3"/>
    <n v="23.3"/>
    <n v="4.4270000000000004E-3"/>
    <m/>
  </r>
  <r>
    <s v="5784.4"/>
    <x v="4"/>
    <x v="12"/>
    <x v="0"/>
    <s v="20A"/>
    <s v="Whole Plate"/>
    <s v="Dolichospermum planctonicum "/>
    <b v="1"/>
    <n v="10"/>
    <n v="19"/>
    <m/>
    <n v="7.6"/>
    <n v="2.8119999999999998E-3"/>
    <n v="7.6"/>
    <n v="2.8119999999999998E-3"/>
    <m/>
  </r>
  <r>
    <s v="5784.5"/>
    <x v="4"/>
    <x v="12"/>
    <x v="0"/>
    <s v="20A"/>
    <s v="Whole Plate"/>
    <s v="Microcystis aeruginosa"/>
    <b v="1"/>
    <n v="10"/>
    <n v="52"/>
    <m/>
    <n v="5.2"/>
    <n v="4.5239999999999999E-4"/>
    <n v="5.2"/>
    <n v="4.5239999999999999E-4"/>
    <s v="Microcystis spp._x000a_"/>
  </r>
  <r>
    <s v="5784.6"/>
    <x v="4"/>
    <x v="12"/>
    <x v="0"/>
    <s v="20A"/>
    <s v="Whole Plate"/>
    <s v="Chroococcus dispersus"/>
    <b v="0"/>
    <n v="10"/>
    <n v="34"/>
    <m/>
    <n v="3.4"/>
    <n v="9.5199999999999997E-5"/>
    <n v="0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5773.1"/>
    <x v="0"/>
    <x v="0"/>
    <x v="0"/>
    <s v="20A"/>
    <s v="160"/>
    <s v="Microcystis wesenbergii"/>
    <b v="1"/>
    <n v="10"/>
    <n v="24"/>
    <m/>
    <n v="75.398333333333298"/>
    <n v="1.4350564783333301E-2"/>
    <n v="75.398333333333298"/>
    <n v="1.4350564783333301E-2"/>
    <x v="0"/>
  </r>
  <r>
    <s v="5780.5"/>
    <x v="1"/>
    <x v="1"/>
    <x v="0"/>
    <s v="20A"/>
    <s v="160"/>
    <s v="Microcystis wesenbergii"/>
    <b v="1"/>
    <n v="10"/>
    <n v="132"/>
    <m/>
    <n v="414.69083333333299"/>
    <n v="7.8928106308333301E-2"/>
    <n v="414.69083333333299"/>
    <n v="7.8928106308333301E-2"/>
    <x v="0"/>
  </r>
  <r>
    <s v="5781.4"/>
    <x v="2"/>
    <x v="2"/>
    <x v="0"/>
    <s v="20A"/>
    <s v="Whole Plate"/>
    <s v="Microcystis aeruginosa"/>
    <b v="1"/>
    <n v="10"/>
    <n v="21"/>
    <m/>
    <n v="4.2"/>
    <n v="3.6539999999999999E-4"/>
    <n v="4.2"/>
    <n v="3.6539999999999999E-4"/>
    <x v="0"/>
  </r>
  <r>
    <s v="5782.2"/>
    <x v="0"/>
    <x v="3"/>
    <x v="0"/>
    <s v="20A"/>
    <s v="160"/>
    <s v="Microcystis sp"/>
    <b v="1"/>
    <n v="10"/>
    <n v="18"/>
    <m/>
    <n v="56.548749999999998"/>
    <n v="4.0601194655867203E-3"/>
    <n v="56.548749999999998"/>
    <n v="4.0601194655867203E-3"/>
    <x v="0"/>
  </r>
  <r>
    <s v="5784.1"/>
    <x v="2"/>
    <x v="4"/>
    <x v="0"/>
    <s v="20A"/>
    <s v="Whole Plate"/>
    <s v="Microcystis wesenbergii"/>
    <b v="1"/>
    <n v="10"/>
    <n v="42"/>
    <m/>
    <n v="4.2"/>
    <n v="7.9938600000000002E-4"/>
    <n v="4.2"/>
    <n v="7.9938600000000002E-4"/>
    <x v="0"/>
  </r>
  <r>
    <s v="5784.5"/>
    <x v="2"/>
    <x v="4"/>
    <x v="0"/>
    <s v="20A"/>
    <s v="Whole Plate"/>
    <s v="Microcystis aeruginosa"/>
    <b v="1"/>
    <n v="10"/>
    <n v="52"/>
    <m/>
    <n v="5.2"/>
    <n v="4.5239999999999999E-4"/>
    <n v="5.2"/>
    <n v="4.5239999999999999E-4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5772.1"/>
    <x v="0"/>
    <x v="0"/>
    <x v="0"/>
    <s v="20A"/>
    <s v="160"/>
    <s v="Dolichospermum circinale"/>
    <b v="1"/>
    <n v="10"/>
    <n v="24.7"/>
    <n v="50"/>
    <n v="5431.8215972222197"/>
    <n v="3.1267737842250001"/>
    <n v="5431.8215972222197"/>
    <n v="3.1267737842250001"/>
    <m/>
  </r>
  <r>
    <s v="5772.2"/>
    <x v="0"/>
    <x v="0"/>
    <x v="0"/>
    <s v="20A"/>
    <s v="160"/>
    <s v="Merismopedia sp"/>
    <b v="0"/>
    <n v="10"/>
    <n v="8"/>
    <m/>
    <n v="25.1327777777778"/>
    <n v="5.5292111111111201E-4"/>
    <n v="0"/>
    <n v="0"/>
    <m/>
  </r>
  <r>
    <s v="5772.3"/>
    <x v="0"/>
    <x v="0"/>
    <x v="0"/>
    <s v="20A"/>
    <s v="160"/>
    <s v="Dolichospermum planctonicum "/>
    <b v="1"/>
    <n v="10"/>
    <n v="32"/>
    <m/>
    <n v="100.531111111111"/>
    <n v="3.7196511111111101E-2"/>
    <n v="100.531111111111"/>
    <n v="3.7196511111111101E-2"/>
    <m/>
  </r>
  <r>
    <s v="5772.4"/>
    <x v="0"/>
    <x v="0"/>
    <x v="0"/>
    <s v="20A"/>
    <s v="160"/>
    <s v="Dolichospermum spiroides"/>
    <b v="1"/>
    <n v="10"/>
    <n v="22"/>
    <m/>
    <n v="207.34541666666701"/>
    <n v="5.3909808333333399E-2"/>
    <n v="207.34541666666701"/>
    <n v="5.3909808333333399E-2"/>
    <m/>
  </r>
  <r>
    <s v="5772.5"/>
    <x v="0"/>
    <x v="0"/>
    <x v="0"/>
    <s v="20A"/>
    <s v="160"/>
    <s v="Limnococcus limneticus_x000a_"/>
    <b v="0"/>
    <n v="10"/>
    <n v="8"/>
    <m/>
    <n v="50.265555555555601"/>
    <n v="2.2619500000000001E-2"/>
    <n v="0"/>
    <n v="0"/>
    <m/>
  </r>
  <r>
    <s v="5772.6"/>
    <x v="0"/>
    <x v="0"/>
    <x v="0"/>
    <s v="20A"/>
    <s v="160"/>
    <s v="Pseudanabaena galeata (cylinder)"/>
    <b v="1"/>
    <n v="10"/>
    <n v="6"/>
    <m/>
    <n v="18.8495833333333"/>
    <n v="1.130975E-3"/>
    <n v="18.8495833333333"/>
    <n v="1.130975E-3"/>
    <m/>
  </r>
  <r>
    <s v="5773.1"/>
    <x v="0"/>
    <x v="1"/>
    <x v="0"/>
    <s v="20A"/>
    <s v="160"/>
    <s v="Microcystis wesenbergii"/>
    <b v="1"/>
    <n v="10"/>
    <n v="24"/>
    <m/>
    <n v="75.398333333333298"/>
    <n v="1.4350564783333301E-2"/>
    <n v="75.398333333333298"/>
    <n v="1.4350564783333301E-2"/>
    <s v="Microcystis spp._x000a_"/>
  </r>
  <r>
    <s v="5773.2"/>
    <x v="0"/>
    <x v="1"/>
    <x v="0"/>
    <s v="20A"/>
    <s v="160"/>
    <s v="Dolichospermum circinale"/>
    <b v="1"/>
    <n v="10"/>
    <n v="29.75"/>
    <m/>
    <n v="373.85006944444399"/>
    <n v="0.215203053975"/>
    <n v="373.85006944444399"/>
    <n v="0.215203053975"/>
    <m/>
  </r>
  <r>
    <s v="5773.3"/>
    <x v="0"/>
    <x v="1"/>
    <x v="0"/>
    <s v="20A"/>
    <s v="160"/>
    <s v="Dolichospermum sp"/>
    <b v="1"/>
    <n v="10"/>
    <n v="16.850000000000001"/>
    <n v="127"/>
    <n v="7781.5792395833296"/>
    <n v="1.4785000555208301"/>
    <n v="7781.5792395833296"/>
    <n v="1.4785000555208301"/>
    <m/>
  </r>
  <r>
    <s v="5773.4"/>
    <x v="0"/>
    <x v="1"/>
    <x v="0"/>
    <s v="20A"/>
    <s v="160"/>
    <s v="Aphanocapsa sp"/>
    <b v="0"/>
    <n v="10"/>
    <n v="16"/>
    <m/>
    <n v="50.265555555555601"/>
    <n v="1.130975E-4"/>
    <n v="0"/>
    <n v="0"/>
    <m/>
  </r>
  <r>
    <s v="5773.5"/>
    <x v="0"/>
    <x v="1"/>
    <x v="0"/>
    <s v="20A"/>
    <s v="160"/>
    <s v="Dolichospermum spiroides"/>
    <b v="1"/>
    <n v="10"/>
    <n v="30"/>
    <m/>
    <n v="471.23958333333297"/>
    <n v="0.122522291666667"/>
    <n v="471.23958333333297"/>
    <n v="0.122522291666667"/>
    <m/>
  </r>
  <r>
    <s v="5773.6"/>
    <x v="0"/>
    <x v="1"/>
    <x v="0"/>
    <s v="20A"/>
    <s v="160"/>
    <s v="Dolichospermum smithii"/>
    <b v="1"/>
    <n v="10"/>
    <n v="7"/>
    <m/>
    <n v="21.991180555555601"/>
    <n v="9.5221811805555803E-3"/>
    <n v="21.991180555555601"/>
    <n v="9.5221811805555803E-3"/>
    <m/>
  </r>
  <r>
    <s v="5773.7"/>
    <x v="0"/>
    <x v="1"/>
    <x v="0"/>
    <s v="20A"/>
    <s v="160"/>
    <s v="Dolichospermum planctonicum "/>
    <b v="1"/>
    <n v="10"/>
    <n v="20"/>
    <m/>
    <n v="125.66388888888901"/>
    <n v="4.6495638888888899E-2"/>
    <n v="125.66388888888901"/>
    <n v="4.6495638888888899E-2"/>
    <m/>
  </r>
  <r>
    <s v="5774.1"/>
    <x v="1"/>
    <x v="2"/>
    <x v="0"/>
    <s v="20A"/>
    <s v="160"/>
    <s v="Dolichospermum circinale"/>
    <b v="1"/>
    <n v="10"/>
    <n v="24.85"/>
    <n v="156"/>
    <n v="13740.0896111111"/>
    <n v="7.9093451837399904"/>
    <n v="13740.0896111111"/>
    <n v="7.9093451837399904"/>
    <m/>
  </r>
  <r>
    <s v="5775.1"/>
    <x v="1"/>
    <x v="3"/>
    <x v="0"/>
    <s v="20A"/>
    <s v="160"/>
    <s v="Dolichospermum circinale"/>
    <b v="1"/>
    <n v="10"/>
    <n v="21.75"/>
    <n v="9"/>
    <n v="1981.56244791667"/>
    <n v="1.1406666075187499"/>
    <n v="1981.56244791667"/>
    <n v="1.1406666075187499"/>
    <m/>
  </r>
  <r>
    <s v="5775.2"/>
    <x v="1"/>
    <x v="3"/>
    <x v="0"/>
    <s v="20A"/>
    <s v="160"/>
    <s v="Pseudanabaena limnetica (cylinder)"/>
    <b v="1"/>
    <n v="10"/>
    <n v="13.6666666666667"/>
    <m/>
    <n v="128.80548611111101"/>
    <n v="1.0175633402777801E-2"/>
    <n v="128.80548611111101"/>
    <n v="1.0175633402777801E-2"/>
    <m/>
  </r>
  <r>
    <s v="5775.3"/>
    <x v="1"/>
    <x v="3"/>
    <x v="0"/>
    <s v="20A"/>
    <s v="160"/>
    <s v="Dolichospermum spiroides"/>
    <b v="1"/>
    <n v="10"/>
    <n v="30.3333333333333"/>
    <m/>
    <n v="285.88534722222198"/>
    <n v="7.4330190277777694E-2"/>
    <n v="285.88534722222198"/>
    <n v="7.4330190277777694E-2"/>
    <m/>
  </r>
  <r>
    <s v="5775.4"/>
    <x v="1"/>
    <x v="3"/>
    <x v="0"/>
    <s v="20A"/>
    <s v="160"/>
    <s v="Pseudanabaena galeata (cylinder)"/>
    <b v="1"/>
    <n v="10"/>
    <n v="6"/>
    <m/>
    <n v="18.8495833333333"/>
    <n v="1.130975E-3"/>
    <n v="18.8495833333333"/>
    <n v="1.130975E-3"/>
    <m/>
  </r>
  <r>
    <s v="5775.5"/>
    <x v="1"/>
    <x v="3"/>
    <x v="0"/>
    <s v="20A"/>
    <s v="160"/>
    <s v="Dolichospermum planctonicum "/>
    <b v="1"/>
    <n v="10"/>
    <n v="32"/>
    <m/>
    <n v="100.531111111111"/>
    <n v="3.7196511111111101E-2"/>
    <n v="100.531111111111"/>
    <n v="3.7196511111111101E-2"/>
    <m/>
  </r>
  <r>
    <s v="5776.1"/>
    <x v="2"/>
    <x v="4"/>
    <x v="0"/>
    <s v="20A"/>
    <s v="160"/>
    <s v="Dolichospermum circinale"/>
    <b v="1"/>
    <n v="10"/>
    <n v="19.588235294117599"/>
    <m/>
    <n v="1046.151875"/>
    <n v="0.60220686532500001"/>
    <n v="1046.151875"/>
    <n v="0.60220686532500001"/>
    <m/>
  </r>
  <r>
    <s v="5776.2"/>
    <x v="2"/>
    <x v="4"/>
    <x v="0"/>
    <s v="20A"/>
    <s v="160"/>
    <s v="Pseudanabaena limnetica (cylinder)"/>
    <b v="1"/>
    <n v="10"/>
    <n v="10"/>
    <m/>
    <n v="31.415972222222202"/>
    <n v="2.4818618055555499E-3"/>
    <n v="31.415972222222202"/>
    <n v="2.4818618055555499E-3"/>
    <m/>
  </r>
  <r>
    <s v="5776.3"/>
    <x v="2"/>
    <x v="4"/>
    <x v="0"/>
    <s v="20A"/>
    <s v="160"/>
    <s v="Dolichospermum spiroides"/>
    <b v="1"/>
    <n v="10"/>
    <n v="26.25"/>
    <m/>
    <n v="329.86770833333298"/>
    <n v="8.5765604166666606E-2"/>
    <n v="329.86770833333298"/>
    <n v="8.5765604166666606E-2"/>
    <m/>
  </r>
  <r>
    <s v="5776.4"/>
    <x v="2"/>
    <x v="4"/>
    <x v="0"/>
    <s v="20A"/>
    <s v="160"/>
    <s v="Dolichospermum sp"/>
    <b v="1"/>
    <n v="10"/>
    <n v="9.6875"/>
    <m/>
    <n v="486.94756944444401"/>
    <n v="9.2520038194444404E-2"/>
    <n v="486.94756944444401"/>
    <n v="9.2520038194444404E-2"/>
    <m/>
  </r>
  <r>
    <s v="5776.5"/>
    <x v="2"/>
    <x v="4"/>
    <x v="0"/>
    <s v="20A"/>
    <s v="160"/>
    <s v="Coelosphaerium cf natans"/>
    <b v="0"/>
    <n v="10"/>
    <n v="22"/>
    <m/>
    <n v="69.115138888888893"/>
    <n v="1.5896481944444401E-4"/>
    <n v="0"/>
    <n v="0"/>
    <m/>
  </r>
  <r>
    <s v="5776.6"/>
    <x v="2"/>
    <x v="4"/>
    <x v="0"/>
    <s v="20A"/>
    <s v="160"/>
    <s v="Limnococcus limneticus_x000a_"/>
    <b v="0"/>
    <n v="10"/>
    <n v="26"/>
    <m/>
    <n v="81.681527777777802"/>
    <n v="3.6756687500000003E-2"/>
    <n v="0"/>
    <n v="0"/>
    <m/>
  </r>
  <r>
    <s v="5777.1"/>
    <x v="3"/>
    <x v="5"/>
    <x v="0"/>
    <s v="20A"/>
    <s v="25"/>
    <s v="Dolichospermum circinale"/>
    <b v="1"/>
    <n v="10"/>
    <n v="28.85"/>
    <n v="66"/>
    <n v="49885.547955555601"/>
    <n v="28.716116825136002"/>
    <n v="49885.547955555601"/>
    <n v="28.716116825136002"/>
    <m/>
  </r>
  <r>
    <s v="5777.2"/>
    <x v="3"/>
    <x v="5"/>
    <x v="0"/>
    <s v="20A"/>
    <s v="25"/>
    <s v="Dolichospermum spiroides"/>
    <b v="1"/>
    <n v="10"/>
    <n v="22"/>
    <m/>
    <n v="1327.01066666667"/>
    <n v="0.34502277333333398"/>
    <n v="1327.01066666667"/>
    <n v="0.34502277333333398"/>
    <m/>
  </r>
  <r>
    <s v="5777.3"/>
    <x v="3"/>
    <x v="5"/>
    <x v="0"/>
    <s v="20A"/>
    <s v="25"/>
    <s v="Woronichinia naegeliana"/>
    <b v="1"/>
    <n v="10"/>
    <n v="368"/>
    <m/>
    <n v="22197.269333333301"/>
    <n v="0"/>
    <n v="22197.269333333301"/>
    <n v="0"/>
    <m/>
  </r>
  <r>
    <s v="5777.4"/>
    <x v="3"/>
    <x v="5"/>
    <x v="0"/>
    <s v="20A"/>
    <s v="25"/>
    <s v="Dolichospermum lemmermannii"/>
    <b v="1"/>
    <n v="10"/>
    <n v="41.1666666666667"/>
    <m/>
    <n v="4966.2368888888896"/>
    <n v="0.54628605777777794"/>
    <n v="4966.2368888888896"/>
    <n v="0.54628605777777794"/>
    <m/>
  </r>
  <r>
    <s v="5777.5"/>
    <x v="3"/>
    <x v="5"/>
    <x v="0"/>
    <s v="20A"/>
    <s v="25"/>
    <s v="Dolichospermum planctonicum "/>
    <b v="1"/>
    <n v="10"/>
    <n v="23"/>
    <m/>
    <n v="924.88622222222205"/>
    <n v="0.34220790222222203"/>
    <n v="924.88622222222205"/>
    <n v="0.34220790222222203"/>
    <m/>
  </r>
  <r>
    <s v="5778.1"/>
    <x v="0"/>
    <x v="6"/>
    <x v="0"/>
    <s v="20A"/>
    <s v="160"/>
    <s v="Dolichospermum sp"/>
    <b v="1"/>
    <n v="10"/>
    <n v="15.95"/>
    <n v="24"/>
    <n v="2204.7729305555599"/>
    <n v="0.418906856805556"/>
    <n v="2204.7729305555599"/>
    <n v="0.418906856805556"/>
    <m/>
  </r>
  <r>
    <s v="5778.2"/>
    <x v="0"/>
    <x v="6"/>
    <x v="0"/>
    <s v="20A"/>
    <s v="160"/>
    <s v="Dolichospermum spiroides"/>
    <b v="1"/>
    <n v="10"/>
    <n v="20"/>
    <m/>
    <n v="62.831944444444403"/>
    <n v="1.63363055555555E-2"/>
    <n v="62.831944444444403"/>
    <n v="1.63363055555555E-2"/>
    <m/>
  </r>
  <r>
    <s v="5778.3"/>
    <x v="0"/>
    <x v="6"/>
    <x v="0"/>
    <s v="20A"/>
    <s v="160"/>
    <s v="Aphanocapsa delicatissima"/>
    <b v="0"/>
    <n v="10"/>
    <n v="44.5"/>
    <m/>
    <n v="279.60215277777797"/>
    <n v="2.7960215277777799E-5"/>
    <n v="0"/>
    <n v="0"/>
    <m/>
  </r>
  <r>
    <s v="5778.4"/>
    <x v="0"/>
    <x v="6"/>
    <x v="0"/>
    <s v="20A"/>
    <s v="160"/>
    <s v="Dolichospermum circinale"/>
    <b v="1"/>
    <n v="10"/>
    <n v="36.5"/>
    <m/>
    <n v="229.336597222222"/>
    <n v="0.13201531882500001"/>
    <n v="229.336597222222"/>
    <n v="0.13201531882500001"/>
    <m/>
  </r>
  <r>
    <s v="5778.5"/>
    <x v="0"/>
    <x v="6"/>
    <x v="0"/>
    <s v="20A"/>
    <s v="160"/>
    <s v="Limnococcus limneticus_x000a_"/>
    <b v="0"/>
    <n v="10"/>
    <n v="40"/>
    <m/>
    <n v="125.66388888888901"/>
    <n v="5.6548750000000099E-2"/>
    <n v="0"/>
    <n v="0"/>
    <m/>
  </r>
  <r>
    <s v="5779.1"/>
    <x v="1"/>
    <x v="7"/>
    <x v="0"/>
    <s v="20A"/>
    <s v="160"/>
    <s v="Dolichospermum circinale"/>
    <b v="1"/>
    <n v="10"/>
    <n v="22.85"/>
    <n v="5"/>
    <n v="1794.6374131944399"/>
    <n v="1.03306508053125"/>
    <n v="1794.6374131944399"/>
    <n v="1.03306508053125"/>
    <m/>
  </r>
  <r>
    <s v="5779.2"/>
    <x v="1"/>
    <x v="7"/>
    <x v="0"/>
    <s v="20A"/>
    <s v="160"/>
    <s v="Dolichospermum spiroides"/>
    <b v="1"/>
    <n v="10"/>
    <n v="29"/>
    <m/>
    <n v="364.42527777777798"/>
    <n v="9.4750572222222301E-2"/>
    <n v="364.42527777777798"/>
    <n v="9.4750572222222301E-2"/>
    <m/>
  </r>
  <r>
    <s v="5779.3"/>
    <x v="1"/>
    <x v="7"/>
    <x v="0"/>
    <s v="20A"/>
    <s v="160"/>
    <s v="Aphanocapsa sp"/>
    <b v="0"/>
    <n v="10"/>
    <n v="16"/>
    <m/>
    <n v="50.265555555555601"/>
    <n v="1.130975E-4"/>
    <n v="0"/>
    <n v="0"/>
    <m/>
  </r>
  <r>
    <s v="5779.4"/>
    <x v="1"/>
    <x v="7"/>
    <x v="0"/>
    <s v="20A"/>
    <s v="160"/>
    <s v="Pseudanabaena galeata (cylinder)"/>
    <b v="1"/>
    <n v="10"/>
    <n v="7"/>
    <m/>
    <n v="21.991180555555601"/>
    <n v="1.3194708333333399E-3"/>
    <n v="21.991180555555601"/>
    <n v="1.3194708333333399E-3"/>
    <m/>
  </r>
  <r>
    <s v="5780.1"/>
    <x v="1"/>
    <x v="8"/>
    <x v="0"/>
    <s v="20A"/>
    <s v="160"/>
    <s v="Dolichospermum circinale"/>
    <b v="1"/>
    <n v="10"/>
    <n v="27.8"/>
    <n v="11"/>
    <n v="2707.42848611111"/>
    <n v="1.5585041337450001"/>
    <n v="2707.42848611111"/>
    <n v="1.5585041337450001"/>
    <m/>
  </r>
  <r>
    <s v="5780.2"/>
    <x v="1"/>
    <x v="8"/>
    <x v="0"/>
    <s v="20A"/>
    <s v="160"/>
    <s v="Pseudanabaena limnetica (cylinder)"/>
    <b v="1"/>
    <n v="10"/>
    <n v="8.9166666666666696"/>
    <m/>
    <n v="336.15090277777801"/>
    <n v="2.6555921319444498E-2"/>
    <n v="336.15090277777801"/>
    <n v="2.6555921319444498E-2"/>
    <m/>
  </r>
  <r>
    <s v="5780.3"/>
    <x v="1"/>
    <x v="8"/>
    <x v="0"/>
    <s v="20A"/>
    <s v="160"/>
    <s v="Dolichospermum spiroides"/>
    <b v="1"/>
    <n v="10"/>
    <n v="38"/>
    <m/>
    <n v="238.761388888889"/>
    <n v="6.20779611111111E-2"/>
    <n v="238.761388888889"/>
    <n v="6.20779611111111E-2"/>
    <m/>
  </r>
  <r>
    <s v="5780.4"/>
    <x v="1"/>
    <x v="8"/>
    <x v="0"/>
    <s v="20A"/>
    <s v="160"/>
    <s v="Dolichospermum planctonicum "/>
    <b v="1"/>
    <n v="10"/>
    <n v="38.3333333333333"/>
    <m/>
    <n v="361.28368055555597"/>
    <n v="0.13367496180555599"/>
    <n v="361.28368055555597"/>
    <n v="0.13367496180555599"/>
    <m/>
  </r>
  <r>
    <s v="5780.5"/>
    <x v="1"/>
    <x v="8"/>
    <x v="0"/>
    <s v="20A"/>
    <s v="160"/>
    <s v="Microcystis wesenbergii"/>
    <b v="1"/>
    <n v="10"/>
    <n v="132"/>
    <m/>
    <n v="414.69083333333299"/>
    <n v="7.8928106308333301E-2"/>
    <n v="414.69083333333299"/>
    <n v="7.8928106308333301E-2"/>
    <s v="Microcystis spp._x000a_"/>
  </r>
  <r>
    <s v="5781.1"/>
    <x v="4"/>
    <x v="9"/>
    <x v="0"/>
    <s v="20A"/>
    <s v="Whole Plate"/>
    <s v="Pseudanabaena limnetica (cylinder)"/>
    <b v="1"/>
    <n v="10"/>
    <n v="12.285714285714301"/>
    <m/>
    <n v="8.6"/>
    <n v="6.7940000000000003E-4"/>
    <n v="8.6"/>
    <n v="6.7940000000000003E-4"/>
    <m/>
  </r>
  <r>
    <s v="5781.2"/>
    <x v="4"/>
    <x v="9"/>
    <x v="0"/>
    <s v="20A"/>
    <s v="Whole Plate"/>
    <s v="Dolichospermum sp"/>
    <b v="1"/>
    <n v="10"/>
    <n v="12.55"/>
    <n v="14"/>
    <n v="42.67"/>
    <n v="8.1072999999999996E-3"/>
    <n v="42.67"/>
    <n v="8.1072999999999996E-3"/>
    <m/>
  </r>
  <r>
    <s v="5781.3"/>
    <x v="4"/>
    <x v="9"/>
    <x v="0"/>
    <s v="20A"/>
    <s v="Whole Plate"/>
    <s v="Aphanocapsa sp"/>
    <b v="0"/>
    <n v="10"/>
    <n v="18"/>
    <m/>
    <n v="1.8"/>
    <n v="4.0500000000000002E-6"/>
    <n v="0"/>
    <n v="0"/>
    <m/>
  </r>
  <r>
    <s v="5781.4"/>
    <x v="4"/>
    <x v="9"/>
    <x v="0"/>
    <s v="20A"/>
    <s v="Whole Plate"/>
    <s v="Microcystis aeruginosa"/>
    <b v="1"/>
    <n v="10"/>
    <n v="21"/>
    <m/>
    <n v="4.2"/>
    <n v="3.6539999999999999E-4"/>
    <n v="4.2"/>
    <n v="3.6539999999999999E-4"/>
    <s v="Microcystis spp._x000a_"/>
  </r>
  <r>
    <s v="5781.5"/>
    <x v="4"/>
    <x v="9"/>
    <x v="0"/>
    <s v="20A"/>
    <s v="Whole Plate"/>
    <s v="Picocyanobacteria"/>
    <b v="1"/>
    <n v="10"/>
    <n v="27.5"/>
    <m/>
    <n v="5.5"/>
    <n v="2.8600000000000001E-6"/>
    <n v="5.5"/>
    <n v="2.8600000000000001E-6"/>
    <m/>
  </r>
  <r>
    <s v="5781.6"/>
    <x v="4"/>
    <x v="9"/>
    <x v="0"/>
    <s v="20A"/>
    <s v="Whole Plate"/>
    <s v="Dolichospermum planctonicum "/>
    <b v="1"/>
    <n v="10"/>
    <n v="17"/>
    <m/>
    <n v="3.4"/>
    <n v="1.258E-3"/>
    <n v="3.4"/>
    <n v="1.258E-3"/>
    <m/>
  </r>
  <r>
    <s v="5781.7"/>
    <x v="4"/>
    <x v="9"/>
    <x v="0"/>
    <s v="20A"/>
    <s v="Whole Plate"/>
    <s v="Limnococcus limneticus_x000a_"/>
    <b v="0"/>
    <n v="10"/>
    <n v="12"/>
    <m/>
    <n v="1.2"/>
    <n v="5.4000000000000001E-4"/>
    <n v="0"/>
    <n v="0"/>
    <m/>
  </r>
  <r>
    <s v="5781.8"/>
    <x v="4"/>
    <x v="9"/>
    <x v="0"/>
    <s v="20A"/>
    <s v="Whole Plate"/>
    <s v="Oscillatoria sp"/>
    <b v="1"/>
    <n v="10"/>
    <n v="23"/>
    <m/>
    <n v="4.5999999999999996"/>
    <n v="1.2440700000000001E-2"/>
    <n v="4.5999999999999996"/>
    <n v="1.2440700000000001E-2"/>
    <m/>
  </r>
  <r>
    <s v="5782.1"/>
    <x v="0"/>
    <x v="10"/>
    <x v="0"/>
    <s v="20A"/>
    <s v="160"/>
    <s v="Dolichospermum circinale"/>
    <b v="1"/>
    <n v="10"/>
    <n v="20.6666666666667"/>
    <m/>
    <n v="194.779027777778"/>
    <n v="0.11212259954999999"/>
    <n v="194.779027777778"/>
    <n v="0.11212259954999999"/>
    <m/>
  </r>
  <r>
    <s v="5782.2"/>
    <x v="0"/>
    <x v="10"/>
    <x v="0"/>
    <s v="20A"/>
    <s v="160"/>
    <s v="Microcystis sp"/>
    <b v="1"/>
    <n v="10"/>
    <n v="18"/>
    <m/>
    <n v="56.548749999999998"/>
    <n v="4.0601194655867203E-3"/>
    <n v="56.548749999999998"/>
    <n v="4.0601194655867203E-3"/>
    <s v="Microcystis spp._x000a_"/>
  </r>
  <r>
    <s v="5782.3"/>
    <x v="0"/>
    <x v="10"/>
    <x v="0"/>
    <s v="20A"/>
    <s v="160"/>
    <s v="Dolichospermum sp"/>
    <b v="1"/>
    <n v="10"/>
    <n v="13.9166666666667"/>
    <m/>
    <n v="524.64673611111095"/>
    <n v="9.9682879861111101E-2"/>
    <n v="524.64673611111095"/>
    <n v="9.9682879861111101E-2"/>
    <m/>
  </r>
  <r>
    <s v="5783.1"/>
    <x v="0"/>
    <x v="11"/>
    <x v="0"/>
    <s v="20A"/>
    <s v="Whole Plate"/>
    <s v="Dolichospermum sp"/>
    <b v="1"/>
    <n v="10"/>
    <n v="20.6111111111111"/>
    <m/>
    <n v="37.1"/>
    <n v="7.0489999999999997E-3"/>
    <n v="37.1"/>
    <n v="7.0489999999999997E-3"/>
    <m/>
  </r>
  <r>
    <s v="5783.2"/>
    <x v="0"/>
    <x v="11"/>
    <x v="0"/>
    <s v="20A"/>
    <s v="Whole Plate"/>
    <s v="Pseudanabaena sp."/>
    <b v="1"/>
    <n v="10"/>
    <n v="8"/>
    <m/>
    <n v="0.8"/>
    <n v="3.1199999999999999E-5"/>
    <n v="0.8"/>
    <n v="3.1199999999999999E-5"/>
    <m/>
  </r>
  <r>
    <s v="5784.1"/>
    <x v="4"/>
    <x v="12"/>
    <x v="0"/>
    <s v="20A"/>
    <s v="Whole Plate"/>
    <s v="Microcystis wesenbergii"/>
    <b v="1"/>
    <n v="10"/>
    <n v="42"/>
    <m/>
    <n v="4.2"/>
    <n v="7.9938600000000002E-4"/>
    <n v="4.2"/>
    <n v="7.9938600000000002E-4"/>
    <s v="Microcystis spp._x000a_"/>
  </r>
  <r>
    <s v="5784.2"/>
    <x v="4"/>
    <x v="12"/>
    <x v="0"/>
    <s v="20A"/>
    <s v="Whole Plate"/>
    <s v="Pseudanabaena limnetica (cylinder)"/>
    <b v="1"/>
    <n v="10"/>
    <n v="15.9411764705882"/>
    <m/>
    <n v="27.1"/>
    <n v="2.1408999999999998E-3"/>
    <n v="27.1"/>
    <n v="2.1408999999999998E-3"/>
    <m/>
  </r>
  <r>
    <s v="5784.3"/>
    <x v="4"/>
    <x v="12"/>
    <x v="0"/>
    <s v="20A"/>
    <s v="Whole Plate"/>
    <s v="Dolichospermum sp"/>
    <b v="1"/>
    <n v="10"/>
    <n v="12.9444444444444"/>
    <m/>
    <n v="23.3"/>
    <n v="4.4270000000000004E-3"/>
    <n v="23.3"/>
    <n v="4.4270000000000004E-3"/>
    <m/>
  </r>
  <r>
    <s v="5784.4"/>
    <x v="4"/>
    <x v="12"/>
    <x v="0"/>
    <s v="20A"/>
    <s v="Whole Plate"/>
    <s v="Dolichospermum planctonicum "/>
    <b v="1"/>
    <n v="10"/>
    <n v="19"/>
    <m/>
    <n v="7.6"/>
    <n v="2.8119999999999998E-3"/>
    <n v="7.6"/>
    <n v="2.8119999999999998E-3"/>
    <m/>
  </r>
  <r>
    <s v="5784.5"/>
    <x v="4"/>
    <x v="12"/>
    <x v="0"/>
    <s v="20A"/>
    <s v="Whole Plate"/>
    <s v="Microcystis aeruginosa"/>
    <b v="1"/>
    <n v="10"/>
    <n v="52"/>
    <m/>
    <n v="5.2"/>
    <n v="4.5239999999999999E-4"/>
    <n v="5.2"/>
    <n v="4.5239999999999999E-4"/>
    <s v="Microcystis spp._x000a_"/>
  </r>
  <r>
    <s v="5784.6"/>
    <x v="4"/>
    <x v="12"/>
    <x v="0"/>
    <s v="20A"/>
    <s v="Whole Plate"/>
    <s v="Chroococcus dispersus"/>
    <b v="0"/>
    <n v="10"/>
    <n v="34"/>
    <m/>
    <n v="3.4"/>
    <n v="9.5199999999999997E-5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lertWarning" cacheId="21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1"/>
    </i>
    <i r="1">
      <x v="6"/>
    </i>
    <i r="1">
      <x v="10"/>
    </i>
    <i r="1">
      <x v="11"/>
    </i>
    <i>
      <x v="1"/>
      <x v="2"/>
    </i>
    <i r="1">
      <x v="3"/>
    </i>
    <i r="1">
      <x v="7"/>
    </i>
    <i r="1">
      <x v="8"/>
    </i>
    <i>
      <x v="2"/>
      <x v="4"/>
    </i>
    <i>
      <x v="3"/>
      <x v="5"/>
    </i>
    <i>
      <x v="4"/>
      <x v="9"/>
    </i>
    <i r="1">
      <x v="12"/>
    </i>
  </rowItems>
  <colFields count="2">
    <field x="3"/>
    <field x="-2"/>
  </colFields>
  <colItems count="2">
    <i>
      <x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formats count="20">
    <format dxfId="32">
      <pivotArea outline="0" fieldPosition="0">
        <references count="1">
          <reference field="1" count="1" selected="0">
            <x v="4"/>
          </reference>
        </references>
      </pivotArea>
    </format>
    <format dxfId="31">
      <pivotArea outline="0" fieldPosition="0">
        <references count="2">
          <reference field="1" count="1" selected="0">
            <x v="3"/>
          </reference>
          <reference field="2" count="1" selected="0">
            <x v="5"/>
          </reference>
        </references>
      </pivotArea>
    </format>
    <format dxfId="30">
      <pivotArea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" count="3" selected="0">
            <x v="3"/>
            <x v="7"/>
            <x v="8"/>
          </reference>
          <reference field="3" count="0" selected="0"/>
        </references>
      </pivotArea>
    </format>
    <format dxfId="29">
      <pivotArea outline="0" fieldPosition="0">
        <references count="4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4"/>
          </reference>
          <reference field="3" count="0" selected="0"/>
        </references>
      </pivotArea>
    </format>
    <format dxfId="28">
      <pivotArea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  <reference field="3" count="0" selected="0"/>
        </references>
      </pivotArea>
    </format>
    <format dxfId="27">
      <pivotArea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1"/>
          </reference>
          <reference field="3" count="0" selected="0"/>
        </references>
      </pivotArea>
    </format>
    <format dxfId="26">
      <pivotArea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0"/>
          </reference>
          <reference field="3" count="0" selected="0"/>
        </references>
      </pivotArea>
    </format>
    <format dxfId="25">
      <pivotArea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"/>
          </reference>
          <reference field="3" count="0" selected="0"/>
        </references>
      </pivotArea>
    </format>
    <format dxfId="24">
      <pivotArea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0" selected="0"/>
        </references>
      </pivotArea>
    </format>
    <format dxfId="23">
      <pivotArea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0" selected="0"/>
        </references>
      </pivotArea>
    </format>
    <format dxfId="22">
      <pivotArea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" count="2" selected="0">
            <x v="0"/>
            <x v="1"/>
          </reference>
          <reference field="3" count="0" selected="0"/>
        </references>
      </pivotArea>
    </format>
    <format dxfId="21">
      <pivotArea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6"/>
          </reference>
          <reference field="3" count="0" selected="0"/>
        </references>
      </pivotArea>
    </format>
    <format dxfId="20">
      <pivotArea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0"/>
          </reference>
          <reference field="3" count="0" selected="0"/>
        </references>
      </pivotArea>
    </format>
    <format dxfId="19">
      <pivotArea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1"/>
          </reference>
          <reference field="3" count="0" selected="0"/>
        </references>
      </pivotArea>
    </format>
    <format dxfId="18">
      <pivotArea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2"/>
          </reference>
          <reference field="3" count="0" selected="0"/>
        </references>
      </pivotArea>
    </format>
    <format dxfId="17">
      <pivotArea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" count="2" selected="0">
            <x v="3"/>
            <x v="7"/>
          </reference>
          <reference field="3" count="0" selected="0"/>
        </references>
      </pivotArea>
    </format>
    <format dxfId="16">
      <pivotArea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8"/>
          </reference>
          <reference field="3" count="0" selected="0"/>
        </references>
      </pivotArea>
    </format>
    <format dxfId="15">
      <pivotArea outline="0" fieldPosition="0">
        <references count="4">
          <reference field="4294967294" count="1" selected="0">
            <x v="1"/>
          </reference>
          <reference field="1" count="1" selected="0">
            <x v="2"/>
          </reference>
          <reference field="2" count="1" selected="0">
            <x v="4"/>
          </reference>
          <reference field="3" count="0" selected="0"/>
        </references>
      </pivotArea>
    </format>
    <format dxfId="7">
      <pivotArea outline="0" fieldPosition="0"/>
    </format>
    <format dxfId="0">
      <pivotArea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6"/>
          </reference>
          <reference field="3" count="0" selected="0"/>
        </references>
      </pivotArea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CellsPermL" cacheId="15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15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3">
        <item x="0"/>
        <item x="1"/>
        <item x="2"/>
      </items>
    </pivotField>
    <pivotField name="Site" axis="axisRow" compact="0" outline="0" showAll="0" defaultSubtotal="0">
      <items count="5">
        <item x="0"/>
        <item x="1"/>
        <item x="2"/>
        <item x="3"/>
        <item x="4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5">
    <i>
      <x/>
      <x/>
    </i>
    <i r="1">
      <x v="3"/>
    </i>
    <i>
      <x v="1"/>
      <x v="1"/>
    </i>
    <i>
      <x v="2"/>
      <x v="2"/>
    </i>
    <i r="1">
      <x v="4"/>
    </i>
  </rowItems>
  <colFields count="2">
    <field x="3"/>
    <field x="15"/>
  </colFields>
  <colItems count="1">
    <i>
      <x/>
      <x v="1"/>
    </i>
  </colItems>
  <dataFields count="1">
    <dataField name="CellsPerMl" fld="11" baseField="0" baseItem="0" numFmtId="172"/>
  </dataFields>
  <formats count="2">
    <format dxfId="14">
      <pivotArea outline="0" fieldPosition="0"/>
    </format>
    <format dxfId="2">
      <pivotArea outline="0" fieldPosition="0"/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AlertWarning" cacheId="8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C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1"/>
    </i>
    <i r="1">
      <x v="6"/>
    </i>
    <i r="1">
      <x v="10"/>
    </i>
    <i r="1">
      <x v="11"/>
    </i>
    <i>
      <x v="1"/>
      <x v="2"/>
    </i>
    <i r="1">
      <x v="3"/>
    </i>
    <i r="1">
      <x v="7"/>
    </i>
    <i r="1">
      <x v="8"/>
    </i>
    <i>
      <x v="2"/>
      <x v="4"/>
    </i>
    <i>
      <x v="3"/>
      <x v="5"/>
    </i>
    <i>
      <x v="4"/>
      <x v="9"/>
    </i>
    <i r="1">
      <x v="12"/>
    </i>
  </rowItems>
  <colFields count="1">
    <field x="3"/>
  </colFields>
  <colItems count="1">
    <i>
      <x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64" totalsRowShown="0">
  <autoFilter ref="A1:P64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7" totalsRowShown="0">
  <autoFilter ref="A1:P7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32.179687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2.5429687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24.7</v>
      </c>
      <c r="K2">
        <v>50</v>
      </c>
      <c r="L2">
        <v>5431.8215972222197</v>
      </c>
      <c r="M2">
        <v>3.1267737842250001</v>
      </c>
      <c r="N2">
        <v>5431.8215972222197</v>
      </c>
      <c r="O2">
        <v>3.1267737842250001</v>
      </c>
    </row>
    <row r="3" spans="1:16" x14ac:dyDescent="0.35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0</v>
      </c>
      <c r="I3">
        <v>10</v>
      </c>
      <c r="J3">
        <v>8</v>
      </c>
      <c r="L3">
        <v>25.1327777777778</v>
      </c>
      <c r="M3">
        <v>5.5292111111111201E-4</v>
      </c>
      <c r="N3">
        <v>0</v>
      </c>
      <c r="O3">
        <v>0</v>
      </c>
    </row>
    <row r="4" spans="1:16" x14ac:dyDescent="0.35">
      <c r="A4" t="s">
        <v>25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26</v>
      </c>
      <c r="H4" t="b">
        <v>1</v>
      </c>
      <c r="I4">
        <v>10</v>
      </c>
      <c r="J4">
        <v>32</v>
      </c>
      <c r="L4">
        <v>100.531111111111</v>
      </c>
      <c r="M4">
        <v>3.7196511111111101E-2</v>
      </c>
      <c r="N4">
        <v>100.531111111111</v>
      </c>
      <c r="O4">
        <v>3.7196511111111101E-2</v>
      </c>
    </row>
    <row r="5" spans="1:16" x14ac:dyDescent="0.35">
      <c r="A5" t="s">
        <v>27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28</v>
      </c>
      <c r="H5" t="b">
        <v>1</v>
      </c>
      <c r="I5">
        <v>10</v>
      </c>
      <c r="J5">
        <v>22</v>
      </c>
      <c r="L5">
        <v>207.34541666666701</v>
      </c>
      <c r="M5">
        <v>5.3909808333333399E-2</v>
      </c>
      <c r="N5">
        <v>207.34541666666701</v>
      </c>
      <c r="O5">
        <v>5.3909808333333399E-2</v>
      </c>
    </row>
    <row r="6" spans="1:16" ht="29" x14ac:dyDescent="0.35">
      <c r="A6" t="s">
        <v>29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s="1" t="s">
        <v>30</v>
      </c>
      <c r="H6" t="b">
        <v>0</v>
      </c>
      <c r="I6">
        <v>10</v>
      </c>
      <c r="J6">
        <v>8</v>
      </c>
      <c r="L6">
        <v>50.265555555555601</v>
      </c>
      <c r="M6">
        <v>2.2619500000000001E-2</v>
      </c>
      <c r="N6">
        <v>0</v>
      </c>
      <c r="O6">
        <v>0</v>
      </c>
    </row>
    <row r="7" spans="1:16" x14ac:dyDescent="0.35">
      <c r="A7" t="s">
        <v>31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32</v>
      </c>
      <c r="H7" t="b">
        <v>1</v>
      </c>
      <c r="I7">
        <v>10</v>
      </c>
      <c r="J7">
        <v>6</v>
      </c>
      <c r="L7">
        <v>18.8495833333333</v>
      </c>
      <c r="M7">
        <v>1.130975E-3</v>
      </c>
      <c r="N7">
        <v>18.8495833333333</v>
      </c>
      <c r="O7">
        <v>1.130975E-3</v>
      </c>
    </row>
    <row r="8" spans="1:16" ht="29" x14ac:dyDescent="0.35">
      <c r="A8" t="s">
        <v>33</v>
      </c>
      <c r="B8" t="s">
        <v>17</v>
      </c>
      <c r="C8" t="s">
        <v>34</v>
      </c>
      <c r="D8" t="s">
        <v>19</v>
      </c>
      <c r="E8" t="s">
        <v>20</v>
      </c>
      <c r="F8" t="s">
        <v>21</v>
      </c>
      <c r="G8" t="s">
        <v>35</v>
      </c>
      <c r="H8" t="b">
        <v>1</v>
      </c>
      <c r="I8">
        <v>10</v>
      </c>
      <c r="J8">
        <v>24</v>
      </c>
      <c r="L8">
        <v>75.398333333333298</v>
      </c>
      <c r="M8">
        <v>1.4350564783333301E-2</v>
      </c>
      <c r="N8">
        <v>75.398333333333298</v>
      </c>
      <c r="O8">
        <v>1.4350564783333301E-2</v>
      </c>
      <c r="P8" s="1" t="s">
        <v>36</v>
      </c>
    </row>
    <row r="9" spans="1:16" x14ac:dyDescent="0.35">
      <c r="A9" t="s">
        <v>37</v>
      </c>
      <c r="B9" t="s">
        <v>17</v>
      </c>
      <c r="C9" t="s">
        <v>34</v>
      </c>
      <c r="D9" t="s">
        <v>19</v>
      </c>
      <c r="E9" t="s">
        <v>20</v>
      </c>
      <c r="F9" t="s">
        <v>21</v>
      </c>
      <c r="G9" t="s">
        <v>22</v>
      </c>
      <c r="H9" t="b">
        <v>1</v>
      </c>
      <c r="I9">
        <v>10</v>
      </c>
      <c r="J9">
        <v>29.75</v>
      </c>
      <c r="L9">
        <v>373.85006944444399</v>
      </c>
      <c r="M9">
        <v>0.215203053975</v>
      </c>
      <c r="N9">
        <v>373.85006944444399</v>
      </c>
      <c r="O9">
        <v>0.215203053975</v>
      </c>
    </row>
    <row r="10" spans="1:16" x14ac:dyDescent="0.35">
      <c r="A10" t="s">
        <v>38</v>
      </c>
      <c r="B10" t="s">
        <v>17</v>
      </c>
      <c r="C10" t="s">
        <v>34</v>
      </c>
      <c r="D10" t="s">
        <v>19</v>
      </c>
      <c r="E10" t="s">
        <v>20</v>
      </c>
      <c r="F10" t="s">
        <v>21</v>
      </c>
      <c r="G10" t="s">
        <v>39</v>
      </c>
      <c r="H10" t="b">
        <v>1</v>
      </c>
      <c r="I10">
        <v>10</v>
      </c>
      <c r="J10">
        <v>16.850000000000001</v>
      </c>
      <c r="K10">
        <v>127</v>
      </c>
      <c r="L10">
        <v>7781.5792395833296</v>
      </c>
      <c r="M10">
        <v>1.4785000555208301</v>
      </c>
      <c r="N10">
        <v>7781.5792395833296</v>
      </c>
      <c r="O10">
        <v>1.4785000555208301</v>
      </c>
    </row>
    <row r="11" spans="1:16" x14ac:dyDescent="0.35">
      <c r="A11" t="s">
        <v>40</v>
      </c>
      <c r="B11" t="s">
        <v>17</v>
      </c>
      <c r="C11" t="s">
        <v>34</v>
      </c>
      <c r="D11" t="s">
        <v>19</v>
      </c>
      <c r="E11" t="s">
        <v>20</v>
      </c>
      <c r="F11" t="s">
        <v>21</v>
      </c>
      <c r="G11" t="s">
        <v>41</v>
      </c>
      <c r="H11" t="b">
        <v>0</v>
      </c>
      <c r="I11">
        <v>10</v>
      </c>
      <c r="J11">
        <v>16</v>
      </c>
      <c r="L11">
        <v>50.265555555555601</v>
      </c>
      <c r="M11">
        <v>1.130975E-4</v>
      </c>
      <c r="N11">
        <v>0</v>
      </c>
      <c r="O11">
        <v>0</v>
      </c>
    </row>
    <row r="12" spans="1:16" x14ac:dyDescent="0.35">
      <c r="A12" t="s">
        <v>42</v>
      </c>
      <c r="B12" t="s">
        <v>17</v>
      </c>
      <c r="C12" t="s">
        <v>34</v>
      </c>
      <c r="D12" t="s">
        <v>19</v>
      </c>
      <c r="E12" t="s">
        <v>20</v>
      </c>
      <c r="F12" t="s">
        <v>21</v>
      </c>
      <c r="G12" t="s">
        <v>28</v>
      </c>
      <c r="H12" t="b">
        <v>1</v>
      </c>
      <c r="I12">
        <v>10</v>
      </c>
      <c r="J12">
        <v>30</v>
      </c>
      <c r="L12">
        <v>471.23958333333297</v>
      </c>
      <c r="M12">
        <v>0.122522291666667</v>
      </c>
      <c r="N12">
        <v>471.23958333333297</v>
      </c>
      <c r="O12">
        <v>0.122522291666667</v>
      </c>
    </row>
    <row r="13" spans="1:16" x14ac:dyDescent="0.35">
      <c r="A13" t="s">
        <v>43</v>
      </c>
      <c r="B13" t="s">
        <v>17</v>
      </c>
      <c r="C13" t="s">
        <v>34</v>
      </c>
      <c r="D13" t="s">
        <v>19</v>
      </c>
      <c r="E13" t="s">
        <v>20</v>
      </c>
      <c r="F13" t="s">
        <v>21</v>
      </c>
      <c r="G13" t="s">
        <v>44</v>
      </c>
      <c r="H13" t="b">
        <v>1</v>
      </c>
      <c r="I13">
        <v>10</v>
      </c>
      <c r="J13">
        <v>7</v>
      </c>
      <c r="L13">
        <v>21.991180555555601</v>
      </c>
      <c r="M13">
        <v>9.5221811805555803E-3</v>
      </c>
      <c r="N13">
        <v>21.991180555555601</v>
      </c>
      <c r="O13">
        <v>9.5221811805555803E-3</v>
      </c>
    </row>
    <row r="14" spans="1:16" x14ac:dyDescent="0.35">
      <c r="A14" t="s">
        <v>45</v>
      </c>
      <c r="B14" t="s">
        <v>17</v>
      </c>
      <c r="C14" t="s">
        <v>34</v>
      </c>
      <c r="D14" t="s">
        <v>19</v>
      </c>
      <c r="E14" t="s">
        <v>20</v>
      </c>
      <c r="F14" t="s">
        <v>21</v>
      </c>
      <c r="G14" t="s">
        <v>26</v>
      </c>
      <c r="H14" t="b">
        <v>1</v>
      </c>
      <c r="I14">
        <v>10</v>
      </c>
      <c r="J14">
        <v>20</v>
      </c>
      <c r="L14">
        <v>125.66388888888901</v>
      </c>
      <c r="M14">
        <v>4.6495638888888899E-2</v>
      </c>
      <c r="N14">
        <v>125.66388888888901</v>
      </c>
      <c r="O14">
        <v>4.6495638888888899E-2</v>
      </c>
    </row>
    <row r="15" spans="1:16" x14ac:dyDescent="0.35">
      <c r="A15" t="s">
        <v>46</v>
      </c>
      <c r="B15" t="s">
        <v>47</v>
      </c>
      <c r="C15" t="s">
        <v>48</v>
      </c>
      <c r="D15" t="s">
        <v>19</v>
      </c>
      <c r="E15" t="s">
        <v>20</v>
      </c>
      <c r="F15" t="s">
        <v>21</v>
      </c>
      <c r="G15" t="s">
        <v>22</v>
      </c>
      <c r="H15" t="b">
        <v>1</v>
      </c>
      <c r="I15">
        <v>10</v>
      </c>
      <c r="J15">
        <v>24.85</v>
      </c>
      <c r="K15">
        <v>156</v>
      </c>
      <c r="L15">
        <v>13740.0896111111</v>
      </c>
      <c r="M15">
        <v>7.9093451837399904</v>
      </c>
      <c r="N15">
        <v>13740.0896111111</v>
      </c>
      <c r="O15">
        <v>7.9093451837399904</v>
      </c>
    </row>
    <row r="16" spans="1:16" x14ac:dyDescent="0.35">
      <c r="A16" t="s">
        <v>49</v>
      </c>
      <c r="B16" t="s">
        <v>47</v>
      </c>
      <c r="C16" t="s">
        <v>50</v>
      </c>
      <c r="D16" t="s">
        <v>19</v>
      </c>
      <c r="E16" t="s">
        <v>20</v>
      </c>
      <c r="F16" t="s">
        <v>21</v>
      </c>
      <c r="G16" t="s">
        <v>22</v>
      </c>
      <c r="H16" t="b">
        <v>1</v>
      </c>
      <c r="I16">
        <v>10</v>
      </c>
      <c r="J16">
        <v>21.75</v>
      </c>
      <c r="K16">
        <v>9</v>
      </c>
      <c r="L16">
        <v>1981.56244791667</v>
      </c>
      <c r="M16">
        <v>1.1406666075187499</v>
      </c>
      <c r="N16">
        <v>1981.56244791667</v>
      </c>
      <c r="O16">
        <v>1.1406666075187499</v>
      </c>
    </row>
    <row r="17" spans="1:15" x14ac:dyDescent="0.35">
      <c r="A17" t="s">
        <v>51</v>
      </c>
      <c r="B17" t="s">
        <v>47</v>
      </c>
      <c r="C17" t="s">
        <v>50</v>
      </c>
      <c r="D17" t="s">
        <v>19</v>
      </c>
      <c r="E17" t="s">
        <v>20</v>
      </c>
      <c r="F17" t="s">
        <v>21</v>
      </c>
      <c r="G17" t="s">
        <v>52</v>
      </c>
      <c r="H17" t="b">
        <v>1</v>
      </c>
      <c r="I17">
        <v>10</v>
      </c>
      <c r="J17">
        <v>13.6666666666667</v>
      </c>
      <c r="L17">
        <v>128.80548611111101</v>
      </c>
      <c r="M17">
        <v>1.0175633402777801E-2</v>
      </c>
      <c r="N17">
        <v>128.80548611111101</v>
      </c>
      <c r="O17">
        <v>1.0175633402777801E-2</v>
      </c>
    </row>
    <row r="18" spans="1:15" x14ac:dyDescent="0.35">
      <c r="A18" t="s">
        <v>53</v>
      </c>
      <c r="B18" t="s">
        <v>47</v>
      </c>
      <c r="C18" t="s">
        <v>50</v>
      </c>
      <c r="D18" t="s">
        <v>19</v>
      </c>
      <c r="E18" t="s">
        <v>20</v>
      </c>
      <c r="F18" t="s">
        <v>21</v>
      </c>
      <c r="G18" t="s">
        <v>28</v>
      </c>
      <c r="H18" t="b">
        <v>1</v>
      </c>
      <c r="I18">
        <v>10</v>
      </c>
      <c r="J18">
        <v>30.3333333333333</v>
      </c>
      <c r="L18">
        <v>285.88534722222198</v>
      </c>
      <c r="M18">
        <v>7.4330190277777694E-2</v>
      </c>
      <c r="N18">
        <v>285.88534722222198</v>
      </c>
      <c r="O18">
        <v>7.4330190277777694E-2</v>
      </c>
    </row>
    <row r="19" spans="1:15" x14ac:dyDescent="0.35">
      <c r="A19" t="s">
        <v>54</v>
      </c>
      <c r="B19" t="s">
        <v>47</v>
      </c>
      <c r="C19" t="s">
        <v>50</v>
      </c>
      <c r="D19" t="s">
        <v>19</v>
      </c>
      <c r="E19" t="s">
        <v>20</v>
      </c>
      <c r="F19" t="s">
        <v>21</v>
      </c>
      <c r="G19" t="s">
        <v>32</v>
      </c>
      <c r="H19" t="b">
        <v>1</v>
      </c>
      <c r="I19">
        <v>10</v>
      </c>
      <c r="J19">
        <v>6</v>
      </c>
      <c r="L19">
        <v>18.8495833333333</v>
      </c>
      <c r="M19">
        <v>1.130975E-3</v>
      </c>
      <c r="N19">
        <v>18.8495833333333</v>
      </c>
      <c r="O19">
        <v>1.130975E-3</v>
      </c>
    </row>
    <row r="20" spans="1:15" x14ac:dyDescent="0.35">
      <c r="A20" t="s">
        <v>55</v>
      </c>
      <c r="B20" t="s">
        <v>47</v>
      </c>
      <c r="C20" t="s">
        <v>50</v>
      </c>
      <c r="D20" t="s">
        <v>19</v>
      </c>
      <c r="E20" t="s">
        <v>20</v>
      </c>
      <c r="F20" t="s">
        <v>21</v>
      </c>
      <c r="G20" t="s">
        <v>26</v>
      </c>
      <c r="H20" t="b">
        <v>1</v>
      </c>
      <c r="I20">
        <v>10</v>
      </c>
      <c r="J20">
        <v>32</v>
      </c>
      <c r="L20">
        <v>100.531111111111</v>
      </c>
      <c r="M20">
        <v>3.7196511111111101E-2</v>
      </c>
      <c r="N20">
        <v>100.531111111111</v>
      </c>
      <c r="O20">
        <v>3.7196511111111101E-2</v>
      </c>
    </row>
    <row r="21" spans="1:15" x14ac:dyDescent="0.35">
      <c r="A21" t="s">
        <v>56</v>
      </c>
      <c r="B21" t="s">
        <v>57</v>
      </c>
      <c r="C21" t="s">
        <v>58</v>
      </c>
      <c r="D21" t="s">
        <v>19</v>
      </c>
      <c r="E21" t="s">
        <v>20</v>
      </c>
      <c r="F21" t="s">
        <v>21</v>
      </c>
      <c r="G21" t="s">
        <v>22</v>
      </c>
      <c r="H21" t="b">
        <v>1</v>
      </c>
      <c r="I21">
        <v>10</v>
      </c>
      <c r="J21">
        <v>19.588235294117599</v>
      </c>
      <c r="L21">
        <v>1046.151875</v>
      </c>
      <c r="M21">
        <v>0.60220686532500001</v>
      </c>
      <c r="N21">
        <v>1046.151875</v>
      </c>
      <c r="O21">
        <v>0.60220686532500001</v>
      </c>
    </row>
    <row r="22" spans="1:15" x14ac:dyDescent="0.35">
      <c r="A22" t="s">
        <v>59</v>
      </c>
      <c r="B22" t="s">
        <v>57</v>
      </c>
      <c r="C22" t="s">
        <v>58</v>
      </c>
      <c r="D22" t="s">
        <v>19</v>
      </c>
      <c r="E22" t="s">
        <v>20</v>
      </c>
      <c r="F22" t="s">
        <v>21</v>
      </c>
      <c r="G22" t="s">
        <v>52</v>
      </c>
      <c r="H22" t="b">
        <v>1</v>
      </c>
      <c r="I22">
        <v>10</v>
      </c>
      <c r="J22">
        <v>10</v>
      </c>
      <c r="L22">
        <v>31.415972222222202</v>
      </c>
      <c r="M22">
        <v>2.4818618055555499E-3</v>
      </c>
      <c r="N22">
        <v>31.415972222222202</v>
      </c>
      <c r="O22">
        <v>2.4818618055555499E-3</v>
      </c>
    </row>
    <row r="23" spans="1:15" x14ac:dyDescent="0.35">
      <c r="A23" t="s">
        <v>60</v>
      </c>
      <c r="B23" t="s">
        <v>57</v>
      </c>
      <c r="C23" t="s">
        <v>58</v>
      </c>
      <c r="D23" t="s">
        <v>19</v>
      </c>
      <c r="E23" t="s">
        <v>20</v>
      </c>
      <c r="F23" t="s">
        <v>21</v>
      </c>
      <c r="G23" t="s">
        <v>28</v>
      </c>
      <c r="H23" t="b">
        <v>1</v>
      </c>
      <c r="I23">
        <v>10</v>
      </c>
      <c r="J23">
        <v>26.25</v>
      </c>
      <c r="L23">
        <v>329.86770833333298</v>
      </c>
      <c r="M23">
        <v>8.5765604166666606E-2</v>
      </c>
      <c r="N23">
        <v>329.86770833333298</v>
      </c>
      <c r="O23">
        <v>8.5765604166666606E-2</v>
      </c>
    </row>
    <row r="24" spans="1:15" x14ac:dyDescent="0.35">
      <c r="A24" t="s">
        <v>61</v>
      </c>
      <c r="B24" t="s">
        <v>57</v>
      </c>
      <c r="C24" t="s">
        <v>58</v>
      </c>
      <c r="D24" t="s">
        <v>19</v>
      </c>
      <c r="E24" t="s">
        <v>20</v>
      </c>
      <c r="F24" t="s">
        <v>21</v>
      </c>
      <c r="G24" t="s">
        <v>39</v>
      </c>
      <c r="H24" t="b">
        <v>1</v>
      </c>
      <c r="I24">
        <v>10</v>
      </c>
      <c r="J24">
        <v>9.6875</v>
      </c>
      <c r="L24">
        <v>486.94756944444401</v>
      </c>
      <c r="M24">
        <v>9.2520038194444404E-2</v>
      </c>
      <c r="N24">
        <v>486.94756944444401</v>
      </c>
      <c r="O24">
        <v>9.2520038194444404E-2</v>
      </c>
    </row>
    <row r="25" spans="1:15" x14ac:dyDescent="0.35">
      <c r="A25" t="s">
        <v>62</v>
      </c>
      <c r="B25" t="s">
        <v>57</v>
      </c>
      <c r="C25" t="s">
        <v>58</v>
      </c>
      <c r="D25" t="s">
        <v>19</v>
      </c>
      <c r="E25" t="s">
        <v>20</v>
      </c>
      <c r="F25" t="s">
        <v>21</v>
      </c>
      <c r="G25" t="s">
        <v>63</v>
      </c>
      <c r="H25" t="b">
        <v>0</v>
      </c>
      <c r="I25">
        <v>10</v>
      </c>
      <c r="J25">
        <v>22</v>
      </c>
      <c r="L25">
        <v>69.115138888888893</v>
      </c>
      <c r="M25">
        <v>1.5896481944444401E-4</v>
      </c>
      <c r="N25">
        <v>0</v>
      </c>
      <c r="O25">
        <v>0</v>
      </c>
    </row>
    <row r="26" spans="1:15" ht="29" x14ac:dyDescent="0.35">
      <c r="A26" t="s">
        <v>64</v>
      </c>
      <c r="B26" t="s">
        <v>57</v>
      </c>
      <c r="C26" t="s">
        <v>58</v>
      </c>
      <c r="D26" t="s">
        <v>19</v>
      </c>
      <c r="E26" t="s">
        <v>20</v>
      </c>
      <c r="F26" t="s">
        <v>21</v>
      </c>
      <c r="G26" s="1" t="s">
        <v>30</v>
      </c>
      <c r="H26" t="b">
        <v>0</v>
      </c>
      <c r="I26">
        <v>10</v>
      </c>
      <c r="J26">
        <v>26</v>
      </c>
      <c r="L26">
        <v>81.681527777777802</v>
      </c>
      <c r="M26">
        <v>3.6756687500000003E-2</v>
      </c>
      <c r="N26">
        <v>0</v>
      </c>
      <c r="O26">
        <v>0</v>
      </c>
    </row>
    <row r="27" spans="1:15" x14ac:dyDescent="0.35">
      <c r="A27" t="s">
        <v>65</v>
      </c>
      <c r="B27" t="s">
        <v>66</v>
      </c>
      <c r="C27" t="s">
        <v>67</v>
      </c>
      <c r="D27" t="s">
        <v>19</v>
      </c>
      <c r="E27" t="s">
        <v>20</v>
      </c>
      <c r="F27" t="s">
        <v>68</v>
      </c>
      <c r="G27" t="s">
        <v>22</v>
      </c>
      <c r="H27" t="b">
        <v>1</v>
      </c>
      <c r="I27">
        <v>10</v>
      </c>
      <c r="J27">
        <v>28.85</v>
      </c>
      <c r="K27">
        <v>66</v>
      </c>
      <c r="L27">
        <v>49885.547955555601</v>
      </c>
      <c r="M27">
        <v>28.716116825136002</v>
      </c>
      <c r="N27">
        <v>49885.547955555601</v>
      </c>
      <c r="O27">
        <v>28.716116825136002</v>
      </c>
    </row>
    <row r="28" spans="1:15" x14ac:dyDescent="0.35">
      <c r="A28" t="s">
        <v>69</v>
      </c>
      <c r="B28" t="s">
        <v>66</v>
      </c>
      <c r="C28" t="s">
        <v>67</v>
      </c>
      <c r="D28" t="s">
        <v>19</v>
      </c>
      <c r="E28" t="s">
        <v>20</v>
      </c>
      <c r="F28" t="s">
        <v>68</v>
      </c>
      <c r="G28" t="s">
        <v>28</v>
      </c>
      <c r="H28" t="b">
        <v>1</v>
      </c>
      <c r="I28">
        <v>10</v>
      </c>
      <c r="J28">
        <v>22</v>
      </c>
      <c r="L28">
        <v>1327.01066666667</v>
      </c>
      <c r="M28">
        <v>0.34502277333333398</v>
      </c>
      <c r="N28">
        <v>1327.01066666667</v>
      </c>
      <c r="O28">
        <v>0.34502277333333398</v>
      </c>
    </row>
    <row r="29" spans="1:15" x14ac:dyDescent="0.35">
      <c r="A29" t="s">
        <v>70</v>
      </c>
      <c r="B29" t="s">
        <v>66</v>
      </c>
      <c r="C29" t="s">
        <v>67</v>
      </c>
      <c r="D29" t="s">
        <v>19</v>
      </c>
      <c r="E29" t="s">
        <v>20</v>
      </c>
      <c r="F29" t="s">
        <v>68</v>
      </c>
      <c r="G29" t="s">
        <v>71</v>
      </c>
      <c r="H29" t="b">
        <v>1</v>
      </c>
      <c r="I29">
        <v>10</v>
      </c>
      <c r="J29">
        <v>368</v>
      </c>
      <c r="L29">
        <v>22197.269333333301</v>
      </c>
      <c r="M29">
        <v>0</v>
      </c>
      <c r="N29">
        <v>22197.269333333301</v>
      </c>
      <c r="O29">
        <v>0</v>
      </c>
    </row>
    <row r="30" spans="1:15" x14ac:dyDescent="0.35">
      <c r="A30" t="s">
        <v>72</v>
      </c>
      <c r="B30" t="s">
        <v>66</v>
      </c>
      <c r="C30" t="s">
        <v>67</v>
      </c>
      <c r="D30" t="s">
        <v>19</v>
      </c>
      <c r="E30" t="s">
        <v>20</v>
      </c>
      <c r="F30" t="s">
        <v>68</v>
      </c>
      <c r="G30" t="s">
        <v>73</v>
      </c>
      <c r="H30" t="b">
        <v>1</v>
      </c>
      <c r="I30">
        <v>10</v>
      </c>
      <c r="J30">
        <v>41.1666666666667</v>
      </c>
      <c r="L30">
        <v>4966.2368888888896</v>
      </c>
      <c r="M30">
        <v>0.54628605777777794</v>
      </c>
      <c r="N30">
        <v>4966.2368888888896</v>
      </c>
      <c r="O30">
        <v>0.54628605777777794</v>
      </c>
    </row>
    <row r="31" spans="1:15" x14ac:dyDescent="0.35">
      <c r="A31" t="s">
        <v>74</v>
      </c>
      <c r="B31" t="s">
        <v>66</v>
      </c>
      <c r="C31" t="s">
        <v>67</v>
      </c>
      <c r="D31" t="s">
        <v>19</v>
      </c>
      <c r="E31" t="s">
        <v>20</v>
      </c>
      <c r="F31" t="s">
        <v>68</v>
      </c>
      <c r="G31" t="s">
        <v>26</v>
      </c>
      <c r="H31" t="b">
        <v>1</v>
      </c>
      <c r="I31">
        <v>10</v>
      </c>
      <c r="J31">
        <v>23</v>
      </c>
      <c r="L31">
        <v>924.88622222222205</v>
      </c>
      <c r="M31">
        <v>0.34220790222222203</v>
      </c>
      <c r="N31">
        <v>924.88622222222205</v>
      </c>
      <c r="O31">
        <v>0.34220790222222203</v>
      </c>
    </row>
    <row r="32" spans="1:15" x14ac:dyDescent="0.35">
      <c r="A32" t="s">
        <v>75</v>
      </c>
      <c r="B32" t="s">
        <v>17</v>
      </c>
      <c r="C32" t="s">
        <v>76</v>
      </c>
      <c r="D32" t="s">
        <v>19</v>
      </c>
      <c r="E32" t="s">
        <v>20</v>
      </c>
      <c r="F32" t="s">
        <v>21</v>
      </c>
      <c r="G32" t="s">
        <v>39</v>
      </c>
      <c r="H32" t="b">
        <v>1</v>
      </c>
      <c r="I32">
        <v>10</v>
      </c>
      <c r="J32">
        <v>15.95</v>
      </c>
      <c r="K32">
        <v>24</v>
      </c>
      <c r="L32">
        <v>2204.7729305555599</v>
      </c>
      <c r="M32">
        <v>0.418906856805556</v>
      </c>
      <c r="N32">
        <v>2204.7729305555599</v>
      </c>
      <c r="O32">
        <v>0.418906856805556</v>
      </c>
    </row>
    <row r="33" spans="1:16" x14ac:dyDescent="0.35">
      <c r="A33" t="s">
        <v>77</v>
      </c>
      <c r="B33" t="s">
        <v>17</v>
      </c>
      <c r="C33" t="s">
        <v>76</v>
      </c>
      <c r="D33" t="s">
        <v>19</v>
      </c>
      <c r="E33" t="s">
        <v>20</v>
      </c>
      <c r="F33" t="s">
        <v>21</v>
      </c>
      <c r="G33" t="s">
        <v>28</v>
      </c>
      <c r="H33" t="b">
        <v>1</v>
      </c>
      <c r="I33">
        <v>10</v>
      </c>
      <c r="J33">
        <v>20</v>
      </c>
      <c r="L33">
        <v>62.831944444444403</v>
      </c>
      <c r="M33">
        <v>1.63363055555555E-2</v>
      </c>
      <c r="N33">
        <v>62.831944444444403</v>
      </c>
      <c r="O33">
        <v>1.63363055555555E-2</v>
      </c>
    </row>
    <row r="34" spans="1:16" x14ac:dyDescent="0.35">
      <c r="A34" t="s">
        <v>78</v>
      </c>
      <c r="B34" t="s">
        <v>17</v>
      </c>
      <c r="C34" t="s">
        <v>76</v>
      </c>
      <c r="D34" t="s">
        <v>19</v>
      </c>
      <c r="E34" t="s">
        <v>20</v>
      </c>
      <c r="F34" t="s">
        <v>21</v>
      </c>
      <c r="G34" t="s">
        <v>79</v>
      </c>
      <c r="H34" t="b">
        <v>0</v>
      </c>
      <c r="I34">
        <v>10</v>
      </c>
      <c r="J34">
        <v>44.5</v>
      </c>
      <c r="L34">
        <v>279.60215277777797</v>
      </c>
      <c r="M34">
        <v>2.7960215277777799E-5</v>
      </c>
      <c r="N34">
        <v>0</v>
      </c>
      <c r="O34">
        <v>0</v>
      </c>
    </row>
    <row r="35" spans="1:16" x14ac:dyDescent="0.35">
      <c r="A35" t="s">
        <v>80</v>
      </c>
      <c r="B35" t="s">
        <v>17</v>
      </c>
      <c r="C35" t="s">
        <v>76</v>
      </c>
      <c r="D35" t="s">
        <v>19</v>
      </c>
      <c r="E35" t="s">
        <v>20</v>
      </c>
      <c r="F35" t="s">
        <v>21</v>
      </c>
      <c r="G35" t="s">
        <v>22</v>
      </c>
      <c r="H35" t="b">
        <v>1</v>
      </c>
      <c r="I35">
        <v>10</v>
      </c>
      <c r="J35">
        <v>36.5</v>
      </c>
      <c r="L35">
        <v>229.336597222222</v>
      </c>
      <c r="M35">
        <v>0.13201531882500001</v>
      </c>
      <c r="N35">
        <v>229.336597222222</v>
      </c>
      <c r="O35">
        <v>0.13201531882500001</v>
      </c>
    </row>
    <row r="36" spans="1:16" ht="29" x14ac:dyDescent="0.35">
      <c r="A36" t="s">
        <v>81</v>
      </c>
      <c r="B36" t="s">
        <v>17</v>
      </c>
      <c r="C36" t="s">
        <v>76</v>
      </c>
      <c r="D36" t="s">
        <v>19</v>
      </c>
      <c r="E36" t="s">
        <v>20</v>
      </c>
      <c r="F36" t="s">
        <v>21</v>
      </c>
      <c r="G36" s="1" t="s">
        <v>30</v>
      </c>
      <c r="H36" t="b">
        <v>0</v>
      </c>
      <c r="I36">
        <v>10</v>
      </c>
      <c r="J36">
        <v>40</v>
      </c>
      <c r="L36">
        <v>125.66388888888901</v>
      </c>
      <c r="M36">
        <v>5.6548750000000099E-2</v>
      </c>
      <c r="N36">
        <v>0</v>
      </c>
      <c r="O36">
        <v>0</v>
      </c>
    </row>
    <row r="37" spans="1:16" x14ac:dyDescent="0.35">
      <c r="A37" t="s">
        <v>82</v>
      </c>
      <c r="B37" t="s">
        <v>47</v>
      </c>
      <c r="C37" t="s">
        <v>83</v>
      </c>
      <c r="D37" t="s">
        <v>19</v>
      </c>
      <c r="E37" t="s">
        <v>20</v>
      </c>
      <c r="F37" t="s">
        <v>21</v>
      </c>
      <c r="G37" t="s">
        <v>22</v>
      </c>
      <c r="H37" t="b">
        <v>1</v>
      </c>
      <c r="I37">
        <v>10</v>
      </c>
      <c r="J37">
        <v>22.85</v>
      </c>
      <c r="K37">
        <v>5</v>
      </c>
      <c r="L37">
        <v>1794.6374131944399</v>
      </c>
      <c r="M37">
        <v>1.03306508053125</v>
      </c>
      <c r="N37">
        <v>1794.6374131944399</v>
      </c>
      <c r="O37">
        <v>1.03306508053125</v>
      </c>
    </row>
    <row r="38" spans="1:16" x14ac:dyDescent="0.35">
      <c r="A38" t="s">
        <v>84</v>
      </c>
      <c r="B38" t="s">
        <v>47</v>
      </c>
      <c r="C38" t="s">
        <v>83</v>
      </c>
      <c r="D38" t="s">
        <v>19</v>
      </c>
      <c r="E38" t="s">
        <v>20</v>
      </c>
      <c r="F38" t="s">
        <v>21</v>
      </c>
      <c r="G38" t="s">
        <v>28</v>
      </c>
      <c r="H38" t="b">
        <v>1</v>
      </c>
      <c r="I38">
        <v>10</v>
      </c>
      <c r="J38">
        <v>29</v>
      </c>
      <c r="L38">
        <v>364.42527777777798</v>
      </c>
      <c r="M38">
        <v>9.4750572222222301E-2</v>
      </c>
      <c r="N38">
        <v>364.42527777777798</v>
      </c>
      <c r="O38">
        <v>9.4750572222222301E-2</v>
      </c>
    </row>
    <row r="39" spans="1:16" x14ac:dyDescent="0.35">
      <c r="A39" t="s">
        <v>85</v>
      </c>
      <c r="B39" t="s">
        <v>47</v>
      </c>
      <c r="C39" t="s">
        <v>83</v>
      </c>
      <c r="D39" t="s">
        <v>19</v>
      </c>
      <c r="E39" t="s">
        <v>20</v>
      </c>
      <c r="F39" t="s">
        <v>21</v>
      </c>
      <c r="G39" t="s">
        <v>41</v>
      </c>
      <c r="H39" t="b">
        <v>0</v>
      </c>
      <c r="I39">
        <v>10</v>
      </c>
      <c r="J39">
        <v>16</v>
      </c>
      <c r="L39">
        <v>50.265555555555601</v>
      </c>
      <c r="M39">
        <v>1.130975E-4</v>
      </c>
      <c r="N39">
        <v>0</v>
      </c>
      <c r="O39">
        <v>0</v>
      </c>
    </row>
    <row r="40" spans="1:16" x14ac:dyDescent="0.35">
      <c r="A40" t="s">
        <v>86</v>
      </c>
      <c r="B40" t="s">
        <v>47</v>
      </c>
      <c r="C40" t="s">
        <v>83</v>
      </c>
      <c r="D40" t="s">
        <v>19</v>
      </c>
      <c r="E40" t="s">
        <v>20</v>
      </c>
      <c r="F40" t="s">
        <v>21</v>
      </c>
      <c r="G40" t="s">
        <v>32</v>
      </c>
      <c r="H40" t="b">
        <v>1</v>
      </c>
      <c r="I40">
        <v>10</v>
      </c>
      <c r="J40">
        <v>7</v>
      </c>
      <c r="L40">
        <v>21.991180555555601</v>
      </c>
      <c r="M40">
        <v>1.3194708333333399E-3</v>
      </c>
      <c r="N40">
        <v>21.991180555555601</v>
      </c>
      <c r="O40">
        <v>1.3194708333333399E-3</v>
      </c>
    </row>
    <row r="41" spans="1:16" x14ac:dyDescent="0.35">
      <c r="A41" t="s">
        <v>87</v>
      </c>
      <c r="B41" t="s">
        <v>47</v>
      </c>
      <c r="C41" t="s">
        <v>88</v>
      </c>
      <c r="D41" t="s">
        <v>19</v>
      </c>
      <c r="E41" t="s">
        <v>20</v>
      </c>
      <c r="F41" t="s">
        <v>21</v>
      </c>
      <c r="G41" t="s">
        <v>22</v>
      </c>
      <c r="H41" t="b">
        <v>1</v>
      </c>
      <c r="I41">
        <v>10</v>
      </c>
      <c r="J41">
        <v>27.8</v>
      </c>
      <c r="K41">
        <v>11</v>
      </c>
      <c r="L41">
        <v>2707.42848611111</v>
      </c>
      <c r="M41">
        <v>1.5585041337450001</v>
      </c>
      <c r="N41">
        <v>2707.42848611111</v>
      </c>
      <c r="O41">
        <v>1.5585041337450001</v>
      </c>
    </row>
    <row r="42" spans="1:16" x14ac:dyDescent="0.35">
      <c r="A42" t="s">
        <v>89</v>
      </c>
      <c r="B42" t="s">
        <v>47</v>
      </c>
      <c r="C42" t="s">
        <v>88</v>
      </c>
      <c r="D42" t="s">
        <v>19</v>
      </c>
      <c r="E42" t="s">
        <v>20</v>
      </c>
      <c r="F42" t="s">
        <v>21</v>
      </c>
      <c r="G42" t="s">
        <v>52</v>
      </c>
      <c r="H42" t="b">
        <v>1</v>
      </c>
      <c r="I42">
        <v>10</v>
      </c>
      <c r="J42">
        <v>8.9166666666666696</v>
      </c>
      <c r="L42">
        <v>336.15090277777801</v>
      </c>
      <c r="M42">
        <v>2.6555921319444498E-2</v>
      </c>
      <c r="N42">
        <v>336.15090277777801</v>
      </c>
      <c r="O42">
        <v>2.6555921319444498E-2</v>
      </c>
    </row>
    <row r="43" spans="1:16" x14ac:dyDescent="0.35">
      <c r="A43" t="s">
        <v>90</v>
      </c>
      <c r="B43" t="s">
        <v>47</v>
      </c>
      <c r="C43" t="s">
        <v>88</v>
      </c>
      <c r="D43" t="s">
        <v>19</v>
      </c>
      <c r="E43" t="s">
        <v>20</v>
      </c>
      <c r="F43" t="s">
        <v>21</v>
      </c>
      <c r="G43" t="s">
        <v>28</v>
      </c>
      <c r="H43" t="b">
        <v>1</v>
      </c>
      <c r="I43">
        <v>10</v>
      </c>
      <c r="J43">
        <v>38</v>
      </c>
      <c r="L43">
        <v>238.761388888889</v>
      </c>
      <c r="M43">
        <v>6.20779611111111E-2</v>
      </c>
      <c r="N43">
        <v>238.761388888889</v>
      </c>
      <c r="O43">
        <v>6.20779611111111E-2</v>
      </c>
    </row>
    <row r="44" spans="1:16" x14ac:dyDescent="0.35">
      <c r="A44" t="s">
        <v>91</v>
      </c>
      <c r="B44" t="s">
        <v>47</v>
      </c>
      <c r="C44" t="s">
        <v>88</v>
      </c>
      <c r="D44" t="s">
        <v>19</v>
      </c>
      <c r="E44" t="s">
        <v>20</v>
      </c>
      <c r="F44" t="s">
        <v>21</v>
      </c>
      <c r="G44" t="s">
        <v>26</v>
      </c>
      <c r="H44" t="b">
        <v>1</v>
      </c>
      <c r="I44">
        <v>10</v>
      </c>
      <c r="J44">
        <v>38.3333333333333</v>
      </c>
      <c r="L44">
        <v>361.28368055555597</v>
      </c>
      <c r="M44">
        <v>0.13367496180555599</v>
      </c>
      <c r="N44">
        <v>361.28368055555597</v>
      </c>
      <c r="O44">
        <v>0.13367496180555599</v>
      </c>
    </row>
    <row r="45" spans="1:16" ht="29" x14ac:dyDescent="0.35">
      <c r="A45" t="s">
        <v>92</v>
      </c>
      <c r="B45" t="s">
        <v>47</v>
      </c>
      <c r="C45" t="s">
        <v>88</v>
      </c>
      <c r="D45" t="s">
        <v>19</v>
      </c>
      <c r="E45" t="s">
        <v>20</v>
      </c>
      <c r="F45" t="s">
        <v>21</v>
      </c>
      <c r="G45" t="s">
        <v>35</v>
      </c>
      <c r="H45" t="b">
        <v>1</v>
      </c>
      <c r="I45">
        <v>10</v>
      </c>
      <c r="J45">
        <v>132</v>
      </c>
      <c r="L45">
        <v>414.69083333333299</v>
      </c>
      <c r="M45">
        <v>7.8928106308333301E-2</v>
      </c>
      <c r="N45">
        <v>414.69083333333299</v>
      </c>
      <c r="O45">
        <v>7.8928106308333301E-2</v>
      </c>
      <c r="P45" s="1" t="s">
        <v>36</v>
      </c>
    </row>
    <row r="46" spans="1:16" x14ac:dyDescent="0.35">
      <c r="A46" t="s">
        <v>93</v>
      </c>
      <c r="B46" t="s">
        <v>94</v>
      </c>
      <c r="C46" t="s">
        <v>95</v>
      </c>
      <c r="D46" t="s">
        <v>19</v>
      </c>
      <c r="E46" t="s">
        <v>20</v>
      </c>
      <c r="F46" t="s">
        <v>96</v>
      </c>
      <c r="G46" t="s">
        <v>52</v>
      </c>
      <c r="H46" t="b">
        <v>1</v>
      </c>
      <c r="I46">
        <v>10</v>
      </c>
      <c r="J46">
        <v>12.285714285714301</v>
      </c>
      <c r="L46">
        <v>8.6</v>
      </c>
      <c r="M46">
        <v>6.7940000000000003E-4</v>
      </c>
      <c r="N46">
        <v>8.6</v>
      </c>
      <c r="O46">
        <v>6.7940000000000003E-4</v>
      </c>
    </row>
    <row r="47" spans="1:16" x14ac:dyDescent="0.35">
      <c r="A47" t="s">
        <v>97</v>
      </c>
      <c r="B47" t="s">
        <v>94</v>
      </c>
      <c r="C47" t="s">
        <v>95</v>
      </c>
      <c r="D47" t="s">
        <v>19</v>
      </c>
      <c r="E47" t="s">
        <v>20</v>
      </c>
      <c r="F47" t="s">
        <v>96</v>
      </c>
      <c r="G47" t="s">
        <v>39</v>
      </c>
      <c r="H47" t="b">
        <v>1</v>
      </c>
      <c r="I47">
        <v>10</v>
      </c>
      <c r="J47">
        <v>12.55</v>
      </c>
      <c r="K47">
        <v>14</v>
      </c>
      <c r="L47">
        <v>42.67</v>
      </c>
      <c r="M47">
        <v>8.1072999999999996E-3</v>
      </c>
      <c r="N47">
        <v>42.67</v>
      </c>
      <c r="O47">
        <v>8.1072999999999996E-3</v>
      </c>
    </row>
    <row r="48" spans="1:16" x14ac:dyDescent="0.35">
      <c r="A48" t="s">
        <v>98</v>
      </c>
      <c r="B48" t="s">
        <v>94</v>
      </c>
      <c r="C48" t="s">
        <v>95</v>
      </c>
      <c r="D48" t="s">
        <v>19</v>
      </c>
      <c r="E48" t="s">
        <v>20</v>
      </c>
      <c r="F48" t="s">
        <v>96</v>
      </c>
      <c r="G48" t="s">
        <v>41</v>
      </c>
      <c r="H48" t="b">
        <v>0</v>
      </c>
      <c r="I48">
        <v>10</v>
      </c>
      <c r="J48">
        <v>18</v>
      </c>
      <c r="L48">
        <v>1.8</v>
      </c>
      <c r="M48">
        <v>4.0500000000000002E-6</v>
      </c>
      <c r="N48">
        <v>0</v>
      </c>
      <c r="O48">
        <v>0</v>
      </c>
    </row>
    <row r="49" spans="1:16" ht="29" x14ac:dyDescent="0.35">
      <c r="A49" t="s">
        <v>99</v>
      </c>
      <c r="B49" t="s">
        <v>94</v>
      </c>
      <c r="C49" t="s">
        <v>95</v>
      </c>
      <c r="D49" t="s">
        <v>19</v>
      </c>
      <c r="E49" t="s">
        <v>20</v>
      </c>
      <c r="F49" t="s">
        <v>96</v>
      </c>
      <c r="G49" t="s">
        <v>100</v>
      </c>
      <c r="H49" t="b">
        <v>1</v>
      </c>
      <c r="I49">
        <v>10</v>
      </c>
      <c r="J49">
        <v>21</v>
      </c>
      <c r="L49">
        <v>4.2</v>
      </c>
      <c r="M49">
        <v>3.6539999999999999E-4</v>
      </c>
      <c r="N49">
        <v>4.2</v>
      </c>
      <c r="O49">
        <v>3.6539999999999999E-4</v>
      </c>
      <c r="P49" s="1" t="s">
        <v>36</v>
      </c>
    </row>
    <row r="50" spans="1:16" x14ac:dyDescent="0.35">
      <c r="A50" t="s">
        <v>101</v>
      </c>
      <c r="B50" t="s">
        <v>94</v>
      </c>
      <c r="C50" t="s">
        <v>95</v>
      </c>
      <c r="D50" t="s">
        <v>19</v>
      </c>
      <c r="E50" t="s">
        <v>20</v>
      </c>
      <c r="F50" t="s">
        <v>96</v>
      </c>
      <c r="G50" t="s">
        <v>102</v>
      </c>
      <c r="H50" t="b">
        <v>1</v>
      </c>
      <c r="I50">
        <v>10</v>
      </c>
      <c r="J50">
        <v>27.5</v>
      </c>
      <c r="L50">
        <v>5.5</v>
      </c>
      <c r="M50">
        <v>2.8600000000000001E-6</v>
      </c>
      <c r="N50">
        <v>5.5</v>
      </c>
      <c r="O50">
        <v>2.8600000000000001E-6</v>
      </c>
    </row>
    <row r="51" spans="1:16" x14ac:dyDescent="0.35">
      <c r="A51" t="s">
        <v>103</v>
      </c>
      <c r="B51" t="s">
        <v>94</v>
      </c>
      <c r="C51" t="s">
        <v>95</v>
      </c>
      <c r="D51" t="s">
        <v>19</v>
      </c>
      <c r="E51" t="s">
        <v>20</v>
      </c>
      <c r="F51" t="s">
        <v>96</v>
      </c>
      <c r="G51" t="s">
        <v>26</v>
      </c>
      <c r="H51" t="b">
        <v>1</v>
      </c>
      <c r="I51">
        <v>10</v>
      </c>
      <c r="J51">
        <v>17</v>
      </c>
      <c r="L51">
        <v>3.4</v>
      </c>
      <c r="M51">
        <v>1.258E-3</v>
      </c>
      <c r="N51">
        <v>3.4</v>
      </c>
      <c r="O51">
        <v>1.258E-3</v>
      </c>
    </row>
    <row r="52" spans="1:16" ht="29" x14ac:dyDescent="0.35">
      <c r="A52" t="s">
        <v>104</v>
      </c>
      <c r="B52" t="s">
        <v>94</v>
      </c>
      <c r="C52" t="s">
        <v>95</v>
      </c>
      <c r="D52" t="s">
        <v>19</v>
      </c>
      <c r="E52" t="s">
        <v>20</v>
      </c>
      <c r="F52" t="s">
        <v>96</v>
      </c>
      <c r="G52" s="1" t="s">
        <v>30</v>
      </c>
      <c r="H52" t="b">
        <v>0</v>
      </c>
      <c r="I52">
        <v>10</v>
      </c>
      <c r="J52">
        <v>12</v>
      </c>
      <c r="L52">
        <v>1.2</v>
      </c>
      <c r="M52">
        <v>5.4000000000000001E-4</v>
      </c>
      <c r="N52">
        <v>0</v>
      </c>
      <c r="O52">
        <v>0</v>
      </c>
    </row>
    <row r="53" spans="1:16" x14ac:dyDescent="0.35">
      <c r="A53" t="s">
        <v>105</v>
      </c>
      <c r="B53" t="s">
        <v>94</v>
      </c>
      <c r="C53" t="s">
        <v>95</v>
      </c>
      <c r="D53" t="s">
        <v>19</v>
      </c>
      <c r="E53" t="s">
        <v>20</v>
      </c>
      <c r="F53" t="s">
        <v>96</v>
      </c>
      <c r="G53" t="s">
        <v>106</v>
      </c>
      <c r="H53" t="b">
        <v>1</v>
      </c>
      <c r="I53">
        <v>10</v>
      </c>
      <c r="J53">
        <v>23</v>
      </c>
      <c r="L53">
        <v>4.5999999999999996</v>
      </c>
      <c r="M53">
        <v>1.2440700000000001E-2</v>
      </c>
      <c r="N53">
        <v>4.5999999999999996</v>
      </c>
      <c r="O53">
        <v>1.2440700000000001E-2</v>
      </c>
    </row>
    <row r="54" spans="1:16" x14ac:dyDescent="0.35">
      <c r="A54" t="s">
        <v>107</v>
      </c>
      <c r="B54" t="s">
        <v>17</v>
      </c>
      <c r="C54" t="s">
        <v>108</v>
      </c>
      <c r="D54" t="s">
        <v>19</v>
      </c>
      <c r="E54" t="s">
        <v>20</v>
      </c>
      <c r="F54" t="s">
        <v>21</v>
      </c>
      <c r="G54" t="s">
        <v>22</v>
      </c>
      <c r="H54" t="b">
        <v>1</v>
      </c>
      <c r="I54">
        <v>10</v>
      </c>
      <c r="J54">
        <v>20.6666666666667</v>
      </c>
      <c r="L54">
        <v>194.779027777778</v>
      </c>
      <c r="M54">
        <v>0.11212259954999999</v>
      </c>
      <c r="N54">
        <v>194.779027777778</v>
      </c>
      <c r="O54">
        <v>0.11212259954999999</v>
      </c>
    </row>
    <row r="55" spans="1:16" ht="29" x14ac:dyDescent="0.35">
      <c r="A55" t="s">
        <v>109</v>
      </c>
      <c r="B55" t="s">
        <v>17</v>
      </c>
      <c r="C55" t="s">
        <v>108</v>
      </c>
      <c r="D55" t="s">
        <v>19</v>
      </c>
      <c r="E55" t="s">
        <v>20</v>
      </c>
      <c r="F55" t="s">
        <v>21</v>
      </c>
      <c r="G55" t="s">
        <v>110</v>
      </c>
      <c r="H55" t="b">
        <v>1</v>
      </c>
      <c r="I55">
        <v>10</v>
      </c>
      <c r="J55">
        <v>18</v>
      </c>
      <c r="L55">
        <v>56.548749999999998</v>
      </c>
      <c r="M55">
        <v>4.0601194655867203E-3</v>
      </c>
      <c r="N55">
        <v>56.548749999999998</v>
      </c>
      <c r="O55">
        <v>4.0601194655867203E-3</v>
      </c>
      <c r="P55" s="1" t="s">
        <v>36</v>
      </c>
    </row>
    <row r="56" spans="1:16" x14ac:dyDescent="0.35">
      <c r="A56" t="s">
        <v>111</v>
      </c>
      <c r="B56" t="s">
        <v>17</v>
      </c>
      <c r="C56" t="s">
        <v>108</v>
      </c>
      <c r="D56" t="s">
        <v>19</v>
      </c>
      <c r="E56" t="s">
        <v>20</v>
      </c>
      <c r="F56" t="s">
        <v>21</v>
      </c>
      <c r="G56" t="s">
        <v>39</v>
      </c>
      <c r="H56" t="b">
        <v>1</v>
      </c>
      <c r="I56">
        <v>10</v>
      </c>
      <c r="J56">
        <v>13.9166666666667</v>
      </c>
      <c r="L56">
        <v>524.64673611111095</v>
      </c>
      <c r="M56">
        <v>9.9682879861111101E-2</v>
      </c>
      <c r="N56">
        <v>524.64673611111095</v>
      </c>
      <c r="O56">
        <v>9.9682879861111101E-2</v>
      </c>
    </row>
    <row r="57" spans="1:16" x14ac:dyDescent="0.35">
      <c r="A57" t="s">
        <v>112</v>
      </c>
      <c r="B57" t="s">
        <v>17</v>
      </c>
      <c r="C57" t="s">
        <v>113</v>
      </c>
      <c r="D57" t="s">
        <v>19</v>
      </c>
      <c r="E57" t="s">
        <v>20</v>
      </c>
      <c r="F57" t="s">
        <v>96</v>
      </c>
      <c r="G57" t="s">
        <v>39</v>
      </c>
      <c r="H57" t="b">
        <v>1</v>
      </c>
      <c r="I57">
        <v>10</v>
      </c>
      <c r="J57">
        <v>20.6111111111111</v>
      </c>
      <c r="L57">
        <v>37.1</v>
      </c>
      <c r="M57">
        <v>7.0489999999999997E-3</v>
      </c>
      <c r="N57">
        <v>37.1</v>
      </c>
      <c r="O57">
        <v>7.0489999999999997E-3</v>
      </c>
    </row>
    <row r="58" spans="1:16" x14ac:dyDescent="0.35">
      <c r="A58" t="s">
        <v>114</v>
      </c>
      <c r="B58" t="s">
        <v>17</v>
      </c>
      <c r="C58" t="s">
        <v>113</v>
      </c>
      <c r="D58" t="s">
        <v>19</v>
      </c>
      <c r="E58" t="s">
        <v>20</v>
      </c>
      <c r="F58" t="s">
        <v>96</v>
      </c>
      <c r="G58" t="s">
        <v>115</v>
      </c>
      <c r="H58" t="b">
        <v>1</v>
      </c>
      <c r="I58">
        <v>10</v>
      </c>
      <c r="J58">
        <v>8</v>
      </c>
      <c r="L58">
        <v>0.8</v>
      </c>
      <c r="M58">
        <v>3.1199999999999999E-5</v>
      </c>
      <c r="N58">
        <v>0.8</v>
      </c>
      <c r="O58">
        <v>3.1199999999999999E-5</v>
      </c>
    </row>
    <row r="59" spans="1:16" ht="29" x14ac:dyDescent="0.35">
      <c r="A59" t="s">
        <v>116</v>
      </c>
      <c r="B59" t="s">
        <v>94</v>
      </c>
      <c r="C59" t="s">
        <v>117</v>
      </c>
      <c r="D59" t="s">
        <v>19</v>
      </c>
      <c r="E59" t="s">
        <v>20</v>
      </c>
      <c r="F59" t="s">
        <v>96</v>
      </c>
      <c r="G59" t="s">
        <v>35</v>
      </c>
      <c r="H59" t="b">
        <v>1</v>
      </c>
      <c r="I59">
        <v>10</v>
      </c>
      <c r="J59">
        <v>42</v>
      </c>
      <c r="L59">
        <v>4.2</v>
      </c>
      <c r="M59">
        <v>7.9938600000000002E-4</v>
      </c>
      <c r="N59">
        <v>4.2</v>
      </c>
      <c r="O59">
        <v>7.9938600000000002E-4</v>
      </c>
      <c r="P59" s="1" t="s">
        <v>36</v>
      </c>
    </row>
    <row r="60" spans="1:16" x14ac:dyDescent="0.35">
      <c r="A60" t="s">
        <v>118</v>
      </c>
      <c r="B60" t="s">
        <v>94</v>
      </c>
      <c r="C60" t="s">
        <v>117</v>
      </c>
      <c r="D60" t="s">
        <v>19</v>
      </c>
      <c r="E60" t="s">
        <v>20</v>
      </c>
      <c r="F60" t="s">
        <v>96</v>
      </c>
      <c r="G60" t="s">
        <v>52</v>
      </c>
      <c r="H60" t="b">
        <v>1</v>
      </c>
      <c r="I60">
        <v>10</v>
      </c>
      <c r="J60">
        <v>15.9411764705882</v>
      </c>
      <c r="L60">
        <v>27.1</v>
      </c>
      <c r="M60">
        <v>2.1408999999999998E-3</v>
      </c>
      <c r="N60">
        <v>27.1</v>
      </c>
      <c r="O60">
        <v>2.1408999999999998E-3</v>
      </c>
    </row>
    <row r="61" spans="1:16" x14ac:dyDescent="0.35">
      <c r="A61" t="s">
        <v>119</v>
      </c>
      <c r="B61" t="s">
        <v>94</v>
      </c>
      <c r="C61" t="s">
        <v>117</v>
      </c>
      <c r="D61" t="s">
        <v>19</v>
      </c>
      <c r="E61" t="s">
        <v>20</v>
      </c>
      <c r="F61" t="s">
        <v>96</v>
      </c>
      <c r="G61" t="s">
        <v>39</v>
      </c>
      <c r="H61" t="b">
        <v>1</v>
      </c>
      <c r="I61">
        <v>10</v>
      </c>
      <c r="J61">
        <v>12.9444444444444</v>
      </c>
      <c r="L61">
        <v>23.3</v>
      </c>
      <c r="M61">
        <v>4.4270000000000004E-3</v>
      </c>
      <c r="N61">
        <v>23.3</v>
      </c>
      <c r="O61">
        <v>4.4270000000000004E-3</v>
      </c>
    </row>
    <row r="62" spans="1:16" x14ac:dyDescent="0.35">
      <c r="A62" t="s">
        <v>120</v>
      </c>
      <c r="B62" t="s">
        <v>94</v>
      </c>
      <c r="C62" t="s">
        <v>117</v>
      </c>
      <c r="D62" t="s">
        <v>19</v>
      </c>
      <c r="E62" t="s">
        <v>20</v>
      </c>
      <c r="F62" t="s">
        <v>96</v>
      </c>
      <c r="G62" t="s">
        <v>26</v>
      </c>
      <c r="H62" t="b">
        <v>1</v>
      </c>
      <c r="I62">
        <v>10</v>
      </c>
      <c r="J62">
        <v>19</v>
      </c>
      <c r="L62">
        <v>7.6</v>
      </c>
      <c r="M62">
        <v>2.8119999999999998E-3</v>
      </c>
      <c r="N62">
        <v>7.6</v>
      </c>
      <c r="O62">
        <v>2.8119999999999998E-3</v>
      </c>
    </row>
    <row r="63" spans="1:16" ht="29" x14ac:dyDescent="0.35">
      <c r="A63" t="s">
        <v>121</v>
      </c>
      <c r="B63" t="s">
        <v>94</v>
      </c>
      <c r="C63" t="s">
        <v>117</v>
      </c>
      <c r="D63" t="s">
        <v>19</v>
      </c>
      <c r="E63" t="s">
        <v>20</v>
      </c>
      <c r="F63" t="s">
        <v>96</v>
      </c>
      <c r="G63" t="s">
        <v>100</v>
      </c>
      <c r="H63" t="b">
        <v>1</v>
      </c>
      <c r="I63">
        <v>10</v>
      </c>
      <c r="J63">
        <v>52</v>
      </c>
      <c r="L63">
        <v>5.2</v>
      </c>
      <c r="M63">
        <v>4.5239999999999999E-4</v>
      </c>
      <c r="N63">
        <v>5.2</v>
      </c>
      <c r="O63">
        <v>4.5239999999999999E-4</v>
      </c>
      <c r="P63" s="1" t="s">
        <v>36</v>
      </c>
    </row>
    <row r="64" spans="1:16" x14ac:dyDescent="0.35">
      <c r="A64" t="s">
        <v>122</v>
      </c>
      <c r="B64" t="s">
        <v>94</v>
      </c>
      <c r="C64" t="s">
        <v>117</v>
      </c>
      <c r="D64" t="s">
        <v>19</v>
      </c>
      <c r="E64" t="s">
        <v>20</v>
      </c>
      <c r="F64" t="s">
        <v>96</v>
      </c>
      <c r="G64" t="s">
        <v>123</v>
      </c>
      <c r="H64" t="b">
        <v>0</v>
      </c>
      <c r="I64">
        <v>10</v>
      </c>
      <c r="J64">
        <v>34</v>
      </c>
      <c r="L64">
        <v>3.4</v>
      </c>
      <c r="M64">
        <v>9.5199999999999997E-5</v>
      </c>
      <c r="N64">
        <v>0</v>
      </c>
      <c r="O64">
        <v>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2.26953125" customWidth="1"/>
    <col min="4" max="4" width="14.81640625" customWidth="1"/>
    <col min="5" max="5" width="18.6328125" customWidth="1"/>
    <col min="6" max="6" width="14.453125" customWidth="1"/>
    <col min="7" max="7" width="22.26953125" customWidth="1"/>
    <col min="8" max="8" width="16.6328125" customWidth="1"/>
    <col min="9" max="9" width="20.7265625" customWidth="1"/>
    <col min="10" max="10" width="11.54296875" customWidth="1"/>
    <col min="11" max="11" width="20.81640625" customWidth="1"/>
    <col min="12" max="12" width="18.26953125" customWidth="1"/>
    <col min="13" max="13" width="21.45312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33</v>
      </c>
      <c r="B2" t="s">
        <v>17</v>
      </c>
      <c r="C2" t="s">
        <v>34</v>
      </c>
      <c r="D2" t="s">
        <v>19</v>
      </c>
      <c r="E2" t="s">
        <v>20</v>
      </c>
      <c r="F2" t="s">
        <v>21</v>
      </c>
      <c r="G2" t="s">
        <v>35</v>
      </c>
      <c r="H2" t="b">
        <v>1</v>
      </c>
      <c r="I2">
        <v>10</v>
      </c>
      <c r="J2">
        <v>24</v>
      </c>
      <c r="L2">
        <v>75.398333333333298</v>
      </c>
      <c r="M2">
        <v>1.4350564783333301E-2</v>
      </c>
      <c r="N2">
        <v>75.398333333333298</v>
      </c>
      <c r="O2">
        <v>1.4350564783333301E-2</v>
      </c>
      <c r="P2" s="1" t="s">
        <v>36</v>
      </c>
    </row>
    <row r="3" spans="1:16" ht="29" x14ac:dyDescent="0.35">
      <c r="A3" t="s">
        <v>92</v>
      </c>
      <c r="B3" t="s">
        <v>47</v>
      </c>
      <c r="C3" t="s">
        <v>88</v>
      </c>
      <c r="D3" t="s">
        <v>19</v>
      </c>
      <c r="E3" t="s">
        <v>20</v>
      </c>
      <c r="F3" t="s">
        <v>21</v>
      </c>
      <c r="G3" t="s">
        <v>35</v>
      </c>
      <c r="H3" t="b">
        <v>1</v>
      </c>
      <c r="I3">
        <v>10</v>
      </c>
      <c r="J3">
        <v>132</v>
      </c>
      <c r="L3">
        <v>414.69083333333299</v>
      </c>
      <c r="M3">
        <v>7.8928106308333301E-2</v>
      </c>
      <c r="N3">
        <v>414.69083333333299</v>
      </c>
      <c r="O3">
        <v>7.8928106308333301E-2</v>
      </c>
      <c r="P3" s="1" t="s">
        <v>36</v>
      </c>
    </row>
    <row r="4" spans="1:16" ht="29" x14ac:dyDescent="0.35">
      <c r="A4" t="s">
        <v>99</v>
      </c>
      <c r="B4" t="s">
        <v>94</v>
      </c>
      <c r="C4" t="s">
        <v>95</v>
      </c>
      <c r="D4" t="s">
        <v>19</v>
      </c>
      <c r="E4" t="s">
        <v>20</v>
      </c>
      <c r="F4" t="s">
        <v>96</v>
      </c>
      <c r="G4" t="s">
        <v>100</v>
      </c>
      <c r="H4" t="b">
        <v>1</v>
      </c>
      <c r="I4">
        <v>10</v>
      </c>
      <c r="J4">
        <v>21</v>
      </c>
      <c r="L4">
        <v>4.2</v>
      </c>
      <c r="M4">
        <v>3.6539999999999999E-4</v>
      </c>
      <c r="N4">
        <v>4.2</v>
      </c>
      <c r="O4">
        <v>3.6539999999999999E-4</v>
      </c>
      <c r="P4" s="1" t="s">
        <v>36</v>
      </c>
    </row>
    <row r="5" spans="1:16" ht="29" x14ac:dyDescent="0.35">
      <c r="A5" t="s">
        <v>109</v>
      </c>
      <c r="B5" t="s">
        <v>17</v>
      </c>
      <c r="C5" t="s">
        <v>108</v>
      </c>
      <c r="D5" t="s">
        <v>19</v>
      </c>
      <c r="E5" t="s">
        <v>20</v>
      </c>
      <c r="F5" t="s">
        <v>21</v>
      </c>
      <c r="G5" t="s">
        <v>110</v>
      </c>
      <c r="H5" t="b">
        <v>1</v>
      </c>
      <c r="I5">
        <v>10</v>
      </c>
      <c r="J5">
        <v>18</v>
      </c>
      <c r="L5">
        <v>56.548749999999998</v>
      </c>
      <c r="M5">
        <v>4.0601194655867203E-3</v>
      </c>
      <c r="N5">
        <v>56.548749999999998</v>
      </c>
      <c r="O5">
        <v>4.0601194655867203E-3</v>
      </c>
      <c r="P5" s="1" t="s">
        <v>36</v>
      </c>
    </row>
    <row r="6" spans="1:16" ht="29" x14ac:dyDescent="0.35">
      <c r="A6" t="s">
        <v>116</v>
      </c>
      <c r="B6" t="s">
        <v>94</v>
      </c>
      <c r="C6" t="s">
        <v>117</v>
      </c>
      <c r="D6" t="s">
        <v>19</v>
      </c>
      <c r="E6" t="s">
        <v>20</v>
      </c>
      <c r="F6" t="s">
        <v>96</v>
      </c>
      <c r="G6" t="s">
        <v>35</v>
      </c>
      <c r="H6" t="b">
        <v>1</v>
      </c>
      <c r="I6">
        <v>10</v>
      </c>
      <c r="J6">
        <v>42</v>
      </c>
      <c r="L6">
        <v>4.2</v>
      </c>
      <c r="M6">
        <v>7.9938600000000002E-4</v>
      </c>
      <c r="N6">
        <v>4.2</v>
      </c>
      <c r="O6">
        <v>7.9938600000000002E-4</v>
      </c>
      <c r="P6" s="1" t="s">
        <v>36</v>
      </c>
    </row>
    <row r="7" spans="1:16" ht="29" x14ac:dyDescent="0.35">
      <c r="A7" t="s">
        <v>121</v>
      </c>
      <c r="B7" t="s">
        <v>94</v>
      </c>
      <c r="C7" t="s">
        <v>117</v>
      </c>
      <c r="D7" t="s">
        <v>19</v>
      </c>
      <c r="E7" t="s">
        <v>20</v>
      </c>
      <c r="F7" t="s">
        <v>96</v>
      </c>
      <c r="G7" t="s">
        <v>100</v>
      </c>
      <c r="H7" t="b">
        <v>1</v>
      </c>
      <c r="I7">
        <v>10</v>
      </c>
      <c r="J7">
        <v>52</v>
      </c>
      <c r="L7">
        <v>5.2</v>
      </c>
      <c r="M7">
        <v>4.5239999999999999E-4</v>
      </c>
      <c r="N7">
        <v>5.2</v>
      </c>
      <c r="O7">
        <v>4.5239999999999999E-4</v>
      </c>
      <c r="P7" s="1" t="s">
        <v>36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tabSelected="1" workbookViewId="0">
      <selection activeCell="F15" sqref="F15"/>
    </sheetView>
  </sheetViews>
  <sheetFormatPr defaultRowHeight="14.5" x14ac:dyDescent="0.35"/>
  <cols>
    <col min="1" max="1" width="24" customWidth="1"/>
    <col min="2" max="2" width="32.08984375" customWidth="1"/>
    <col min="3" max="3" width="19.08984375" customWidth="1"/>
    <col min="4" max="4" width="25.453125" customWidth="1"/>
  </cols>
  <sheetData>
    <row r="1" spans="1:4" x14ac:dyDescent="0.35">
      <c r="A1" s="2" t="s">
        <v>124</v>
      </c>
      <c r="B1" s="2" t="s">
        <v>125</v>
      </c>
    </row>
    <row r="2" spans="1:4" x14ac:dyDescent="0.35">
      <c r="A2" s="3" t="s">
        <v>126</v>
      </c>
      <c r="B2" s="3" t="s">
        <v>126</v>
      </c>
    </row>
    <row r="3" spans="1:4" x14ac:dyDescent="0.35">
      <c r="A3" s="4" t="s">
        <v>127</v>
      </c>
      <c r="B3" s="4" t="s">
        <v>128</v>
      </c>
    </row>
    <row r="4" spans="1:4" x14ac:dyDescent="0.35">
      <c r="A4" s="5" t="s">
        <v>129</v>
      </c>
      <c r="B4" s="5" t="s">
        <v>130</v>
      </c>
    </row>
    <row r="8" spans="1:4" x14ac:dyDescent="0.35">
      <c r="C8" s="6" t="s">
        <v>144</v>
      </c>
      <c r="D8" s="6" t="s">
        <v>145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12</v>
      </c>
      <c r="D10" t="s">
        <v>14</v>
      </c>
    </row>
    <row r="11" spans="1:4" x14ac:dyDescent="0.35">
      <c r="A11" t="s">
        <v>17</v>
      </c>
      <c r="B11" t="s">
        <v>18</v>
      </c>
      <c r="C11" s="8">
        <v>3.2421834997805559</v>
      </c>
      <c r="D11" s="9">
        <v>3.2190110786694448</v>
      </c>
    </row>
    <row r="12" spans="1:4" x14ac:dyDescent="0.35">
      <c r="B12" t="s">
        <v>34</v>
      </c>
      <c r="C12" s="8">
        <v>1.8867068835152749</v>
      </c>
      <c r="D12" s="9">
        <v>1.8865937860152748</v>
      </c>
    </row>
    <row r="13" spans="1:4" x14ac:dyDescent="0.35">
      <c r="B13" t="s">
        <v>76</v>
      </c>
      <c r="C13" s="8">
        <v>0.62383519140138943</v>
      </c>
      <c r="D13" s="8">
        <v>0.56725848118611144</v>
      </c>
    </row>
    <row r="14" spans="1:4" x14ac:dyDescent="0.35">
      <c r="B14" t="s">
        <v>108</v>
      </c>
      <c r="C14" s="10">
        <v>0.21586559887669782</v>
      </c>
      <c r="D14" s="10">
        <v>0.21586559887669782</v>
      </c>
    </row>
    <row r="15" spans="1:4" x14ac:dyDescent="0.35">
      <c r="B15" t="s">
        <v>113</v>
      </c>
      <c r="C15" s="10">
        <v>7.0802E-3</v>
      </c>
      <c r="D15" s="10">
        <v>7.0802E-3</v>
      </c>
    </row>
    <row r="16" spans="1:4" x14ac:dyDescent="0.35">
      <c r="A16" t="s">
        <v>47</v>
      </c>
      <c r="B16" t="s">
        <v>48</v>
      </c>
      <c r="C16" s="8">
        <v>7.9093451837399904</v>
      </c>
      <c r="D16" s="9">
        <v>7.9093451837399904</v>
      </c>
    </row>
    <row r="17" spans="1:4" x14ac:dyDescent="0.35">
      <c r="B17" t="s">
        <v>50</v>
      </c>
      <c r="C17" s="8">
        <v>1.2634999173104164</v>
      </c>
      <c r="D17" s="8">
        <v>1.2634999173104164</v>
      </c>
    </row>
    <row r="18" spans="1:4" x14ac:dyDescent="0.35">
      <c r="B18" t="s">
        <v>83</v>
      </c>
      <c r="C18" s="8">
        <v>1.1292482210868058</v>
      </c>
      <c r="D18" s="8">
        <v>1.1291351235868057</v>
      </c>
    </row>
    <row r="19" spans="1:4" x14ac:dyDescent="0.35">
      <c r="B19" t="s">
        <v>88</v>
      </c>
      <c r="C19" s="8">
        <v>1.8597410842894448</v>
      </c>
      <c r="D19" s="9">
        <v>1.8597410842894448</v>
      </c>
    </row>
    <row r="20" spans="1:4" x14ac:dyDescent="0.35">
      <c r="A20" t="s">
        <v>57</v>
      </c>
      <c r="B20" t="s">
        <v>58</v>
      </c>
      <c r="C20" s="8">
        <v>0.81989002181111104</v>
      </c>
      <c r="D20" s="8">
        <v>0.78297436949166654</v>
      </c>
    </row>
    <row r="21" spans="1:4" x14ac:dyDescent="0.35">
      <c r="A21" t="s">
        <v>66</v>
      </c>
      <c r="B21" t="s">
        <v>67</v>
      </c>
      <c r="C21" s="9">
        <v>29.949633558469333</v>
      </c>
      <c r="D21" s="9">
        <v>29.949633558469333</v>
      </c>
    </row>
    <row r="22" spans="1:4" x14ac:dyDescent="0.35">
      <c r="A22" t="s">
        <v>94</v>
      </c>
      <c r="B22" t="s">
        <v>95</v>
      </c>
      <c r="C22" s="10">
        <v>2.3397710000000002E-2</v>
      </c>
      <c r="D22" s="10">
        <v>2.2853660000000001E-2</v>
      </c>
    </row>
    <row r="23" spans="1:4" x14ac:dyDescent="0.35">
      <c r="B23" t="s">
        <v>117</v>
      </c>
      <c r="C23" s="10">
        <v>1.0726886000000001E-2</v>
      </c>
      <c r="D23" s="10">
        <v>1.0631686000000001E-2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>
      <selection activeCell="D19" sqref="D19"/>
    </sheetView>
  </sheetViews>
  <sheetFormatPr defaultRowHeight="14.5" x14ac:dyDescent="0.35"/>
  <cols>
    <col min="1" max="1" width="24.6328125" customWidth="1"/>
    <col min="2" max="2" width="33.7265625" customWidth="1"/>
    <col min="3" max="3" width="31.36328125" customWidth="1"/>
    <col min="4" max="4" width="29.54296875" customWidth="1"/>
  </cols>
  <sheetData>
    <row r="1" spans="1:4" x14ac:dyDescent="0.35">
      <c r="A1" s="2" t="s">
        <v>131</v>
      </c>
      <c r="B1" s="2" t="s">
        <v>132</v>
      </c>
      <c r="C1" s="2" t="s">
        <v>133</v>
      </c>
      <c r="D1" s="2" t="s">
        <v>134</v>
      </c>
    </row>
    <row r="2" spans="1:4" x14ac:dyDescent="0.35">
      <c r="A2" s="3" t="s">
        <v>135</v>
      </c>
      <c r="B2" s="3" t="s">
        <v>135</v>
      </c>
      <c r="C2" s="3" t="s">
        <v>135</v>
      </c>
      <c r="D2" s="3" t="s">
        <v>135</v>
      </c>
    </row>
    <row r="3" spans="1:4" x14ac:dyDescent="0.35">
      <c r="A3" s="4" t="s">
        <v>136</v>
      </c>
      <c r="B3" s="4" t="s">
        <v>137</v>
      </c>
      <c r="C3" s="4" t="s">
        <v>138</v>
      </c>
      <c r="D3" s="4" t="s">
        <v>139</v>
      </c>
    </row>
    <row r="4" spans="1:4" x14ac:dyDescent="0.35">
      <c r="A4" s="5" t="s">
        <v>140</v>
      </c>
      <c r="B4" s="5" t="s">
        <v>141</v>
      </c>
      <c r="C4" s="5" t="s">
        <v>142</v>
      </c>
      <c r="D4" s="5" t="s">
        <v>143</v>
      </c>
    </row>
    <row r="8" spans="1:4" x14ac:dyDescent="0.35">
      <c r="A8" s="6" t="s">
        <v>11</v>
      </c>
      <c r="C8" s="6" t="s">
        <v>144</v>
      </c>
      <c r="D8" s="6" t="s">
        <v>15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36</v>
      </c>
    </row>
    <row r="11" spans="1:4" x14ac:dyDescent="0.35">
      <c r="A11" t="s">
        <v>17</v>
      </c>
      <c r="B11" t="s">
        <v>34</v>
      </c>
      <c r="C11" s="11">
        <v>75.398333333333298</v>
      </c>
      <c r="D11" s="7"/>
    </row>
    <row r="12" spans="1:4" x14ac:dyDescent="0.35">
      <c r="B12" t="s">
        <v>108</v>
      </c>
      <c r="C12" s="11">
        <v>56.548749999999998</v>
      </c>
      <c r="D12" s="7"/>
    </row>
    <row r="13" spans="1:4" x14ac:dyDescent="0.35">
      <c r="A13" t="s">
        <v>47</v>
      </c>
      <c r="B13" t="s">
        <v>88</v>
      </c>
      <c r="C13" s="11">
        <v>414.69083333333299</v>
      </c>
      <c r="D13" s="7"/>
    </row>
    <row r="14" spans="1:4" x14ac:dyDescent="0.35">
      <c r="A14" t="s">
        <v>94</v>
      </c>
      <c r="B14" t="s">
        <v>95</v>
      </c>
      <c r="C14" s="11">
        <v>4.2</v>
      </c>
      <c r="D14" s="7"/>
    </row>
    <row r="15" spans="1:4" x14ac:dyDescent="0.35">
      <c r="B15" t="s">
        <v>117</v>
      </c>
      <c r="C15" s="11">
        <v>9.4</v>
      </c>
      <c r="D15" s="7"/>
    </row>
    <row r="30" spans="1:1" x14ac:dyDescent="0.35">
      <c r="A30" s="2" t="s">
        <v>124</v>
      </c>
    </row>
    <row r="31" spans="1:1" x14ac:dyDescent="0.35">
      <c r="A31" s="3" t="s">
        <v>126</v>
      </c>
    </row>
    <row r="32" spans="1:1" x14ac:dyDescent="0.35">
      <c r="A32" s="4" t="s">
        <v>127</v>
      </c>
    </row>
    <row r="33" spans="1:3" x14ac:dyDescent="0.35">
      <c r="A33" s="5" t="s">
        <v>129</v>
      </c>
    </row>
    <row r="37" spans="1:3" x14ac:dyDescent="0.35">
      <c r="A37" s="6" t="s">
        <v>12</v>
      </c>
      <c r="C37" s="6" t="s">
        <v>144</v>
      </c>
    </row>
    <row r="38" spans="1:3" x14ac:dyDescent="0.35">
      <c r="A38" s="6" t="s">
        <v>1</v>
      </c>
      <c r="B38" s="6" t="s">
        <v>2</v>
      </c>
      <c r="C38" t="s">
        <v>19</v>
      </c>
    </row>
    <row r="39" spans="1:3" x14ac:dyDescent="0.35">
      <c r="A39" t="s">
        <v>17</v>
      </c>
      <c r="B39" t="s">
        <v>18</v>
      </c>
      <c r="C39">
        <v>3.2421834997805559</v>
      </c>
    </row>
    <row r="40" spans="1:3" x14ac:dyDescent="0.35">
      <c r="B40" t="s">
        <v>34</v>
      </c>
      <c r="C40">
        <v>1.8867068835152749</v>
      </c>
    </row>
    <row r="41" spans="1:3" x14ac:dyDescent="0.35">
      <c r="B41" t="s">
        <v>76</v>
      </c>
      <c r="C41">
        <v>0.62383519140138943</v>
      </c>
    </row>
    <row r="42" spans="1:3" x14ac:dyDescent="0.35">
      <c r="B42" t="s">
        <v>108</v>
      </c>
      <c r="C42">
        <v>0.21586559887669782</v>
      </c>
    </row>
    <row r="43" spans="1:3" x14ac:dyDescent="0.35">
      <c r="B43" t="s">
        <v>113</v>
      </c>
      <c r="C43">
        <v>7.0802E-3</v>
      </c>
    </row>
    <row r="44" spans="1:3" x14ac:dyDescent="0.35">
      <c r="A44" t="s">
        <v>47</v>
      </c>
      <c r="B44" t="s">
        <v>48</v>
      </c>
      <c r="C44">
        <v>7.9093451837399904</v>
      </c>
    </row>
    <row r="45" spans="1:3" x14ac:dyDescent="0.35">
      <c r="B45" t="s">
        <v>50</v>
      </c>
      <c r="C45">
        <v>1.2634999173104164</v>
      </c>
    </row>
    <row r="46" spans="1:3" x14ac:dyDescent="0.35">
      <c r="B46" t="s">
        <v>83</v>
      </c>
      <c r="C46">
        <v>1.1292482210868058</v>
      </c>
    </row>
    <row r="47" spans="1:3" x14ac:dyDescent="0.35">
      <c r="B47" t="s">
        <v>88</v>
      </c>
      <c r="C47">
        <v>1.8597410842894448</v>
      </c>
    </row>
    <row r="48" spans="1:3" x14ac:dyDescent="0.35">
      <c r="A48" t="s">
        <v>57</v>
      </c>
      <c r="B48" t="s">
        <v>58</v>
      </c>
      <c r="C48">
        <v>0.81989002181111104</v>
      </c>
    </row>
    <row r="49" spans="1:3" x14ac:dyDescent="0.35">
      <c r="A49" t="s">
        <v>66</v>
      </c>
      <c r="B49" t="s">
        <v>67</v>
      </c>
      <c r="C49">
        <v>29.949633558469333</v>
      </c>
    </row>
    <row r="50" spans="1:3" x14ac:dyDescent="0.35">
      <c r="A50" t="s">
        <v>94</v>
      </c>
      <c r="B50" t="s">
        <v>95</v>
      </c>
      <c r="C50">
        <v>2.3397710000000002E-2</v>
      </c>
    </row>
    <row r="51" spans="1:3" x14ac:dyDescent="0.35">
      <c r="B51" t="s">
        <v>117</v>
      </c>
      <c r="C51">
        <v>1.0726886000000001E-2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Sutherland</dc:creator>
  <cp:lastModifiedBy>Amber Sutherland</cp:lastModifiedBy>
  <dcterms:created xsi:type="dcterms:W3CDTF">2025-12-17T01:45:41Z</dcterms:created>
  <dcterms:modified xsi:type="dcterms:W3CDTF">2025-12-17T20:39:11Z</dcterms:modified>
</cp:coreProperties>
</file>