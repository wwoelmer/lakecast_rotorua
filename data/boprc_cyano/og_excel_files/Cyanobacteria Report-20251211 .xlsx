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oprc-my.sharepoint.com/personal/amber_sutherland_boprc_govt_nz/Documents/Desktop/Amber Sutherland 2025-2026/Cyanobacteria weekly results 2025-2026/"/>
    </mc:Choice>
  </mc:AlternateContent>
  <xr:revisionPtr revIDLastSave="0" documentId="8_{A47C98D3-CE77-4D19-8DAE-658456872418}" xr6:coauthVersionLast="47" xr6:coauthVersionMax="47" xr10:uidLastSave="{00000000-0000-0000-0000-000000000000}"/>
  <bookViews>
    <workbookView xWindow="-38510" yWindow="-110" windowWidth="19420" windowHeight="11500" activeTab="2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8" r:id="rId5"/>
    <pivotCache cacheId="15" r:id="rId6"/>
    <pivotCache cacheId="21" r:id="rId7"/>
  </pivotCaches>
</workbook>
</file>

<file path=xl/sharedStrings.xml><?xml version="1.0" encoding="utf-8"?>
<sst xmlns="http://schemas.openxmlformats.org/spreadsheetml/2006/main" count="553" uniqueCount="136">
  <si>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</si>
  <si>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</si>
  <si>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</si>
  <si>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</si>
  <si>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</si>
  <si>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</si>
  <si>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</si>
  <si>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</si>
  <si>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</si>
  <si>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</si>
  <si>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</si>
  <si>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</si>
  <si>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</si>
  <si>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</si>
  <si>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</si>
  <si>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</si>
  <si>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5759.1</t>
  </si>
  <si>
    <t>Rotoiti</t>
  </si>
  <si>
    <t>Okere Arm</t>
  </si>
  <si>
    <t>08/12/2025</t>
  </si>
  <si>
    <t>20A</t>
  </si>
  <si>
    <t>160</t>
  </si>
  <si>
    <t>Dolichospermum circinale</t>
  </si>
  <si>
    <t>5759.2</t>
  </si>
  <si>
    <t>Dolichospermum planctonicum </t>
  </si>
  <si>
    <t>5759.3</t>
  </si>
  <si>
    <t>Dolichospermum lemmermannii</t>
  </si>
  <si>
    <t>5759.4</t>
  </si>
  <si>
    <t>Dolichospermum spiroides</t>
  </si>
  <si>
    <t>5760.1</t>
  </si>
  <si>
    <t>Okawa Bay</t>
  </si>
  <si>
    <t>5760.2</t>
  </si>
  <si>
    <t>5760.3</t>
  </si>
  <si>
    <t>Woronichinia naegeliana</t>
  </si>
  <si>
    <t>5761.1</t>
  </si>
  <si>
    <t>Rotorua</t>
  </si>
  <si>
    <t>Ngongotaha</t>
  </si>
  <si>
    <t>Pseudanabaena limnetica (cylinder)</t>
  </si>
  <si>
    <t>5761.2</t>
  </si>
  <si>
    <t>5761.3</t>
  </si>
  <si>
    <t>Pseudanabaena galeata (cylinder)</t>
  </si>
  <si>
    <t>5761.4</t>
  </si>
  <si>
    <t>Aphanocapsa sp</t>
  </si>
  <si>
    <t>5761.5</t>
  </si>
  <si>
    <t>5761.6</t>
  </si>
  <si>
    <t>5762.1</t>
  </si>
  <si>
    <t>Ohau Channel</t>
  </si>
  <si>
    <t>5762.2</t>
  </si>
  <si>
    <t>5762.3</t>
  </si>
  <si>
    <t>Phormidium sp</t>
  </si>
  <si>
    <t>5762.4</t>
  </si>
  <si>
    <t>5762.5</t>
  </si>
  <si>
    <t>5763.1</t>
  </si>
  <si>
    <t>Holdens Bay</t>
  </si>
  <si>
    <t>5763.2</t>
  </si>
  <si>
    <t>5763.3</t>
  </si>
  <si>
    <t>5763.4</t>
  </si>
  <si>
    <t>5764.1</t>
  </si>
  <si>
    <t>Kaituna</t>
  </si>
  <si>
    <t>Trout Pool</t>
  </si>
  <si>
    <t>5764.2</t>
  </si>
  <si>
    <t>5764.3</t>
  </si>
  <si>
    <t>5764.4</t>
  </si>
  <si>
    <t>5764.5</t>
  </si>
  <si>
    <t>5765.1</t>
  </si>
  <si>
    <t>Hamurana</t>
  </si>
  <si>
    <t>5765.2</t>
  </si>
  <si>
    <t>5765.3</t>
  </si>
  <si>
    <t>5766.1</t>
  </si>
  <si>
    <t>Lake Okaro</t>
  </si>
  <si>
    <t>Boat ramp</t>
  </si>
  <si>
    <t>20</t>
  </si>
  <si>
    <t>5766.2</t>
  </si>
  <si>
    <t>5766.3</t>
  </si>
  <si>
    <t>5766.4</t>
  </si>
  <si>
    <t>5766.5</t>
  </si>
  <si>
    <t>5766.6</t>
  </si>
  <si>
    <t>5767.1</t>
  </si>
  <si>
    <t>Rotoehu</t>
  </si>
  <si>
    <t>Kennedy Bay</t>
  </si>
  <si>
    <t>Whole Plate</t>
  </si>
  <si>
    <t>5767.2</t>
  </si>
  <si>
    <t>Pseudanabaena sp.</t>
  </si>
  <si>
    <t>5767.3</t>
  </si>
  <si>
    <t>5767.4</t>
  </si>
  <si>
    <t>Dolichospermum sp</t>
  </si>
  <si>
    <t>5767.5</t>
  </si>
  <si>
    <t>5768.1</t>
  </si>
  <si>
    <t>Otautu</t>
  </si>
  <si>
    <t>5768.2</t>
  </si>
  <si>
    <t>5768.3</t>
  </si>
  <si>
    <t>5768.4</t>
  </si>
  <si>
    <t>5769.1</t>
  </si>
  <si>
    <t>Hinehopu</t>
  </si>
  <si>
    <t>5769.2</t>
  </si>
  <si>
    <t>5769.3</t>
  </si>
  <si>
    <t>5769.4</t>
  </si>
  <si>
    <t>5769.5</t>
  </si>
  <si>
    <t>5769.6</t>
  </si>
  <si>
    <t xml:space="preserve">Limnococcus limneticus
</t>
  </si>
  <si>
    <t>5769.7</t>
  </si>
  <si>
    <t>Microcystis sp</t>
  </si>
  <si>
    <t xml:space="preserve">Microcystis spp.
</t>
  </si>
  <si>
    <t>5770.1</t>
  </si>
  <si>
    <t>Otaramarae</t>
  </si>
  <si>
    <t>5770.2</t>
  </si>
  <si>
    <t>5770.3</t>
  </si>
  <si>
    <t>5770.4</t>
  </si>
  <si>
    <t>5770.5</t>
  </si>
  <si>
    <t>5771.1</t>
  </si>
  <si>
    <t>Te Weta</t>
  </si>
  <si>
    <t>5771.2</t>
  </si>
  <si>
    <t>5771.3</t>
  </si>
  <si>
    <t>5771.4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</si>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</sst>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99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0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  <xf numFmtId="171" fontId="0" fillId="8" borderId="0" xfId="0" applyNumberFormat="1" applyFill="1" applyAlignment="1" applyProtection="1">
      <alignment vertical="center"/>
    </xf>
    <xf numFmtId="171" fontId="0" fillId="7" borderId="0" xfId="0" applyNumberFormat="1" applyFill="1" applyAlignment="1" applyProtection="1">
      <alignment vertical="center"/>
    </xf>
    <xf numFmtId="171" fontId="0" fillId="6" borderId="0" xfId="0" applyNumberFormat="1" applyFill="1" applyAlignment="1" applyProtection="1">
      <alignment vertical="center"/>
    </xf>
  </cellXfs>
  <cellStyles count="1">
    <cellStyle name="Normal" xfId="0" builtinId="0"/>
  </cellStyles>
  <dxfs count="25">
    <dxf>
      <alignment vertical="center"/>
    </dxf>
    <dxf>
      <numFmt numFmtId="170" formatCode="0.0000"/>
    </dxf>
    <dxf>
      <numFmt numFmtId="171" formatCode="0.000"/>
    </dxf>
    <dxf>
      <numFmt numFmtId="169" formatCode="0.00000"/>
    </dxf>
    <dxf>
      <numFmt numFmtId="168" formatCode="0.000000"/>
    </dxf>
    <dxf>
      <numFmt numFmtId="167" formatCode="0.0000000"/>
    </dxf>
    <dxf>
      <numFmt numFmtId="166" formatCode="0.00000000"/>
    </dxf>
    <dxf>
      <numFmt numFmtId="165" formatCode="0.000000000"/>
    </dxf>
    <dxf>
      <numFmt numFmtId="164" formatCode="0.0000000000"/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9FF33"/>
        </patternFill>
      </fill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02.468607407405" refreshedVersion="8" recordCount="61" xr:uid="{00000000-000A-0000-FFFF-FFFF02000000}">
  <cacheSource type="worksheet">
    <worksheetSource ref="A1:P62" sheet="Lakes Data"/>
  </cacheSource>
  <cacheFields count="16">
    <cacheField name="SampleId" numFmtId="0">
      <sharedItems/>
    </cacheField>
    <cacheField name="Location" numFmtId="0">
      <sharedItems count="5">
        <s v="Rotoiti"/>
        <s v="Rotorua"/>
        <s v="Kaituna"/>
        <s v="Lake Okaro"/>
        <s v="Rotoehu"/>
      </sharedItems>
    </cacheField>
    <cacheField name="Site" numFmtId="0">
      <sharedItems count="13">
        <s v="Okere Arm"/>
        <s v="Okawa Bay"/>
        <s v="Ngongotaha"/>
        <s v="Ohau Channel"/>
        <s v="Holdens Bay"/>
        <s v="Trout Pool"/>
        <s v="Hamurana"/>
        <s v="Boat ramp"/>
        <s v="Kennedy Bay"/>
        <s v="Otautu"/>
        <s v="Hinehopu"/>
        <s v="Otaramarae"/>
        <s v="Te Weta"/>
      </sharedItems>
    </cacheField>
    <cacheField name="SampleDate" numFmtId="0">
      <sharedItems count="1">
        <s v="08/12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4" maxValue="300"/>
    </cacheField>
    <cacheField name="NumberOfColonies" numFmtId="0">
      <sharedItems containsString="0" containsBlank="1" containsNumber="1" containsInteger="1" minValue="5" maxValue="280"/>
    </cacheField>
    <cacheField name="CellsPerMl" numFmtId="0">
      <sharedItems containsSemiMixedTypes="0" containsString="0" containsNumber="1" minValue="0.6" maxValue="44177.140138888899"/>
    </cacheField>
    <cacheField name="TotalBioVolume" numFmtId="0">
      <sharedItems containsSemiMixedTypes="0" containsString="0" containsNumber="1" minValue="0" maxValue="25.430128949549999"/>
    </cacheField>
    <cacheField name="PotentiallyToxicCellMl" numFmtId="0">
      <sharedItems containsSemiMixedTypes="0" containsString="0" containsNumber="1" minValue="0" maxValue="44177.140138888899"/>
    </cacheField>
    <cacheField name="PotentiallyToxicBioVolume" numFmtId="0">
      <sharedItems containsSemiMixedTypes="0" containsString="0" containsNumber="1" minValue="0" maxValue="25.430128949549999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02.468607523151" refreshedVersion="8" recordCount="1" xr:uid="{00000000-000A-0000-FFFF-FFFF01000000}">
  <cacheSource type="worksheet">
    <worksheetSource ref="A1:P2" sheet="Toxin Data"/>
  </cacheSource>
  <cacheFields count="16">
    <cacheField name="SampleId" numFmtId="0">
      <sharedItems/>
    </cacheField>
    <cacheField name="Location" numFmtId="0">
      <sharedItems count="1">
        <s v="Rotoiti"/>
      </sharedItems>
    </cacheField>
    <cacheField name="Site" numFmtId="0">
      <sharedItems count="1">
        <s v="Hinehopu"/>
      </sharedItems>
    </cacheField>
    <cacheField name="SampleDate" numFmtId="0">
      <sharedItems count="1">
        <s v="08/12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containsInteger="1" minValue="6" maxValue="6"/>
    </cacheField>
    <cacheField name="NumberOfColonies" numFmtId="0">
      <sharedItems containsNonDate="0" containsString="0" containsBlank="1"/>
    </cacheField>
    <cacheField name="CellsPerMl" numFmtId="0">
      <sharedItems containsSemiMixedTypes="0" containsString="0" containsNumber="1" minValue="0.6" maxValue="0.6"/>
    </cacheField>
    <cacheField name="TotalBioVolume" numFmtId="0">
      <sharedItems containsSemiMixedTypes="0" containsString="0" containsNumber="1" minValue="4.3079142852000003E-5" maxValue="4.3079142852000003E-5"/>
    </cacheField>
    <cacheField name="PotentiallyToxicCellMl" numFmtId="0">
      <sharedItems containsSemiMixedTypes="0" containsString="0" containsNumber="1" minValue="0.6" maxValue="0.6"/>
    </cacheField>
    <cacheField name="PotentiallyToxicBioVolume" numFmtId="0">
      <sharedItems containsSemiMixedTypes="0" containsString="0" containsNumber="1" minValue="4.3079142852000003E-5" maxValue="4.3079142852000003E-5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02.468607523151" refreshedVersion="8" recordCount="61" xr:uid="{00000000-000A-0000-FFFF-FFFF00000000}">
  <cacheSource type="worksheet">
    <worksheetSource ref="A1:P62" sheet="Lakes Data"/>
  </cacheSource>
  <cacheFields count="16">
    <cacheField name="SampleId" numFmtId="0">
      <sharedItems/>
    </cacheField>
    <cacheField name="Location" numFmtId="0">
      <sharedItems count="5">
        <s v="Rotoiti"/>
        <s v="Rotorua"/>
        <s v="Kaituna"/>
        <s v="Lake Okaro"/>
        <s v="Rotoehu"/>
      </sharedItems>
    </cacheField>
    <cacheField name="Site" numFmtId="0">
      <sharedItems count="13">
        <s v="Okere Arm"/>
        <s v="Okawa Bay"/>
        <s v="Ngongotaha"/>
        <s v="Ohau Channel"/>
        <s v="Holdens Bay"/>
        <s v="Trout Pool"/>
        <s v="Hamurana"/>
        <s v="Boat ramp"/>
        <s v="Kennedy Bay"/>
        <s v="Otautu"/>
        <s v="Hinehopu"/>
        <s v="Otaramarae"/>
        <s v="Te Weta"/>
      </sharedItems>
    </cacheField>
    <cacheField name="SampleDate" numFmtId="0">
      <sharedItems count="1">
        <s v="08/12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4" maxValue="300"/>
    </cacheField>
    <cacheField name="NumberOfColonies" numFmtId="0">
      <sharedItems containsString="0" containsBlank="1" containsNumber="1" containsInteger="1" minValue="5" maxValue="280"/>
    </cacheField>
    <cacheField name="CellsPerMl" numFmtId="0">
      <sharedItems containsSemiMixedTypes="0" containsString="0" containsNumber="1" minValue="0.6" maxValue="44177.140138888899"/>
    </cacheField>
    <cacheField name="TotalBioVolume" numFmtId="0">
      <sharedItems containsSemiMixedTypes="0" containsString="0" containsNumber="1" minValue="0" maxValue="25.430128949549999"/>
    </cacheField>
    <cacheField name="PotentiallyToxicCellMl" numFmtId="0">
      <sharedItems containsSemiMixedTypes="0" containsString="0" containsNumber="1" minValue="0" maxValue="44177.140138888899"/>
    </cacheField>
    <cacheField name="PotentiallyToxicBioVolume" numFmtId="0">
      <sharedItems containsSemiMixedTypes="0" containsString="0" containsNumber="1" minValue="0" maxValue="25.430128949549999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5759.1"/>
    <x v="0"/>
    <x v="0"/>
    <x v="0"/>
    <s v="20A"/>
    <s v="160"/>
    <s v="Dolichospermum circinale"/>
    <b v="1"/>
    <n v="10"/>
    <n v="24.85"/>
    <n v="15"/>
    <n v="2732.40418402778"/>
    <n v="1.57288114449375"/>
    <n v="2732.40418402778"/>
    <n v="1.57288114449375"/>
    <m/>
  </r>
  <r>
    <s v="5759.2"/>
    <x v="0"/>
    <x v="0"/>
    <x v="0"/>
    <s v="20A"/>
    <s v="160"/>
    <s v="Dolichospermum planctonicum "/>
    <b v="1"/>
    <n v="10"/>
    <n v="38"/>
    <m/>
    <n v="238.761388888889"/>
    <n v="8.8341713888888895E-2"/>
    <n v="238.761388888889"/>
    <n v="8.8341713888888895E-2"/>
    <m/>
  </r>
  <r>
    <s v="5759.3"/>
    <x v="0"/>
    <x v="0"/>
    <x v="0"/>
    <s v="20A"/>
    <s v="160"/>
    <s v="Dolichospermum lemmermannii"/>
    <b v="1"/>
    <n v="10"/>
    <n v="38.428571428571402"/>
    <m/>
    <n v="1690.1793055555599"/>
    <n v="0.185919723611112"/>
    <n v="1690.1793055555599"/>
    <n v="0.185919723611112"/>
    <m/>
  </r>
  <r>
    <s v="5759.4"/>
    <x v="0"/>
    <x v="0"/>
    <x v="0"/>
    <s v="20A"/>
    <s v="160"/>
    <s v="Dolichospermum spiroides"/>
    <b v="1"/>
    <n v="10"/>
    <n v="41.714285714285701"/>
    <m/>
    <n v="917.34638888888901"/>
    <n v="0.238510061111111"/>
    <n v="917.34638888888901"/>
    <n v="0.238510061111111"/>
    <m/>
  </r>
  <r>
    <s v="5760.1"/>
    <x v="0"/>
    <x v="1"/>
    <x v="0"/>
    <s v="20A"/>
    <s v="160"/>
    <s v="Dolichospermum circinale"/>
    <b v="1"/>
    <n v="10"/>
    <n v="18"/>
    <m/>
    <n v="56.548749999999998"/>
    <n v="3.2551722450000001E-2"/>
    <n v="56.548749999999998"/>
    <n v="3.2551722450000001E-2"/>
    <m/>
  </r>
  <r>
    <s v="5760.2"/>
    <x v="0"/>
    <x v="1"/>
    <x v="0"/>
    <s v="20A"/>
    <s v="160"/>
    <s v="Dolichospermum lemmermannii"/>
    <b v="1"/>
    <n v="10"/>
    <n v="23.1"/>
    <n v="26"/>
    <n v="3338.2612083333302"/>
    <n v="0.367208732916666"/>
    <n v="3338.2612083333302"/>
    <n v="0.367208732916666"/>
    <m/>
  </r>
  <r>
    <s v="5760.3"/>
    <x v="0"/>
    <x v="1"/>
    <x v="0"/>
    <s v="20A"/>
    <s v="160"/>
    <s v="Woronichinia naegeliana"/>
    <b v="1"/>
    <n v="10"/>
    <n v="300"/>
    <m/>
    <n v="942.47916666666697"/>
    <n v="0"/>
    <n v="942.47916666666595"/>
    <n v="0"/>
    <m/>
  </r>
  <r>
    <s v="5761.1"/>
    <x v="1"/>
    <x v="2"/>
    <x v="0"/>
    <s v="20A"/>
    <s v="160"/>
    <s v="Pseudanabaena limnetica (cylinder)"/>
    <b v="1"/>
    <n v="10"/>
    <n v="11.75"/>
    <m/>
    <n v="590.62027777777803"/>
    <n v="4.66590019444445E-2"/>
    <n v="590.62027777777803"/>
    <n v="4.66590019444445E-2"/>
    <m/>
  </r>
  <r>
    <s v="5761.2"/>
    <x v="1"/>
    <x v="2"/>
    <x v="0"/>
    <s v="20A"/>
    <s v="160"/>
    <s v="Dolichospermum circinale"/>
    <b v="1"/>
    <n v="10"/>
    <n v="27.45"/>
    <n v="84"/>
    <n v="8968.6317500000005"/>
    <n v="5.1627031805700003"/>
    <n v="8968.6317500000005"/>
    <n v="5.1627031805700003"/>
    <m/>
  </r>
  <r>
    <s v="5761.3"/>
    <x v="1"/>
    <x v="2"/>
    <x v="0"/>
    <s v="20A"/>
    <s v="160"/>
    <s v="Pseudanabaena galeata (cylinder)"/>
    <b v="1"/>
    <n v="10"/>
    <n v="7.6666666666666696"/>
    <m/>
    <n v="144.51347222222199"/>
    <n v="8.6708083333333196E-3"/>
    <n v="144.51347222222199"/>
    <n v="8.6708083333333196E-3"/>
    <m/>
  </r>
  <r>
    <s v="5761.4"/>
    <x v="1"/>
    <x v="2"/>
    <x v="0"/>
    <s v="20A"/>
    <s v="160"/>
    <s v="Aphanocapsa sp"/>
    <b v="0"/>
    <n v="10"/>
    <n v="18"/>
    <m/>
    <n v="56.548749999999998"/>
    <n v="1.2723468750000001E-4"/>
    <n v="0"/>
    <n v="0"/>
    <m/>
  </r>
  <r>
    <s v="5761.5"/>
    <x v="1"/>
    <x v="2"/>
    <x v="0"/>
    <s v="20A"/>
    <s v="160"/>
    <s v="Dolichospermum spiroides"/>
    <b v="1"/>
    <n v="10"/>
    <n v="25"/>
    <m/>
    <n v="78.5399305555555"/>
    <n v="2.04203819444445E-2"/>
    <n v="78.5399305555556"/>
    <n v="2.04203819444445E-2"/>
    <m/>
  </r>
  <r>
    <s v="5761.6"/>
    <x v="1"/>
    <x v="2"/>
    <x v="0"/>
    <s v="20A"/>
    <s v="160"/>
    <s v="Dolichospermum planctonicum "/>
    <b v="1"/>
    <n v="10"/>
    <n v="20"/>
    <m/>
    <n v="62.831944444444403"/>
    <n v="2.3247819444444401E-2"/>
    <n v="62.831944444444403"/>
    <n v="2.3247819444444401E-2"/>
    <m/>
  </r>
  <r>
    <s v="5762.1"/>
    <x v="1"/>
    <x v="3"/>
    <x v="0"/>
    <s v="20A"/>
    <s v="160"/>
    <s v="Dolichospermum circinale"/>
    <b v="1"/>
    <n v="10"/>
    <n v="37.9"/>
    <n v="135"/>
    <n v="18455.312881944399"/>
    <n v="10.6236163073625"/>
    <n v="18455.312881944399"/>
    <n v="10.6236163073625"/>
    <m/>
  </r>
  <r>
    <s v="5762.2"/>
    <x v="1"/>
    <x v="3"/>
    <x v="0"/>
    <s v="20A"/>
    <s v="160"/>
    <s v="Dolichospermum planctonicum "/>
    <b v="1"/>
    <n v="10"/>
    <n v="20.5"/>
    <m/>
    <n v="128.80548611111101"/>
    <n v="4.7658029861111097E-2"/>
    <n v="128.80548611111101"/>
    <n v="4.7658029861111097E-2"/>
    <m/>
  </r>
  <r>
    <s v="5762.3"/>
    <x v="1"/>
    <x v="3"/>
    <x v="0"/>
    <s v="20A"/>
    <s v="160"/>
    <s v="Phormidium sp"/>
    <b v="1"/>
    <n v="10"/>
    <n v="14"/>
    <m/>
    <n v="43.982361111111103"/>
    <n v="4.1053135861111104E-3"/>
    <n v="43.982361111111103"/>
    <n v="4.1053135861111104E-3"/>
    <m/>
  </r>
  <r>
    <s v="5762.4"/>
    <x v="1"/>
    <x v="3"/>
    <x v="0"/>
    <s v="20A"/>
    <s v="160"/>
    <s v="Dolichospermum spiroides"/>
    <b v="1"/>
    <n v="10"/>
    <n v="30.6666666666667"/>
    <m/>
    <n v="289.02694444444398"/>
    <n v="7.5147005555555396E-2"/>
    <n v="289.02694444444398"/>
    <n v="7.5147005555555396E-2"/>
    <m/>
  </r>
  <r>
    <s v="5762.5"/>
    <x v="1"/>
    <x v="3"/>
    <x v="0"/>
    <s v="20A"/>
    <s v="160"/>
    <s v="Pseudanabaena galeata (cylinder)"/>
    <b v="1"/>
    <n v="10"/>
    <n v="6"/>
    <m/>
    <n v="18.8495833333333"/>
    <n v="1.130975E-3"/>
    <n v="18.8495833333333"/>
    <n v="1.130975E-3"/>
    <m/>
  </r>
  <r>
    <s v="5763.1"/>
    <x v="1"/>
    <x v="4"/>
    <x v="0"/>
    <s v="20A"/>
    <s v="160"/>
    <s v="Dolichospermum circinale"/>
    <b v="1"/>
    <n v="10"/>
    <n v="31.75"/>
    <n v="15"/>
    <n v="3491.09991319444"/>
    <n v="2.0096167540312502"/>
    <n v="3491.09991319444"/>
    <n v="2.0096167540312502"/>
    <m/>
  </r>
  <r>
    <s v="5763.2"/>
    <x v="1"/>
    <x v="4"/>
    <x v="0"/>
    <s v="20A"/>
    <s v="160"/>
    <s v="Pseudanabaena galeata (cylinder)"/>
    <b v="1"/>
    <n v="10"/>
    <n v="14.6666666666667"/>
    <m/>
    <n v="138.23027777777801"/>
    <n v="8.2938166666666792E-3"/>
    <n v="138.23027777777801"/>
    <n v="8.2938166666666792E-3"/>
    <m/>
  </r>
  <r>
    <s v="5763.3"/>
    <x v="1"/>
    <x v="4"/>
    <x v="0"/>
    <s v="20A"/>
    <s v="160"/>
    <s v="Dolichospermum spiroides"/>
    <b v="1"/>
    <n v="10"/>
    <n v="29"/>
    <m/>
    <n v="182.21263888888899"/>
    <n v="4.7375286111111102E-2"/>
    <n v="182.21263888888899"/>
    <n v="4.7375286111111102E-2"/>
    <m/>
  </r>
  <r>
    <s v="5763.4"/>
    <x v="1"/>
    <x v="4"/>
    <x v="0"/>
    <s v="20A"/>
    <s v="160"/>
    <s v="Aphanocapsa sp"/>
    <b v="0"/>
    <n v="10"/>
    <n v="28"/>
    <m/>
    <n v="87.964722222222207"/>
    <n v="1.97920625E-4"/>
    <n v="0"/>
    <n v="0"/>
    <m/>
  </r>
  <r>
    <s v="5764.1"/>
    <x v="2"/>
    <x v="5"/>
    <x v="0"/>
    <s v="20A"/>
    <s v="160"/>
    <s v="Dolichospermum circinale"/>
    <b v="1"/>
    <n v="10"/>
    <n v="34.6"/>
    <n v="56"/>
    <n v="8261.1440555555491"/>
    <n v="4.7554449641399996"/>
    <n v="8261.14405555556"/>
    <n v="4.7554449641399996"/>
    <m/>
  </r>
  <r>
    <s v="5764.2"/>
    <x v="2"/>
    <x v="5"/>
    <x v="0"/>
    <s v="20A"/>
    <s v="160"/>
    <s v="Pseudanabaena galeata (cylinder)"/>
    <b v="1"/>
    <n v="10"/>
    <n v="8"/>
    <m/>
    <n v="25.1327777777778"/>
    <n v="1.5079666666666699E-3"/>
    <n v="25.1327777777778"/>
    <n v="1.5079666666666699E-3"/>
    <m/>
  </r>
  <r>
    <s v="5764.3"/>
    <x v="2"/>
    <x v="5"/>
    <x v="0"/>
    <s v="20A"/>
    <s v="160"/>
    <s v="Dolichospermum planctonicum "/>
    <b v="1"/>
    <n v="10"/>
    <n v="16"/>
    <m/>
    <n v="251.32777777777801"/>
    <n v="9.2991277777777895E-2"/>
    <n v="251.32777777777801"/>
    <n v="9.2991277777777895E-2"/>
    <m/>
  </r>
  <r>
    <s v="5764.4"/>
    <x v="2"/>
    <x v="5"/>
    <x v="0"/>
    <s v="20A"/>
    <s v="160"/>
    <s v="Dolichospermum lemmermannii"/>
    <b v="1"/>
    <n v="10"/>
    <n v="35"/>
    <m/>
    <n v="109.95590277777799"/>
    <n v="1.2095149305555599E-2"/>
    <n v="109.95590277777799"/>
    <n v="1.2095149305555599E-2"/>
    <m/>
  </r>
  <r>
    <s v="5764.5"/>
    <x v="2"/>
    <x v="5"/>
    <x v="0"/>
    <s v="20A"/>
    <s v="160"/>
    <s v="Dolichospermum spiroides"/>
    <b v="1"/>
    <n v="10"/>
    <n v="24.5"/>
    <m/>
    <n v="307.87652777777799"/>
    <n v="8.0047897222222303E-2"/>
    <n v="307.87652777777799"/>
    <n v="8.0047897222222303E-2"/>
    <m/>
  </r>
  <r>
    <s v="5765.1"/>
    <x v="1"/>
    <x v="6"/>
    <x v="0"/>
    <s v="20A"/>
    <s v="160"/>
    <s v="Dolichospermum circinale"/>
    <b v="1"/>
    <n v="10"/>
    <n v="25.15"/>
    <n v="5"/>
    <n v="1975.27925347222"/>
    <n v="1.1370497494687499"/>
    <n v="1975.27925347222"/>
    <n v="1.1370497494687499"/>
    <m/>
  </r>
  <r>
    <s v="5765.2"/>
    <x v="1"/>
    <x v="6"/>
    <x v="0"/>
    <s v="20A"/>
    <s v="160"/>
    <s v="Dolichospermum spiroides"/>
    <b v="1"/>
    <n v="10"/>
    <n v="25.5"/>
    <m/>
    <n v="160.221458333333"/>
    <n v="4.1657579166666597E-2"/>
    <n v="160.221458333333"/>
    <n v="4.1657579166666597E-2"/>
    <m/>
  </r>
  <r>
    <s v="5765.3"/>
    <x v="1"/>
    <x v="6"/>
    <x v="0"/>
    <s v="20A"/>
    <s v="160"/>
    <s v="Dolichospermum lemmermannii"/>
    <b v="1"/>
    <n v="10"/>
    <n v="12"/>
    <m/>
    <n v="37.699166666666699"/>
    <n v="4.1469083333333396E-3"/>
    <n v="37.699166666666699"/>
    <n v="4.1469083333333396E-3"/>
    <m/>
  </r>
  <r>
    <s v="5766.1"/>
    <x v="3"/>
    <x v="7"/>
    <x v="0"/>
    <s v="20A"/>
    <s v="20"/>
    <s v="Woronichinia naegeliana"/>
    <b v="1"/>
    <n v="10"/>
    <n v="274"/>
    <m/>
    <n v="13772.7622222222"/>
    <n v="0"/>
    <n v="13772.7622222222"/>
    <n v="0"/>
    <m/>
  </r>
  <r>
    <s v="5766.2"/>
    <x v="3"/>
    <x v="7"/>
    <x v="0"/>
    <s v="20A"/>
    <s v="20"/>
    <s v="Dolichospermum circinale"/>
    <b v="1"/>
    <n v="10"/>
    <n v="19.75"/>
    <n v="69"/>
    <n v="44177.140138888899"/>
    <n v="25.430128949549999"/>
    <n v="44177.140138888899"/>
    <n v="25.430128949549999"/>
    <m/>
  </r>
  <r>
    <s v="5766.3"/>
    <x v="3"/>
    <x v="7"/>
    <x v="0"/>
    <s v="20A"/>
    <s v="20"/>
    <s v="Dolichospermum planctonicum "/>
    <b v="1"/>
    <n v="10"/>
    <n v="17.5"/>
    <m/>
    <n v="1759.2944444444399"/>
    <n v="0.650938944444443"/>
    <n v="1759.2944444444399"/>
    <n v="0.650938944444443"/>
    <m/>
  </r>
  <r>
    <s v="5766.4"/>
    <x v="3"/>
    <x v="7"/>
    <x v="0"/>
    <s v="20A"/>
    <s v="20"/>
    <s v="Dolichospermum spiroides"/>
    <b v="1"/>
    <n v="10"/>
    <n v="18.6666666666667"/>
    <m/>
    <n v="2814.8711111111102"/>
    <n v="0.73186648888888906"/>
    <n v="2814.8711111111102"/>
    <n v="0.73186648888888906"/>
    <m/>
  </r>
  <r>
    <s v="5766.5"/>
    <x v="3"/>
    <x v="7"/>
    <x v="0"/>
    <s v="20A"/>
    <s v="20"/>
    <s v="Dolichospermum lemmermannii"/>
    <b v="1"/>
    <n v="10"/>
    <n v="28"/>
    <m/>
    <n v="2111.15333333333"/>
    <n v="0.232226866666666"/>
    <n v="2111.15333333333"/>
    <n v="0.232226866666666"/>
    <m/>
  </r>
  <r>
    <s v="5766.6"/>
    <x v="3"/>
    <x v="7"/>
    <x v="0"/>
    <s v="20A"/>
    <s v="20"/>
    <s v="Pseudanabaena limnetica (cylinder)"/>
    <b v="1"/>
    <n v="10"/>
    <n v="18"/>
    <m/>
    <n v="452.39"/>
    <n v="3.5738810000000003E-2"/>
    <n v="452.39"/>
    <n v="3.5738810000000003E-2"/>
    <m/>
  </r>
  <r>
    <s v="5767.1"/>
    <x v="4"/>
    <x v="8"/>
    <x v="0"/>
    <s v="20A"/>
    <s v="Whole Plate"/>
    <s v="Dolichospermum lemmermannii"/>
    <b v="1"/>
    <n v="10"/>
    <n v="13.15"/>
    <n v="280"/>
    <n v="394.5"/>
    <n v="4.3395000000000003E-2"/>
    <n v="394.5"/>
    <n v="4.3395000000000003E-2"/>
    <m/>
  </r>
  <r>
    <s v="5767.2"/>
    <x v="4"/>
    <x v="8"/>
    <x v="0"/>
    <s v="20A"/>
    <s v="Whole Plate"/>
    <s v="Pseudanabaena sp."/>
    <b v="1"/>
    <n v="10"/>
    <n v="10.25"/>
    <m/>
    <n v="12.3"/>
    <n v="4.797E-4"/>
    <n v="12.3"/>
    <n v="4.797E-4"/>
    <m/>
  </r>
  <r>
    <s v="5767.3"/>
    <x v="4"/>
    <x v="8"/>
    <x v="0"/>
    <s v="20A"/>
    <s v="Whole Plate"/>
    <s v="Dolichospermum spiroides"/>
    <b v="1"/>
    <n v="10"/>
    <n v="19"/>
    <m/>
    <n v="3.8"/>
    <n v="9.8799999999999995E-4"/>
    <n v="3.8"/>
    <n v="9.8799999999999995E-4"/>
    <m/>
  </r>
  <r>
    <s v="5767.4"/>
    <x v="4"/>
    <x v="8"/>
    <x v="0"/>
    <s v="20A"/>
    <s v="Whole Plate"/>
    <s v="Dolichospermum sp"/>
    <b v="1"/>
    <n v="10"/>
    <n v="13"/>
    <m/>
    <n v="3.9"/>
    <n v="7.4100000000000001E-4"/>
    <n v="3.9"/>
    <n v="7.4100000000000001E-4"/>
    <m/>
  </r>
  <r>
    <s v="5767.5"/>
    <x v="4"/>
    <x v="8"/>
    <x v="0"/>
    <s v="20A"/>
    <s v="Whole Plate"/>
    <s v="Dolichospermum planctonicum "/>
    <b v="1"/>
    <n v="10"/>
    <n v="26.6666666666667"/>
    <m/>
    <n v="8"/>
    <n v="2.96E-3"/>
    <n v="8"/>
    <n v="2.96E-3"/>
    <m/>
  </r>
  <r>
    <s v="5768.1"/>
    <x v="4"/>
    <x v="9"/>
    <x v="0"/>
    <s v="20A"/>
    <s v="160"/>
    <s v="Dolichospermum sp"/>
    <b v="1"/>
    <n v="10"/>
    <n v="11.85"/>
    <n v="45"/>
    <n v="2419.8152604166698"/>
    <n v="0.45976489947916699"/>
    <n v="2419.8152604166698"/>
    <n v="0.45976489947916699"/>
    <m/>
  </r>
  <r>
    <s v="5768.2"/>
    <x v="4"/>
    <x v="9"/>
    <x v="0"/>
    <s v="20A"/>
    <s v="160"/>
    <s v="Pseudanabaena sp."/>
    <b v="1"/>
    <n v="10"/>
    <n v="11"/>
    <m/>
    <n v="69.115138888888893"/>
    <n v="2.69549041666667E-3"/>
    <n v="69.115138888888893"/>
    <n v="2.69549041666667E-3"/>
    <m/>
  </r>
  <r>
    <s v="5768.3"/>
    <x v="4"/>
    <x v="9"/>
    <x v="0"/>
    <s v="20A"/>
    <s v="160"/>
    <s v="Dolichospermum planctonicum "/>
    <b v="1"/>
    <n v="10"/>
    <n v="20"/>
    <m/>
    <n v="62.831944444444403"/>
    <n v="2.3247819444444401E-2"/>
    <n v="62.831944444444403"/>
    <n v="2.3247819444444401E-2"/>
    <m/>
  </r>
  <r>
    <s v="5768.4"/>
    <x v="4"/>
    <x v="9"/>
    <x v="0"/>
    <s v="20A"/>
    <s v="160"/>
    <s v="Dolichospermum spiroides"/>
    <b v="1"/>
    <n v="10"/>
    <n v="16"/>
    <m/>
    <n v="50.265555555555601"/>
    <n v="1.30690444444445E-2"/>
    <n v="50.265555555555601"/>
    <n v="1.30690444444445E-2"/>
    <m/>
  </r>
  <r>
    <s v="5769.1"/>
    <x v="0"/>
    <x v="10"/>
    <x v="0"/>
    <s v="20A"/>
    <s v="Whole Plate"/>
    <s v="Dolichospermum lemmermannii"/>
    <b v="1"/>
    <n v="10"/>
    <n v="19.45"/>
    <n v="29"/>
    <n v="95.305000000000007"/>
    <n v="1.0483549999999999E-2"/>
    <n v="95.305000000000007"/>
    <n v="1.0483549999999999E-2"/>
    <m/>
  </r>
  <r>
    <s v="5769.2"/>
    <x v="0"/>
    <x v="10"/>
    <x v="0"/>
    <s v="20A"/>
    <s v="Whole Plate"/>
    <s v="Dolichospermum planctonicum "/>
    <b v="1"/>
    <n v="10"/>
    <n v="38.75"/>
    <m/>
    <n v="15.5"/>
    <n v="5.7349999999999996E-3"/>
    <n v="15.5"/>
    <n v="5.7349999999999996E-3"/>
    <m/>
  </r>
  <r>
    <s v="5769.3"/>
    <x v="0"/>
    <x v="10"/>
    <x v="0"/>
    <s v="20A"/>
    <s v="Whole Plate"/>
    <s v="Aphanocapsa sp"/>
    <b v="0"/>
    <n v="10"/>
    <n v="8"/>
    <m/>
    <n v="0.8"/>
    <n v="1.7999999999999999E-6"/>
    <n v="0"/>
    <n v="0"/>
    <m/>
  </r>
  <r>
    <s v="5769.4"/>
    <x v="0"/>
    <x v="10"/>
    <x v="0"/>
    <s v="20A"/>
    <s v="Whole Plate"/>
    <s v="Dolichospermum circinale"/>
    <b v="1"/>
    <n v="10"/>
    <n v="16.5"/>
    <m/>
    <n v="3.3"/>
    <n v="1.899612E-3"/>
    <n v="3.3"/>
    <n v="1.899612E-3"/>
    <m/>
  </r>
  <r>
    <s v="5769.5"/>
    <x v="0"/>
    <x v="10"/>
    <x v="0"/>
    <s v="20A"/>
    <s v="Whole Plate"/>
    <s v="Dolichospermum spiroides"/>
    <b v="1"/>
    <n v="10"/>
    <n v="12"/>
    <m/>
    <n v="1.2"/>
    <n v="3.1199999999999999E-4"/>
    <n v="1.2"/>
    <n v="3.1199999999999999E-4"/>
    <m/>
  </r>
  <r>
    <s v="5769.6"/>
    <x v="0"/>
    <x v="10"/>
    <x v="0"/>
    <s v="20A"/>
    <s v="Whole Plate"/>
    <s v="Limnococcus limneticus_x000a_"/>
    <b v="0"/>
    <n v="10"/>
    <n v="12"/>
    <m/>
    <n v="2.4"/>
    <n v="1.08E-3"/>
    <n v="0"/>
    <n v="0"/>
    <m/>
  </r>
  <r>
    <s v="5769.7"/>
    <x v="0"/>
    <x v="10"/>
    <x v="0"/>
    <s v="20A"/>
    <s v="Whole Plate"/>
    <s v="Microcystis sp"/>
    <b v="1"/>
    <n v="10"/>
    <n v="6"/>
    <m/>
    <n v="0.6"/>
    <n v="4.3079142852000003E-5"/>
    <n v="0.6"/>
    <n v="4.3079142852000003E-5"/>
    <s v="Microcystis spp._x000a_"/>
  </r>
  <r>
    <s v="5770.1"/>
    <x v="0"/>
    <x v="11"/>
    <x v="0"/>
    <s v="20A"/>
    <s v="160"/>
    <s v="Dolichospermum circinale"/>
    <b v="1"/>
    <n v="10"/>
    <n v="14.125"/>
    <m/>
    <n v="355.000486111111"/>
    <n v="0.20435247982499999"/>
    <n v="355.000486111111"/>
    <n v="0.20435247982499999"/>
    <m/>
  </r>
  <r>
    <s v="5770.2"/>
    <x v="0"/>
    <x v="11"/>
    <x v="0"/>
    <s v="20A"/>
    <s v="160"/>
    <s v="Aphanocapsa sp"/>
    <b v="0"/>
    <n v="10"/>
    <n v="30"/>
    <m/>
    <n v="94.247916666666697"/>
    <n v="2.1205781250000001E-4"/>
    <n v="0"/>
    <n v="0"/>
    <m/>
  </r>
  <r>
    <s v="5770.3"/>
    <x v="0"/>
    <x v="11"/>
    <x v="0"/>
    <s v="20A"/>
    <s v="160"/>
    <s v="Dolichospermum planctonicum "/>
    <b v="1"/>
    <n v="10"/>
    <n v="6"/>
    <m/>
    <n v="18.8495833333333"/>
    <n v="6.9743458333333197E-3"/>
    <n v="18.8495833333333"/>
    <n v="6.9743458333333197E-3"/>
    <m/>
  </r>
  <r>
    <s v="5770.4"/>
    <x v="0"/>
    <x v="11"/>
    <x v="0"/>
    <s v="20A"/>
    <s v="160"/>
    <s v="Limnococcus limneticus_x000a_"/>
    <b v="0"/>
    <n v="10"/>
    <n v="4"/>
    <m/>
    <n v="12.5663888888889"/>
    <n v="5.6548750000000097E-3"/>
    <n v="0"/>
    <n v="0"/>
    <m/>
  </r>
  <r>
    <s v="5770.5"/>
    <x v="0"/>
    <x v="11"/>
    <x v="0"/>
    <s v="20A"/>
    <s v="160"/>
    <s v="Dolichospermum lemmermannii"/>
    <b v="1"/>
    <n v="10"/>
    <n v="16.6666666666667"/>
    <m/>
    <n v="314.159722222222"/>
    <n v="3.4557569444444401E-2"/>
    <n v="314.159722222222"/>
    <n v="3.4557569444444401E-2"/>
    <m/>
  </r>
  <r>
    <s v="5771.1"/>
    <x v="0"/>
    <x v="12"/>
    <x v="0"/>
    <s v="20A"/>
    <s v="160"/>
    <s v="Dolichospermum lemmermannii"/>
    <b v="1"/>
    <n v="10"/>
    <n v="24.9411764705882"/>
    <m/>
    <n v="1332.03722222222"/>
    <n v="0.146524094444444"/>
    <n v="1332.03722222222"/>
    <n v="0.146524094444444"/>
    <m/>
  </r>
  <r>
    <s v="5771.2"/>
    <x v="0"/>
    <x v="12"/>
    <x v="0"/>
    <s v="20A"/>
    <s v="160"/>
    <s v="Dolichospermum circinale"/>
    <b v="1"/>
    <n v="10"/>
    <n v="30.4"/>
    <m/>
    <n v="477.522777777778"/>
    <n v="0.27488121180000002"/>
    <n v="477.522777777778"/>
    <n v="0.27488121180000002"/>
    <m/>
  </r>
  <r>
    <s v="5771.3"/>
    <x v="0"/>
    <x v="12"/>
    <x v="0"/>
    <s v="20A"/>
    <s v="160"/>
    <s v="Limnococcus limneticus_x000a_"/>
    <b v="0"/>
    <n v="10"/>
    <n v="36"/>
    <m/>
    <n v="113.0975"/>
    <n v="5.0893874999999998E-2"/>
    <n v="0"/>
    <n v="0"/>
    <m/>
  </r>
  <r>
    <s v="5771.4"/>
    <x v="0"/>
    <x v="12"/>
    <x v="0"/>
    <s v="20A"/>
    <s v="160"/>
    <s v="Dolichospermum planctonicum "/>
    <b v="1"/>
    <n v="10"/>
    <n v="5"/>
    <m/>
    <n v="15.707986111111101"/>
    <n v="5.8119548611111098E-3"/>
    <n v="15.707986111111101"/>
    <n v="5.8119548611111098E-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5769.7"/>
    <x v="0"/>
    <x v="0"/>
    <x v="0"/>
    <s v="20A"/>
    <s v="Whole Plate"/>
    <s v="Microcystis sp"/>
    <b v="1"/>
    <n v="10"/>
    <n v="6"/>
    <m/>
    <n v="0.6"/>
    <n v="4.3079142852000003E-5"/>
    <n v="0.6"/>
    <n v="4.3079142852000003E-5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5759.1"/>
    <x v="0"/>
    <x v="0"/>
    <x v="0"/>
    <s v="20A"/>
    <s v="160"/>
    <s v="Dolichospermum circinale"/>
    <b v="1"/>
    <n v="10"/>
    <n v="24.85"/>
    <n v="15"/>
    <n v="2732.40418402778"/>
    <n v="1.57288114449375"/>
    <n v="2732.40418402778"/>
    <n v="1.57288114449375"/>
    <m/>
  </r>
  <r>
    <s v="5759.2"/>
    <x v="0"/>
    <x v="0"/>
    <x v="0"/>
    <s v="20A"/>
    <s v="160"/>
    <s v="Dolichospermum planctonicum "/>
    <b v="1"/>
    <n v="10"/>
    <n v="38"/>
    <m/>
    <n v="238.761388888889"/>
    <n v="8.8341713888888895E-2"/>
    <n v="238.761388888889"/>
    <n v="8.8341713888888895E-2"/>
    <m/>
  </r>
  <r>
    <s v="5759.3"/>
    <x v="0"/>
    <x v="0"/>
    <x v="0"/>
    <s v="20A"/>
    <s v="160"/>
    <s v="Dolichospermum lemmermannii"/>
    <b v="1"/>
    <n v="10"/>
    <n v="38.428571428571402"/>
    <m/>
    <n v="1690.1793055555599"/>
    <n v="0.185919723611112"/>
    <n v="1690.1793055555599"/>
    <n v="0.185919723611112"/>
    <m/>
  </r>
  <r>
    <s v="5759.4"/>
    <x v="0"/>
    <x v="0"/>
    <x v="0"/>
    <s v="20A"/>
    <s v="160"/>
    <s v="Dolichospermum spiroides"/>
    <b v="1"/>
    <n v="10"/>
    <n v="41.714285714285701"/>
    <m/>
    <n v="917.34638888888901"/>
    <n v="0.238510061111111"/>
    <n v="917.34638888888901"/>
    <n v="0.238510061111111"/>
    <m/>
  </r>
  <r>
    <s v="5760.1"/>
    <x v="0"/>
    <x v="1"/>
    <x v="0"/>
    <s v="20A"/>
    <s v="160"/>
    <s v="Dolichospermum circinale"/>
    <b v="1"/>
    <n v="10"/>
    <n v="18"/>
    <m/>
    <n v="56.548749999999998"/>
    <n v="3.2551722450000001E-2"/>
    <n v="56.548749999999998"/>
    <n v="3.2551722450000001E-2"/>
    <m/>
  </r>
  <r>
    <s v="5760.2"/>
    <x v="0"/>
    <x v="1"/>
    <x v="0"/>
    <s v="20A"/>
    <s v="160"/>
    <s v="Dolichospermum lemmermannii"/>
    <b v="1"/>
    <n v="10"/>
    <n v="23.1"/>
    <n v="26"/>
    <n v="3338.2612083333302"/>
    <n v="0.367208732916666"/>
    <n v="3338.2612083333302"/>
    <n v="0.367208732916666"/>
    <m/>
  </r>
  <r>
    <s v="5760.3"/>
    <x v="0"/>
    <x v="1"/>
    <x v="0"/>
    <s v="20A"/>
    <s v="160"/>
    <s v="Woronichinia naegeliana"/>
    <b v="1"/>
    <n v="10"/>
    <n v="300"/>
    <m/>
    <n v="942.47916666666697"/>
    <n v="0"/>
    <n v="942.47916666666595"/>
    <n v="0"/>
    <m/>
  </r>
  <r>
    <s v="5761.1"/>
    <x v="1"/>
    <x v="2"/>
    <x v="0"/>
    <s v="20A"/>
    <s v="160"/>
    <s v="Pseudanabaena limnetica (cylinder)"/>
    <b v="1"/>
    <n v="10"/>
    <n v="11.75"/>
    <m/>
    <n v="590.62027777777803"/>
    <n v="4.66590019444445E-2"/>
    <n v="590.62027777777803"/>
    <n v="4.66590019444445E-2"/>
    <m/>
  </r>
  <r>
    <s v="5761.2"/>
    <x v="1"/>
    <x v="2"/>
    <x v="0"/>
    <s v="20A"/>
    <s v="160"/>
    <s v="Dolichospermum circinale"/>
    <b v="1"/>
    <n v="10"/>
    <n v="27.45"/>
    <n v="84"/>
    <n v="8968.6317500000005"/>
    <n v="5.1627031805700003"/>
    <n v="8968.6317500000005"/>
    <n v="5.1627031805700003"/>
    <m/>
  </r>
  <r>
    <s v="5761.3"/>
    <x v="1"/>
    <x v="2"/>
    <x v="0"/>
    <s v="20A"/>
    <s v="160"/>
    <s v="Pseudanabaena galeata (cylinder)"/>
    <b v="1"/>
    <n v="10"/>
    <n v="7.6666666666666696"/>
    <m/>
    <n v="144.51347222222199"/>
    <n v="8.6708083333333196E-3"/>
    <n v="144.51347222222199"/>
    <n v="8.6708083333333196E-3"/>
    <m/>
  </r>
  <r>
    <s v="5761.4"/>
    <x v="1"/>
    <x v="2"/>
    <x v="0"/>
    <s v="20A"/>
    <s v="160"/>
    <s v="Aphanocapsa sp"/>
    <b v="0"/>
    <n v="10"/>
    <n v="18"/>
    <m/>
    <n v="56.548749999999998"/>
    <n v="1.2723468750000001E-4"/>
    <n v="0"/>
    <n v="0"/>
    <m/>
  </r>
  <r>
    <s v="5761.5"/>
    <x v="1"/>
    <x v="2"/>
    <x v="0"/>
    <s v="20A"/>
    <s v="160"/>
    <s v="Dolichospermum spiroides"/>
    <b v="1"/>
    <n v="10"/>
    <n v="25"/>
    <m/>
    <n v="78.5399305555555"/>
    <n v="2.04203819444445E-2"/>
    <n v="78.5399305555556"/>
    <n v="2.04203819444445E-2"/>
    <m/>
  </r>
  <r>
    <s v="5761.6"/>
    <x v="1"/>
    <x v="2"/>
    <x v="0"/>
    <s v="20A"/>
    <s v="160"/>
    <s v="Dolichospermum planctonicum "/>
    <b v="1"/>
    <n v="10"/>
    <n v="20"/>
    <m/>
    <n v="62.831944444444403"/>
    <n v="2.3247819444444401E-2"/>
    <n v="62.831944444444403"/>
    <n v="2.3247819444444401E-2"/>
    <m/>
  </r>
  <r>
    <s v="5762.1"/>
    <x v="1"/>
    <x v="3"/>
    <x v="0"/>
    <s v="20A"/>
    <s v="160"/>
    <s v="Dolichospermum circinale"/>
    <b v="1"/>
    <n v="10"/>
    <n v="37.9"/>
    <n v="135"/>
    <n v="18455.312881944399"/>
    <n v="10.6236163073625"/>
    <n v="18455.312881944399"/>
    <n v="10.6236163073625"/>
    <m/>
  </r>
  <r>
    <s v="5762.2"/>
    <x v="1"/>
    <x v="3"/>
    <x v="0"/>
    <s v="20A"/>
    <s v="160"/>
    <s v="Dolichospermum planctonicum "/>
    <b v="1"/>
    <n v="10"/>
    <n v="20.5"/>
    <m/>
    <n v="128.80548611111101"/>
    <n v="4.7658029861111097E-2"/>
    <n v="128.80548611111101"/>
    <n v="4.7658029861111097E-2"/>
    <m/>
  </r>
  <r>
    <s v="5762.3"/>
    <x v="1"/>
    <x v="3"/>
    <x v="0"/>
    <s v="20A"/>
    <s v="160"/>
    <s v="Phormidium sp"/>
    <b v="1"/>
    <n v="10"/>
    <n v="14"/>
    <m/>
    <n v="43.982361111111103"/>
    <n v="4.1053135861111104E-3"/>
    <n v="43.982361111111103"/>
    <n v="4.1053135861111104E-3"/>
    <m/>
  </r>
  <r>
    <s v="5762.4"/>
    <x v="1"/>
    <x v="3"/>
    <x v="0"/>
    <s v="20A"/>
    <s v="160"/>
    <s v="Dolichospermum spiroides"/>
    <b v="1"/>
    <n v="10"/>
    <n v="30.6666666666667"/>
    <m/>
    <n v="289.02694444444398"/>
    <n v="7.5147005555555396E-2"/>
    <n v="289.02694444444398"/>
    <n v="7.5147005555555396E-2"/>
    <m/>
  </r>
  <r>
    <s v="5762.5"/>
    <x v="1"/>
    <x v="3"/>
    <x v="0"/>
    <s v="20A"/>
    <s v="160"/>
    <s v="Pseudanabaena galeata (cylinder)"/>
    <b v="1"/>
    <n v="10"/>
    <n v="6"/>
    <m/>
    <n v="18.8495833333333"/>
    <n v="1.130975E-3"/>
    <n v="18.8495833333333"/>
    <n v="1.130975E-3"/>
    <m/>
  </r>
  <r>
    <s v="5763.1"/>
    <x v="1"/>
    <x v="4"/>
    <x v="0"/>
    <s v="20A"/>
    <s v="160"/>
    <s v="Dolichospermum circinale"/>
    <b v="1"/>
    <n v="10"/>
    <n v="31.75"/>
    <n v="15"/>
    <n v="3491.09991319444"/>
    <n v="2.0096167540312502"/>
    <n v="3491.09991319444"/>
    <n v="2.0096167540312502"/>
    <m/>
  </r>
  <r>
    <s v="5763.2"/>
    <x v="1"/>
    <x v="4"/>
    <x v="0"/>
    <s v="20A"/>
    <s v="160"/>
    <s v="Pseudanabaena galeata (cylinder)"/>
    <b v="1"/>
    <n v="10"/>
    <n v="14.6666666666667"/>
    <m/>
    <n v="138.23027777777801"/>
    <n v="8.2938166666666792E-3"/>
    <n v="138.23027777777801"/>
    <n v="8.2938166666666792E-3"/>
    <m/>
  </r>
  <r>
    <s v="5763.3"/>
    <x v="1"/>
    <x v="4"/>
    <x v="0"/>
    <s v="20A"/>
    <s v="160"/>
    <s v="Dolichospermum spiroides"/>
    <b v="1"/>
    <n v="10"/>
    <n v="29"/>
    <m/>
    <n v="182.21263888888899"/>
    <n v="4.7375286111111102E-2"/>
    <n v="182.21263888888899"/>
    <n v="4.7375286111111102E-2"/>
    <m/>
  </r>
  <r>
    <s v="5763.4"/>
    <x v="1"/>
    <x v="4"/>
    <x v="0"/>
    <s v="20A"/>
    <s v="160"/>
    <s v="Aphanocapsa sp"/>
    <b v="0"/>
    <n v="10"/>
    <n v="28"/>
    <m/>
    <n v="87.964722222222207"/>
    <n v="1.97920625E-4"/>
    <n v="0"/>
    <n v="0"/>
    <m/>
  </r>
  <r>
    <s v="5764.1"/>
    <x v="2"/>
    <x v="5"/>
    <x v="0"/>
    <s v="20A"/>
    <s v="160"/>
    <s v="Dolichospermum circinale"/>
    <b v="1"/>
    <n v="10"/>
    <n v="34.6"/>
    <n v="56"/>
    <n v="8261.1440555555491"/>
    <n v="4.7554449641399996"/>
    <n v="8261.14405555556"/>
    <n v="4.7554449641399996"/>
    <m/>
  </r>
  <r>
    <s v="5764.2"/>
    <x v="2"/>
    <x v="5"/>
    <x v="0"/>
    <s v="20A"/>
    <s v="160"/>
    <s v="Pseudanabaena galeata (cylinder)"/>
    <b v="1"/>
    <n v="10"/>
    <n v="8"/>
    <m/>
    <n v="25.1327777777778"/>
    <n v="1.5079666666666699E-3"/>
    <n v="25.1327777777778"/>
    <n v="1.5079666666666699E-3"/>
    <m/>
  </r>
  <r>
    <s v="5764.3"/>
    <x v="2"/>
    <x v="5"/>
    <x v="0"/>
    <s v="20A"/>
    <s v="160"/>
    <s v="Dolichospermum planctonicum "/>
    <b v="1"/>
    <n v="10"/>
    <n v="16"/>
    <m/>
    <n v="251.32777777777801"/>
    <n v="9.2991277777777895E-2"/>
    <n v="251.32777777777801"/>
    <n v="9.2991277777777895E-2"/>
    <m/>
  </r>
  <r>
    <s v="5764.4"/>
    <x v="2"/>
    <x v="5"/>
    <x v="0"/>
    <s v="20A"/>
    <s v="160"/>
    <s v="Dolichospermum lemmermannii"/>
    <b v="1"/>
    <n v="10"/>
    <n v="35"/>
    <m/>
    <n v="109.95590277777799"/>
    <n v="1.2095149305555599E-2"/>
    <n v="109.95590277777799"/>
    <n v="1.2095149305555599E-2"/>
    <m/>
  </r>
  <r>
    <s v="5764.5"/>
    <x v="2"/>
    <x v="5"/>
    <x v="0"/>
    <s v="20A"/>
    <s v="160"/>
    <s v="Dolichospermum spiroides"/>
    <b v="1"/>
    <n v="10"/>
    <n v="24.5"/>
    <m/>
    <n v="307.87652777777799"/>
    <n v="8.0047897222222303E-2"/>
    <n v="307.87652777777799"/>
    <n v="8.0047897222222303E-2"/>
    <m/>
  </r>
  <r>
    <s v="5765.1"/>
    <x v="1"/>
    <x v="6"/>
    <x v="0"/>
    <s v="20A"/>
    <s v="160"/>
    <s v="Dolichospermum circinale"/>
    <b v="1"/>
    <n v="10"/>
    <n v="25.15"/>
    <n v="5"/>
    <n v="1975.27925347222"/>
    <n v="1.1370497494687499"/>
    <n v="1975.27925347222"/>
    <n v="1.1370497494687499"/>
    <m/>
  </r>
  <r>
    <s v="5765.2"/>
    <x v="1"/>
    <x v="6"/>
    <x v="0"/>
    <s v="20A"/>
    <s v="160"/>
    <s v="Dolichospermum spiroides"/>
    <b v="1"/>
    <n v="10"/>
    <n v="25.5"/>
    <m/>
    <n v="160.221458333333"/>
    <n v="4.1657579166666597E-2"/>
    <n v="160.221458333333"/>
    <n v="4.1657579166666597E-2"/>
    <m/>
  </r>
  <r>
    <s v="5765.3"/>
    <x v="1"/>
    <x v="6"/>
    <x v="0"/>
    <s v="20A"/>
    <s v="160"/>
    <s v="Dolichospermum lemmermannii"/>
    <b v="1"/>
    <n v="10"/>
    <n v="12"/>
    <m/>
    <n v="37.699166666666699"/>
    <n v="4.1469083333333396E-3"/>
    <n v="37.699166666666699"/>
    <n v="4.1469083333333396E-3"/>
    <m/>
  </r>
  <r>
    <s v="5766.1"/>
    <x v="3"/>
    <x v="7"/>
    <x v="0"/>
    <s v="20A"/>
    <s v="20"/>
    <s v="Woronichinia naegeliana"/>
    <b v="1"/>
    <n v="10"/>
    <n v="274"/>
    <m/>
    <n v="13772.7622222222"/>
    <n v="0"/>
    <n v="13772.7622222222"/>
    <n v="0"/>
    <m/>
  </r>
  <r>
    <s v="5766.2"/>
    <x v="3"/>
    <x v="7"/>
    <x v="0"/>
    <s v="20A"/>
    <s v="20"/>
    <s v="Dolichospermum circinale"/>
    <b v="1"/>
    <n v="10"/>
    <n v="19.75"/>
    <n v="69"/>
    <n v="44177.140138888899"/>
    <n v="25.430128949549999"/>
    <n v="44177.140138888899"/>
    <n v="25.430128949549999"/>
    <m/>
  </r>
  <r>
    <s v="5766.3"/>
    <x v="3"/>
    <x v="7"/>
    <x v="0"/>
    <s v="20A"/>
    <s v="20"/>
    <s v="Dolichospermum planctonicum "/>
    <b v="1"/>
    <n v="10"/>
    <n v="17.5"/>
    <m/>
    <n v="1759.2944444444399"/>
    <n v="0.650938944444443"/>
    <n v="1759.2944444444399"/>
    <n v="0.650938944444443"/>
    <m/>
  </r>
  <r>
    <s v="5766.4"/>
    <x v="3"/>
    <x v="7"/>
    <x v="0"/>
    <s v="20A"/>
    <s v="20"/>
    <s v="Dolichospermum spiroides"/>
    <b v="1"/>
    <n v="10"/>
    <n v="18.6666666666667"/>
    <m/>
    <n v="2814.8711111111102"/>
    <n v="0.73186648888888906"/>
    <n v="2814.8711111111102"/>
    <n v="0.73186648888888906"/>
    <m/>
  </r>
  <r>
    <s v="5766.5"/>
    <x v="3"/>
    <x v="7"/>
    <x v="0"/>
    <s v="20A"/>
    <s v="20"/>
    <s v="Dolichospermum lemmermannii"/>
    <b v="1"/>
    <n v="10"/>
    <n v="28"/>
    <m/>
    <n v="2111.15333333333"/>
    <n v="0.232226866666666"/>
    <n v="2111.15333333333"/>
    <n v="0.232226866666666"/>
    <m/>
  </r>
  <r>
    <s v="5766.6"/>
    <x v="3"/>
    <x v="7"/>
    <x v="0"/>
    <s v="20A"/>
    <s v="20"/>
    <s v="Pseudanabaena limnetica (cylinder)"/>
    <b v="1"/>
    <n v="10"/>
    <n v="18"/>
    <m/>
    <n v="452.39"/>
    <n v="3.5738810000000003E-2"/>
    <n v="452.39"/>
    <n v="3.5738810000000003E-2"/>
    <m/>
  </r>
  <r>
    <s v="5767.1"/>
    <x v="4"/>
    <x v="8"/>
    <x v="0"/>
    <s v="20A"/>
    <s v="Whole Plate"/>
    <s v="Dolichospermum lemmermannii"/>
    <b v="1"/>
    <n v="10"/>
    <n v="13.15"/>
    <n v="280"/>
    <n v="394.5"/>
    <n v="4.3395000000000003E-2"/>
    <n v="394.5"/>
    <n v="4.3395000000000003E-2"/>
    <m/>
  </r>
  <r>
    <s v="5767.2"/>
    <x v="4"/>
    <x v="8"/>
    <x v="0"/>
    <s v="20A"/>
    <s v="Whole Plate"/>
    <s v="Pseudanabaena sp."/>
    <b v="1"/>
    <n v="10"/>
    <n v="10.25"/>
    <m/>
    <n v="12.3"/>
    <n v="4.797E-4"/>
    <n v="12.3"/>
    <n v="4.797E-4"/>
    <m/>
  </r>
  <r>
    <s v="5767.3"/>
    <x v="4"/>
    <x v="8"/>
    <x v="0"/>
    <s v="20A"/>
    <s v="Whole Plate"/>
    <s v="Dolichospermum spiroides"/>
    <b v="1"/>
    <n v="10"/>
    <n v="19"/>
    <m/>
    <n v="3.8"/>
    <n v="9.8799999999999995E-4"/>
    <n v="3.8"/>
    <n v="9.8799999999999995E-4"/>
    <m/>
  </r>
  <r>
    <s v="5767.4"/>
    <x v="4"/>
    <x v="8"/>
    <x v="0"/>
    <s v="20A"/>
    <s v="Whole Plate"/>
    <s v="Dolichospermum sp"/>
    <b v="1"/>
    <n v="10"/>
    <n v="13"/>
    <m/>
    <n v="3.9"/>
    <n v="7.4100000000000001E-4"/>
    <n v="3.9"/>
    <n v="7.4100000000000001E-4"/>
    <m/>
  </r>
  <r>
    <s v="5767.5"/>
    <x v="4"/>
    <x v="8"/>
    <x v="0"/>
    <s v="20A"/>
    <s v="Whole Plate"/>
    <s v="Dolichospermum planctonicum "/>
    <b v="1"/>
    <n v="10"/>
    <n v="26.6666666666667"/>
    <m/>
    <n v="8"/>
    <n v="2.96E-3"/>
    <n v="8"/>
    <n v="2.96E-3"/>
    <m/>
  </r>
  <r>
    <s v="5768.1"/>
    <x v="4"/>
    <x v="9"/>
    <x v="0"/>
    <s v="20A"/>
    <s v="160"/>
    <s v="Dolichospermum sp"/>
    <b v="1"/>
    <n v="10"/>
    <n v="11.85"/>
    <n v="45"/>
    <n v="2419.8152604166698"/>
    <n v="0.45976489947916699"/>
    <n v="2419.8152604166698"/>
    <n v="0.45976489947916699"/>
    <m/>
  </r>
  <r>
    <s v="5768.2"/>
    <x v="4"/>
    <x v="9"/>
    <x v="0"/>
    <s v="20A"/>
    <s v="160"/>
    <s v="Pseudanabaena sp."/>
    <b v="1"/>
    <n v="10"/>
    <n v="11"/>
    <m/>
    <n v="69.115138888888893"/>
    <n v="2.69549041666667E-3"/>
    <n v="69.115138888888893"/>
    <n v="2.69549041666667E-3"/>
    <m/>
  </r>
  <r>
    <s v="5768.3"/>
    <x v="4"/>
    <x v="9"/>
    <x v="0"/>
    <s v="20A"/>
    <s v="160"/>
    <s v="Dolichospermum planctonicum "/>
    <b v="1"/>
    <n v="10"/>
    <n v="20"/>
    <m/>
    <n v="62.831944444444403"/>
    <n v="2.3247819444444401E-2"/>
    <n v="62.831944444444403"/>
    <n v="2.3247819444444401E-2"/>
    <m/>
  </r>
  <r>
    <s v="5768.4"/>
    <x v="4"/>
    <x v="9"/>
    <x v="0"/>
    <s v="20A"/>
    <s v="160"/>
    <s v="Dolichospermum spiroides"/>
    <b v="1"/>
    <n v="10"/>
    <n v="16"/>
    <m/>
    <n v="50.265555555555601"/>
    <n v="1.30690444444445E-2"/>
    <n v="50.265555555555601"/>
    <n v="1.30690444444445E-2"/>
    <m/>
  </r>
  <r>
    <s v="5769.1"/>
    <x v="0"/>
    <x v="10"/>
    <x v="0"/>
    <s v="20A"/>
    <s v="Whole Plate"/>
    <s v="Dolichospermum lemmermannii"/>
    <b v="1"/>
    <n v="10"/>
    <n v="19.45"/>
    <n v="29"/>
    <n v="95.305000000000007"/>
    <n v="1.0483549999999999E-2"/>
    <n v="95.305000000000007"/>
    <n v="1.0483549999999999E-2"/>
    <m/>
  </r>
  <r>
    <s v="5769.2"/>
    <x v="0"/>
    <x v="10"/>
    <x v="0"/>
    <s v="20A"/>
    <s v="Whole Plate"/>
    <s v="Dolichospermum planctonicum "/>
    <b v="1"/>
    <n v="10"/>
    <n v="38.75"/>
    <m/>
    <n v="15.5"/>
    <n v="5.7349999999999996E-3"/>
    <n v="15.5"/>
    <n v="5.7349999999999996E-3"/>
    <m/>
  </r>
  <r>
    <s v="5769.3"/>
    <x v="0"/>
    <x v="10"/>
    <x v="0"/>
    <s v="20A"/>
    <s v="Whole Plate"/>
    <s v="Aphanocapsa sp"/>
    <b v="0"/>
    <n v="10"/>
    <n v="8"/>
    <m/>
    <n v="0.8"/>
    <n v="1.7999999999999999E-6"/>
    <n v="0"/>
    <n v="0"/>
    <m/>
  </r>
  <r>
    <s v="5769.4"/>
    <x v="0"/>
    <x v="10"/>
    <x v="0"/>
    <s v="20A"/>
    <s v="Whole Plate"/>
    <s v="Dolichospermum circinale"/>
    <b v="1"/>
    <n v="10"/>
    <n v="16.5"/>
    <m/>
    <n v="3.3"/>
    <n v="1.899612E-3"/>
    <n v="3.3"/>
    <n v="1.899612E-3"/>
    <m/>
  </r>
  <r>
    <s v="5769.5"/>
    <x v="0"/>
    <x v="10"/>
    <x v="0"/>
    <s v="20A"/>
    <s v="Whole Plate"/>
    <s v="Dolichospermum spiroides"/>
    <b v="1"/>
    <n v="10"/>
    <n v="12"/>
    <m/>
    <n v="1.2"/>
    <n v="3.1199999999999999E-4"/>
    <n v="1.2"/>
    <n v="3.1199999999999999E-4"/>
    <m/>
  </r>
  <r>
    <s v="5769.6"/>
    <x v="0"/>
    <x v="10"/>
    <x v="0"/>
    <s v="20A"/>
    <s v="Whole Plate"/>
    <s v="Limnococcus limneticus_x000a_"/>
    <b v="0"/>
    <n v="10"/>
    <n v="12"/>
    <m/>
    <n v="2.4"/>
    <n v="1.08E-3"/>
    <n v="0"/>
    <n v="0"/>
    <m/>
  </r>
  <r>
    <s v="5769.7"/>
    <x v="0"/>
    <x v="10"/>
    <x v="0"/>
    <s v="20A"/>
    <s v="Whole Plate"/>
    <s v="Microcystis sp"/>
    <b v="1"/>
    <n v="10"/>
    <n v="6"/>
    <m/>
    <n v="0.6"/>
    <n v="4.3079142852000003E-5"/>
    <n v="0.6"/>
    <n v="4.3079142852000003E-5"/>
    <s v="Microcystis spp._x000a_"/>
  </r>
  <r>
    <s v="5770.1"/>
    <x v="0"/>
    <x v="11"/>
    <x v="0"/>
    <s v="20A"/>
    <s v="160"/>
    <s v="Dolichospermum circinale"/>
    <b v="1"/>
    <n v="10"/>
    <n v="14.125"/>
    <m/>
    <n v="355.000486111111"/>
    <n v="0.20435247982499999"/>
    <n v="355.000486111111"/>
    <n v="0.20435247982499999"/>
    <m/>
  </r>
  <r>
    <s v="5770.2"/>
    <x v="0"/>
    <x v="11"/>
    <x v="0"/>
    <s v="20A"/>
    <s v="160"/>
    <s v="Aphanocapsa sp"/>
    <b v="0"/>
    <n v="10"/>
    <n v="30"/>
    <m/>
    <n v="94.247916666666697"/>
    <n v="2.1205781250000001E-4"/>
    <n v="0"/>
    <n v="0"/>
    <m/>
  </r>
  <r>
    <s v="5770.3"/>
    <x v="0"/>
    <x v="11"/>
    <x v="0"/>
    <s v="20A"/>
    <s v="160"/>
    <s v="Dolichospermum planctonicum "/>
    <b v="1"/>
    <n v="10"/>
    <n v="6"/>
    <m/>
    <n v="18.8495833333333"/>
    <n v="6.9743458333333197E-3"/>
    <n v="18.8495833333333"/>
    <n v="6.9743458333333197E-3"/>
    <m/>
  </r>
  <r>
    <s v="5770.4"/>
    <x v="0"/>
    <x v="11"/>
    <x v="0"/>
    <s v="20A"/>
    <s v="160"/>
    <s v="Limnococcus limneticus_x000a_"/>
    <b v="0"/>
    <n v="10"/>
    <n v="4"/>
    <m/>
    <n v="12.5663888888889"/>
    <n v="5.6548750000000097E-3"/>
    <n v="0"/>
    <n v="0"/>
    <m/>
  </r>
  <r>
    <s v="5770.5"/>
    <x v="0"/>
    <x v="11"/>
    <x v="0"/>
    <s v="20A"/>
    <s v="160"/>
    <s v="Dolichospermum lemmermannii"/>
    <b v="1"/>
    <n v="10"/>
    <n v="16.6666666666667"/>
    <m/>
    <n v="314.159722222222"/>
    <n v="3.4557569444444401E-2"/>
    <n v="314.159722222222"/>
    <n v="3.4557569444444401E-2"/>
    <m/>
  </r>
  <r>
    <s v="5771.1"/>
    <x v="0"/>
    <x v="12"/>
    <x v="0"/>
    <s v="20A"/>
    <s v="160"/>
    <s v="Dolichospermum lemmermannii"/>
    <b v="1"/>
    <n v="10"/>
    <n v="24.9411764705882"/>
    <m/>
    <n v="1332.03722222222"/>
    <n v="0.146524094444444"/>
    <n v="1332.03722222222"/>
    <n v="0.146524094444444"/>
    <m/>
  </r>
  <r>
    <s v="5771.2"/>
    <x v="0"/>
    <x v="12"/>
    <x v="0"/>
    <s v="20A"/>
    <s v="160"/>
    <s v="Dolichospermum circinale"/>
    <b v="1"/>
    <n v="10"/>
    <n v="30.4"/>
    <m/>
    <n v="477.522777777778"/>
    <n v="0.27488121180000002"/>
    <n v="477.522777777778"/>
    <n v="0.27488121180000002"/>
    <m/>
  </r>
  <r>
    <s v="5771.3"/>
    <x v="0"/>
    <x v="12"/>
    <x v="0"/>
    <s v="20A"/>
    <s v="160"/>
    <s v="Limnococcus limneticus_x000a_"/>
    <b v="0"/>
    <n v="10"/>
    <n v="36"/>
    <m/>
    <n v="113.0975"/>
    <n v="5.0893874999999998E-2"/>
    <n v="0"/>
    <n v="0"/>
    <m/>
  </r>
  <r>
    <s v="5771.4"/>
    <x v="0"/>
    <x v="12"/>
    <x v="0"/>
    <s v="20A"/>
    <s v="160"/>
    <s v="Dolichospermum planctonicum "/>
    <b v="1"/>
    <n v="10"/>
    <n v="5"/>
    <m/>
    <n v="15.707986111111101"/>
    <n v="5.8119548611111098E-3"/>
    <n v="15.707986111111101"/>
    <n v="5.8119548611111098E-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21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10"/>
    </i>
    <i r="1">
      <x v="11"/>
    </i>
    <i r="1">
      <x v="12"/>
    </i>
    <i>
      <x v="1"/>
      <x v="2"/>
    </i>
    <i r="1">
      <x v="3"/>
    </i>
    <i r="1">
      <x v="4"/>
    </i>
    <i r="1">
      <x v="6"/>
    </i>
    <i>
      <x v="2"/>
      <x v="5"/>
    </i>
    <i>
      <x v="3"/>
      <x v="7"/>
    </i>
    <i>
      <x v="4"/>
      <x v="8"/>
    </i>
    <i r="1">
      <x v="9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formats count="18">
    <format dxfId="24">
      <pivotArea outline="0" fieldPosition="0">
        <references count="1">
          <reference field="1" count="1" selected="0">
            <x v="4"/>
          </reference>
        </references>
      </pivotArea>
    </format>
    <format dxfId="23">
      <pivotArea outline="0" fieldPosition="0">
        <references count="2">
          <reference field="1" count="1" selected="0">
            <x v="3"/>
          </reference>
          <reference field="2" count="1" selected="0">
            <x v="7"/>
          </reference>
        </references>
      </pivotArea>
    </format>
    <format dxfId="22">
      <pivotArea outline="0" fieldPosition="0">
        <references count="4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5"/>
          </reference>
          <reference field="3" count="0" selected="0"/>
        </references>
      </pivotArea>
    </format>
    <format dxfId="21">
      <pivotArea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6"/>
          </reference>
          <reference field="3" count="0" selected="0"/>
        </references>
      </pivotArea>
    </format>
    <format dxfId="20">
      <pivotArea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  <reference field="3" count="0" selected="0"/>
        </references>
      </pivotArea>
    </format>
    <format dxfId="19">
      <pivotArea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" count="2" selected="0">
            <x v="4"/>
            <x v="6"/>
          </reference>
          <reference field="3" count="0" selected="0"/>
        </references>
      </pivotArea>
    </format>
    <format dxfId="18">
      <pivotArea outline="0" fieldPosition="0">
        <references count="4">
          <reference field="4294967294" count="1" selected="0">
            <x v="1"/>
          </reference>
          <reference field="1" count="1" selected="0">
            <x v="2"/>
          </reference>
          <reference field="2" count="1" selected="0">
            <x v="5"/>
          </reference>
          <reference field="3" count="0" selected="0"/>
        </references>
      </pivotArea>
    </format>
    <format dxfId="17">
      <pivotArea outline="0" fieldPosition="0">
        <references count="2">
          <reference field="1" count="1" selected="0">
            <x v="1"/>
          </reference>
          <reference field="2" count="1" selected="0">
            <x v="3"/>
          </reference>
        </references>
      </pivotArea>
    </format>
    <format dxfId="16">
      <pivotArea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0" selected="0"/>
        </references>
      </pivotArea>
    </format>
    <format dxfId="15">
      <pivotArea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2"/>
          </reference>
          <reference field="3" count="0" selected="0"/>
        </references>
      </pivotArea>
    </format>
    <format dxfId="14">
      <pivotArea outline="0" fieldPosition="0">
        <references count="2">
          <reference field="1" count="1" selected="0">
            <x v="0"/>
          </reference>
          <reference field="2" count="1" selected="0">
            <x v="12"/>
          </reference>
        </references>
      </pivotArea>
    </format>
    <format dxfId="13">
      <pivotArea outline="0" fieldPosition="0">
        <references count="2">
          <reference field="1" count="1" selected="0">
            <x v="0"/>
          </reference>
          <reference field="2" count="2" selected="0">
            <x v="10"/>
            <x v="11"/>
          </reference>
        </references>
      </pivotArea>
    </format>
    <format dxfId="12">
      <pivotArea outline="0" fieldPosition="0">
        <references count="2">
          <reference field="1" count="1" selected="0">
            <x v="0"/>
          </reference>
          <reference field="2" count="1" selected="0">
            <x v="1"/>
          </reference>
        </references>
      </pivotArea>
    </format>
    <format dxfId="11">
      <pivotArea outline="0" fieldPosition="0">
        <references count="2">
          <reference field="1" count="1" selected="0">
            <x v="0"/>
          </reference>
          <reference field="2" count="1" selected="0">
            <x v="0"/>
          </reference>
        </references>
      </pivotArea>
    </format>
    <format dxfId="10">
      <pivotArea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0" selected="0"/>
        </references>
      </pivotArea>
    </format>
    <format dxfId="9">
      <pivotArea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6"/>
          </reference>
          <reference field="3" count="0" selected="0"/>
        </references>
      </pivotArea>
    </format>
    <format dxfId="2">
      <pivotArea outline="0" fieldPosition="0"/>
    </format>
    <format dxfId="0">
      <pivotArea outline="0" fieldPosition="0"/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CellsPermL" cacheId="1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11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1">
        <item x="0"/>
      </items>
    </pivotField>
    <pivotField name="Site" axis="axisRow" compact="0" outline="0" showAll="0" defaultSubtotal="0">
      <items count="1">
        <item x="0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1">
    <i>
      <x/>
      <x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AlertWarning" cacheId="8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10"/>
    </i>
    <i r="1">
      <x v="11"/>
    </i>
    <i r="1">
      <x v="12"/>
    </i>
    <i>
      <x v="1"/>
      <x v="2"/>
    </i>
    <i r="1">
      <x v="3"/>
    </i>
    <i r="1">
      <x v="4"/>
    </i>
    <i r="1">
      <x v="6"/>
    </i>
    <i>
      <x v="2"/>
      <x v="5"/>
    </i>
    <i>
      <x v="3"/>
      <x v="7"/>
    </i>
    <i>
      <x v="4"/>
      <x v="8"/>
    </i>
    <i r="1">
      <x v="9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62" totalsRowShown="0">
  <autoFilter ref="A1:P62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2" totalsRowShown="0">
  <autoFilter ref="A1:P2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workbookViewId="0"/>
  </sheetViews>
  <sheetFormatPr defaultRowHeight="15" x14ac:dyDescent="0.25"/>
  <cols>
    <col min="1" max="1" width="12.42578125" customWidth="1"/>
    <col min="2" max="2" width="11.85546875" customWidth="1"/>
    <col min="3" max="3" width="13.85546875" customWidth="1"/>
    <col min="4" max="4" width="14.85546875" customWidth="1"/>
    <col min="5" max="5" width="18.5703125" customWidth="1"/>
    <col min="6" max="6" width="14.42578125" customWidth="1"/>
    <col min="7" max="7" width="32.140625" customWidth="1"/>
    <col min="8" max="8" width="16.5703125" customWidth="1"/>
    <col min="9" max="9" width="20.7109375" customWidth="1"/>
    <col min="10" max="10" width="18.28515625" customWidth="1"/>
    <col min="11" max="11" width="20.85546875" customWidth="1"/>
    <col min="12" max="12" width="18.28515625" customWidth="1"/>
    <col min="13" max="13" width="21.42578125" customWidth="1"/>
    <col min="14" max="14" width="23.42578125" customWidth="1"/>
    <col min="15" max="15" width="27.42578125" customWidth="1"/>
    <col min="16" max="16" width="15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24.85</v>
      </c>
      <c r="K2">
        <v>15</v>
      </c>
      <c r="L2">
        <v>2732.40418402778</v>
      </c>
      <c r="M2">
        <v>1.57288114449375</v>
      </c>
      <c r="N2">
        <v>2732.40418402778</v>
      </c>
      <c r="O2">
        <v>1.57288114449375</v>
      </c>
    </row>
    <row r="3" spans="1:16" x14ac:dyDescent="0.2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38</v>
      </c>
      <c r="L3">
        <v>238.761388888889</v>
      </c>
      <c r="M3">
        <v>8.8341713888888895E-2</v>
      </c>
      <c r="N3">
        <v>238.761388888889</v>
      </c>
      <c r="O3">
        <v>8.8341713888888895E-2</v>
      </c>
    </row>
    <row r="4" spans="1:16" x14ac:dyDescent="0.25">
      <c r="A4" t="s">
        <v>25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</v>
      </c>
      <c r="H4" t="b">
        <v>1</v>
      </c>
      <c r="I4">
        <v>10</v>
      </c>
      <c r="J4">
        <v>38.428571428571402</v>
      </c>
      <c r="L4">
        <v>1690.1793055555599</v>
      </c>
      <c r="M4">
        <v>0.185919723611112</v>
      </c>
      <c r="N4">
        <v>1690.1793055555599</v>
      </c>
      <c r="O4">
        <v>0.185919723611112</v>
      </c>
    </row>
    <row r="5" spans="1:16" x14ac:dyDescent="0.25">
      <c r="A5" t="s">
        <v>27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28</v>
      </c>
      <c r="H5" t="b">
        <v>1</v>
      </c>
      <c r="I5">
        <v>10</v>
      </c>
      <c r="J5">
        <v>41.714285714285701</v>
      </c>
      <c r="L5">
        <v>917.34638888888901</v>
      </c>
      <c r="M5">
        <v>0.238510061111111</v>
      </c>
      <c r="N5">
        <v>917.34638888888901</v>
      </c>
      <c r="O5">
        <v>0.238510061111111</v>
      </c>
    </row>
    <row r="6" spans="1:16" x14ac:dyDescent="0.25">
      <c r="A6" t="s">
        <v>29</v>
      </c>
      <c r="B6" t="s">
        <v>17</v>
      </c>
      <c r="C6" t="s">
        <v>30</v>
      </c>
      <c r="D6" t="s">
        <v>19</v>
      </c>
      <c r="E6" t="s">
        <v>20</v>
      </c>
      <c r="F6" t="s">
        <v>21</v>
      </c>
      <c r="G6" t="s">
        <v>22</v>
      </c>
      <c r="H6" t="b">
        <v>1</v>
      </c>
      <c r="I6">
        <v>10</v>
      </c>
      <c r="J6">
        <v>18</v>
      </c>
      <c r="L6">
        <v>56.548749999999998</v>
      </c>
      <c r="M6">
        <v>3.2551722450000001E-2</v>
      </c>
      <c r="N6">
        <v>56.548749999999998</v>
      </c>
      <c r="O6">
        <v>3.2551722450000001E-2</v>
      </c>
    </row>
    <row r="7" spans="1:16" x14ac:dyDescent="0.25">
      <c r="A7" t="s">
        <v>31</v>
      </c>
      <c r="B7" t="s">
        <v>17</v>
      </c>
      <c r="C7" t="s">
        <v>30</v>
      </c>
      <c r="D7" t="s">
        <v>19</v>
      </c>
      <c r="E7" t="s">
        <v>20</v>
      </c>
      <c r="F7" t="s">
        <v>21</v>
      </c>
      <c r="G7" t="s">
        <v>26</v>
      </c>
      <c r="H7" t="b">
        <v>1</v>
      </c>
      <c r="I7">
        <v>10</v>
      </c>
      <c r="J7">
        <v>23.1</v>
      </c>
      <c r="K7">
        <v>26</v>
      </c>
      <c r="L7">
        <v>3338.2612083333302</v>
      </c>
      <c r="M7">
        <v>0.367208732916666</v>
      </c>
      <c r="N7">
        <v>3338.2612083333302</v>
      </c>
      <c r="O7">
        <v>0.367208732916666</v>
      </c>
    </row>
    <row r="8" spans="1:16" x14ac:dyDescent="0.25">
      <c r="A8" t="s">
        <v>32</v>
      </c>
      <c r="B8" t="s">
        <v>17</v>
      </c>
      <c r="C8" t="s">
        <v>30</v>
      </c>
      <c r="D8" t="s">
        <v>19</v>
      </c>
      <c r="E8" t="s">
        <v>20</v>
      </c>
      <c r="F8" t="s">
        <v>21</v>
      </c>
      <c r="G8" t="s">
        <v>33</v>
      </c>
      <c r="H8" t="b">
        <v>1</v>
      </c>
      <c r="I8">
        <v>10</v>
      </c>
      <c r="J8">
        <v>300</v>
      </c>
      <c r="L8">
        <v>942.47916666666697</v>
      </c>
      <c r="M8">
        <v>0</v>
      </c>
      <c r="N8">
        <v>942.47916666666595</v>
      </c>
      <c r="O8">
        <v>0</v>
      </c>
    </row>
    <row r="9" spans="1:16" x14ac:dyDescent="0.25">
      <c r="A9" t="s">
        <v>34</v>
      </c>
      <c r="B9" t="s">
        <v>35</v>
      </c>
      <c r="C9" t="s">
        <v>36</v>
      </c>
      <c r="D9" t="s">
        <v>19</v>
      </c>
      <c r="E9" t="s">
        <v>20</v>
      </c>
      <c r="F9" t="s">
        <v>21</v>
      </c>
      <c r="G9" t="s">
        <v>37</v>
      </c>
      <c r="H9" t="b">
        <v>1</v>
      </c>
      <c r="I9">
        <v>10</v>
      </c>
      <c r="J9">
        <v>11.75</v>
      </c>
      <c r="L9">
        <v>590.62027777777803</v>
      </c>
      <c r="M9">
        <v>4.66590019444445E-2</v>
      </c>
      <c r="N9">
        <v>590.62027777777803</v>
      </c>
      <c r="O9">
        <v>4.66590019444445E-2</v>
      </c>
    </row>
    <row r="10" spans="1:16" x14ac:dyDescent="0.25">
      <c r="A10" t="s">
        <v>38</v>
      </c>
      <c r="B10" t="s">
        <v>35</v>
      </c>
      <c r="C10" t="s">
        <v>36</v>
      </c>
      <c r="D10" t="s">
        <v>19</v>
      </c>
      <c r="E10" t="s">
        <v>20</v>
      </c>
      <c r="F10" t="s">
        <v>21</v>
      </c>
      <c r="G10" t="s">
        <v>22</v>
      </c>
      <c r="H10" t="b">
        <v>1</v>
      </c>
      <c r="I10">
        <v>10</v>
      </c>
      <c r="J10">
        <v>27.45</v>
      </c>
      <c r="K10">
        <v>84</v>
      </c>
      <c r="L10">
        <v>8968.6317500000005</v>
      </c>
      <c r="M10">
        <v>5.1627031805700003</v>
      </c>
      <c r="N10">
        <v>8968.6317500000005</v>
      </c>
      <c r="O10">
        <v>5.1627031805700003</v>
      </c>
    </row>
    <row r="11" spans="1:16" x14ac:dyDescent="0.25">
      <c r="A11" t="s">
        <v>39</v>
      </c>
      <c r="B11" t="s">
        <v>35</v>
      </c>
      <c r="C11" t="s">
        <v>36</v>
      </c>
      <c r="D11" t="s">
        <v>19</v>
      </c>
      <c r="E11" t="s">
        <v>20</v>
      </c>
      <c r="F11" t="s">
        <v>21</v>
      </c>
      <c r="G11" t="s">
        <v>40</v>
      </c>
      <c r="H11" t="b">
        <v>1</v>
      </c>
      <c r="I11">
        <v>10</v>
      </c>
      <c r="J11">
        <v>7.6666666666666696</v>
      </c>
      <c r="L11">
        <v>144.51347222222199</v>
      </c>
      <c r="M11">
        <v>8.6708083333333196E-3</v>
      </c>
      <c r="N11">
        <v>144.51347222222199</v>
      </c>
      <c r="O11">
        <v>8.6708083333333196E-3</v>
      </c>
    </row>
    <row r="12" spans="1:16" x14ac:dyDescent="0.25">
      <c r="A12" t="s">
        <v>41</v>
      </c>
      <c r="B12" t="s">
        <v>35</v>
      </c>
      <c r="C12" t="s">
        <v>36</v>
      </c>
      <c r="D12" t="s">
        <v>19</v>
      </c>
      <c r="E12" t="s">
        <v>20</v>
      </c>
      <c r="F12" t="s">
        <v>21</v>
      </c>
      <c r="G12" t="s">
        <v>42</v>
      </c>
      <c r="H12" t="b">
        <v>0</v>
      </c>
      <c r="I12">
        <v>10</v>
      </c>
      <c r="J12">
        <v>18</v>
      </c>
      <c r="L12">
        <v>56.548749999999998</v>
      </c>
      <c r="M12">
        <v>1.2723468750000001E-4</v>
      </c>
      <c r="N12">
        <v>0</v>
      </c>
      <c r="O12">
        <v>0</v>
      </c>
    </row>
    <row r="13" spans="1:16" x14ac:dyDescent="0.25">
      <c r="A13" t="s">
        <v>43</v>
      </c>
      <c r="B13" t="s">
        <v>35</v>
      </c>
      <c r="C13" t="s">
        <v>36</v>
      </c>
      <c r="D13" t="s">
        <v>19</v>
      </c>
      <c r="E13" t="s">
        <v>20</v>
      </c>
      <c r="F13" t="s">
        <v>21</v>
      </c>
      <c r="G13" t="s">
        <v>28</v>
      </c>
      <c r="H13" t="b">
        <v>1</v>
      </c>
      <c r="I13">
        <v>10</v>
      </c>
      <c r="J13">
        <v>25</v>
      </c>
      <c r="L13">
        <v>78.5399305555555</v>
      </c>
      <c r="M13">
        <v>2.04203819444445E-2</v>
      </c>
      <c r="N13">
        <v>78.5399305555556</v>
      </c>
      <c r="O13">
        <v>2.04203819444445E-2</v>
      </c>
    </row>
    <row r="14" spans="1:16" x14ac:dyDescent="0.25">
      <c r="A14" t="s">
        <v>44</v>
      </c>
      <c r="B14" t="s">
        <v>35</v>
      </c>
      <c r="C14" t="s">
        <v>36</v>
      </c>
      <c r="D14" t="s">
        <v>19</v>
      </c>
      <c r="E14" t="s">
        <v>20</v>
      </c>
      <c r="F14" t="s">
        <v>21</v>
      </c>
      <c r="G14" t="s">
        <v>24</v>
      </c>
      <c r="H14" t="b">
        <v>1</v>
      </c>
      <c r="I14">
        <v>10</v>
      </c>
      <c r="J14">
        <v>20</v>
      </c>
      <c r="L14">
        <v>62.831944444444403</v>
      </c>
      <c r="M14">
        <v>2.3247819444444401E-2</v>
      </c>
      <c r="N14">
        <v>62.831944444444403</v>
      </c>
      <c r="O14">
        <v>2.3247819444444401E-2</v>
      </c>
    </row>
    <row r="15" spans="1:16" x14ac:dyDescent="0.25">
      <c r="A15" t="s">
        <v>45</v>
      </c>
      <c r="B15" t="s">
        <v>35</v>
      </c>
      <c r="C15" t="s">
        <v>46</v>
      </c>
      <c r="D15" t="s">
        <v>19</v>
      </c>
      <c r="E15" t="s">
        <v>20</v>
      </c>
      <c r="F15" t="s">
        <v>21</v>
      </c>
      <c r="G15" t="s">
        <v>22</v>
      </c>
      <c r="H15" t="b">
        <v>1</v>
      </c>
      <c r="I15">
        <v>10</v>
      </c>
      <c r="J15">
        <v>37.9</v>
      </c>
      <c r="K15">
        <v>135</v>
      </c>
      <c r="L15">
        <v>18455.312881944399</v>
      </c>
      <c r="M15">
        <v>10.6236163073625</v>
      </c>
      <c r="N15">
        <v>18455.312881944399</v>
      </c>
      <c r="O15">
        <v>10.6236163073625</v>
      </c>
    </row>
    <row r="16" spans="1:16" x14ac:dyDescent="0.25">
      <c r="A16" t="s">
        <v>47</v>
      </c>
      <c r="B16" t="s">
        <v>35</v>
      </c>
      <c r="C16" t="s">
        <v>46</v>
      </c>
      <c r="D16" t="s">
        <v>19</v>
      </c>
      <c r="E16" t="s">
        <v>20</v>
      </c>
      <c r="F16" t="s">
        <v>21</v>
      </c>
      <c r="G16" t="s">
        <v>24</v>
      </c>
      <c r="H16" t="b">
        <v>1</v>
      </c>
      <c r="I16">
        <v>10</v>
      </c>
      <c r="J16">
        <v>20.5</v>
      </c>
      <c r="L16">
        <v>128.80548611111101</v>
      </c>
      <c r="M16">
        <v>4.7658029861111097E-2</v>
      </c>
      <c r="N16">
        <v>128.80548611111101</v>
      </c>
      <c r="O16">
        <v>4.7658029861111097E-2</v>
      </c>
    </row>
    <row r="17" spans="1:15" x14ac:dyDescent="0.25">
      <c r="A17" t="s">
        <v>48</v>
      </c>
      <c r="B17" t="s">
        <v>35</v>
      </c>
      <c r="C17" t="s">
        <v>46</v>
      </c>
      <c r="D17" t="s">
        <v>19</v>
      </c>
      <c r="E17" t="s">
        <v>20</v>
      </c>
      <c r="F17" t="s">
        <v>21</v>
      </c>
      <c r="G17" t="s">
        <v>49</v>
      </c>
      <c r="H17" t="b">
        <v>1</v>
      </c>
      <c r="I17">
        <v>10</v>
      </c>
      <c r="J17">
        <v>14</v>
      </c>
      <c r="L17">
        <v>43.982361111111103</v>
      </c>
      <c r="M17">
        <v>4.1053135861111104E-3</v>
      </c>
      <c r="N17">
        <v>43.982361111111103</v>
      </c>
      <c r="O17">
        <v>4.1053135861111104E-3</v>
      </c>
    </row>
    <row r="18" spans="1:15" x14ac:dyDescent="0.25">
      <c r="A18" t="s">
        <v>50</v>
      </c>
      <c r="B18" t="s">
        <v>35</v>
      </c>
      <c r="C18" t="s">
        <v>46</v>
      </c>
      <c r="D18" t="s">
        <v>19</v>
      </c>
      <c r="E18" t="s">
        <v>20</v>
      </c>
      <c r="F18" t="s">
        <v>21</v>
      </c>
      <c r="G18" t="s">
        <v>28</v>
      </c>
      <c r="H18" t="b">
        <v>1</v>
      </c>
      <c r="I18">
        <v>10</v>
      </c>
      <c r="J18">
        <v>30.6666666666667</v>
      </c>
      <c r="L18">
        <v>289.02694444444398</v>
      </c>
      <c r="M18">
        <v>7.5147005555555396E-2</v>
      </c>
      <c r="N18">
        <v>289.02694444444398</v>
      </c>
      <c r="O18">
        <v>7.5147005555555396E-2</v>
      </c>
    </row>
    <row r="19" spans="1:15" x14ac:dyDescent="0.25">
      <c r="A19" t="s">
        <v>51</v>
      </c>
      <c r="B19" t="s">
        <v>35</v>
      </c>
      <c r="C19" t="s">
        <v>46</v>
      </c>
      <c r="D19" t="s">
        <v>19</v>
      </c>
      <c r="E19" t="s">
        <v>20</v>
      </c>
      <c r="F19" t="s">
        <v>21</v>
      </c>
      <c r="G19" t="s">
        <v>40</v>
      </c>
      <c r="H19" t="b">
        <v>1</v>
      </c>
      <c r="I19">
        <v>10</v>
      </c>
      <c r="J19">
        <v>6</v>
      </c>
      <c r="L19">
        <v>18.8495833333333</v>
      </c>
      <c r="M19">
        <v>1.130975E-3</v>
      </c>
      <c r="N19">
        <v>18.8495833333333</v>
      </c>
      <c r="O19">
        <v>1.130975E-3</v>
      </c>
    </row>
    <row r="20" spans="1:15" x14ac:dyDescent="0.25">
      <c r="A20" t="s">
        <v>52</v>
      </c>
      <c r="B20" t="s">
        <v>35</v>
      </c>
      <c r="C20" t="s">
        <v>53</v>
      </c>
      <c r="D20" t="s">
        <v>19</v>
      </c>
      <c r="E20" t="s">
        <v>20</v>
      </c>
      <c r="F20" t="s">
        <v>21</v>
      </c>
      <c r="G20" t="s">
        <v>22</v>
      </c>
      <c r="H20" t="b">
        <v>1</v>
      </c>
      <c r="I20">
        <v>10</v>
      </c>
      <c r="J20">
        <v>31.75</v>
      </c>
      <c r="K20">
        <v>15</v>
      </c>
      <c r="L20">
        <v>3491.09991319444</v>
      </c>
      <c r="M20">
        <v>2.0096167540312502</v>
      </c>
      <c r="N20">
        <v>3491.09991319444</v>
      </c>
      <c r="O20">
        <v>2.0096167540312502</v>
      </c>
    </row>
    <row r="21" spans="1:15" x14ac:dyDescent="0.25">
      <c r="A21" t="s">
        <v>54</v>
      </c>
      <c r="B21" t="s">
        <v>35</v>
      </c>
      <c r="C21" t="s">
        <v>53</v>
      </c>
      <c r="D21" t="s">
        <v>19</v>
      </c>
      <c r="E21" t="s">
        <v>20</v>
      </c>
      <c r="F21" t="s">
        <v>21</v>
      </c>
      <c r="G21" t="s">
        <v>40</v>
      </c>
      <c r="H21" t="b">
        <v>1</v>
      </c>
      <c r="I21">
        <v>10</v>
      </c>
      <c r="J21">
        <v>14.6666666666667</v>
      </c>
      <c r="L21">
        <v>138.23027777777801</v>
      </c>
      <c r="M21">
        <v>8.2938166666666792E-3</v>
      </c>
      <c r="N21">
        <v>138.23027777777801</v>
      </c>
      <c r="O21">
        <v>8.2938166666666792E-3</v>
      </c>
    </row>
    <row r="22" spans="1:15" x14ac:dyDescent="0.25">
      <c r="A22" t="s">
        <v>55</v>
      </c>
      <c r="B22" t="s">
        <v>35</v>
      </c>
      <c r="C22" t="s">
        <v>53</v>
      </c>
      <c r="D22" t="s">
        <v>19</v>
      </c>
      <c r="E22" t="s">
        <v>20</v>
      </c>
      <c r="F22" t="s">
        <v>21</v>
      </c>
      <c r="G22" t="s">
        <v>28</v>
      </c>
      <c r="H22" t="b">
        <v>1</v>
      </c>
      <c r="I22">
        <v>10</v>
      </c>
      <c r="J22">
        <v>29</v>
      </c>
      <c r="L22">
        <v>182.21263888888899</v>
      </c>
      <c r="M22">
        <v>4.7375286111111102E-2</v>
      </c>
      <c r="N22">
        <v>182.21263888888899</v>
      </c>
      <c r="O22">
        <v>4.7375286111111102E-2</v>
      </c>
    </row>
    <row r="23" spans="1:15" x14ac:dyDescent="0.25">
      <c r="A23" t="s">
        <v>56</v>
      </c>
      <c r="B23" t="s">
        <v>35</v>
      </c>
      <c r="C23" t="s">
        <v>53</v>
      </c>
      <c r="D23" t="s">
        <v>19</v>
      </c>
      <c r="E23" t="s">
        <v>20</v>
      </c>
      <c r="F23" t="s">
        <v>21</v>
      </c>
      <c r="G23" t="s">
        <v>42</v>
      </c>
      <c r="H23" t="b">
        <v>0</v>
      </c>
      <c r="I23">
        <v>10</v>
      </c>
      <c r="J23">
        <v>28</v>
      </c>
      <c r="L23">
        <v>87.964722222222207</v>
      </c>
      <c r="M23">
        <v>1.97920625E-4</v>
      </c>
      <c r="N23">
        <v>0</v>
      </c>
      <c r="O23">
        <v>0</v>
      </c>
    </row>
    <row r="24" spans="1:15" x14ac:dyDescent="0.25">
      <c r="A24" t="s">
        <v>57</v>
      </c>
      <c r="B24" t="s">
        <v>58</v>
      </c>
      <c r="C24" t="s">
        <v>59</v>
      </c>
      <c r="D24" t="s">
        <v>19</v>
      </c>
      <c r="E24" t="s">
        <v>20</v>
      </c>
      <c r="F24" t="s">
        <v>21</v>
      </c>
      <c r="G24" t="s">
        <v>22</v>
      </c>
      <c r="H24" t="b">
        <v>1</v>
      </c>
      <c r="I24">
        <v>10</v>
      </c>
      <c r="J24">
        <v>34.6</v>
      </c>
      <c r="K24">
        <v>56</v>
      </c>
      <c r="L24">
        <v>8261.1440555555491</v>
      </c>
      <c r="M24">
        <v>4.7554449641399996</v>
      </c>
      <c r="N24">
        <v>8261.14405555556</v>
      </c>
      <c r="O24">
        <v>4.7554449641399996</v>
      </c>
    </row>
    <row r="25" spans="1:15" x14ac:dyDescent="0.25">
      <c r="A25" t="s">
        <v>60</v>
      </c>
      <c r="B25" t="s">
        <v>58</v>
      </c>
      <c r="C25" t="s">
        <v>59</v>
      </c>
      <c r="D25" t="s">
        <v>19</v>
      </c>
      <c r="E25" t="s">
        <v>20</v>
      </c>
      <c r="F25" t="s">
        <v>21</v>
      </c>
      <c r="G25" t="s">
        <v>40</v>
      </c>
      <c r="H25" t="b">
        <v>1</v>
      </c>
      <c r="I25">
        <v>10</v>
      </c>
      <c r="J25">
        <v>8</v>
      </c>
      <c r="L25">
        <v>25.1327777777778</v>
      </c>
      <c r="M25">
        <v>1.5079666666666699E-3</v>
      </c>
      <c r="N25">
        <v>25.1327777777778</v>
      </c>
      <c r="O25">
        <v>1.5079666666666699E-3</v>
      </c>
    </row>
    <row r="26" spans="1:15" x14ac:dyDescent="0.25">
      <c r="A26" t="s">
        <v>61</v>
      </c>
      <c r="B26" t="s">
        <v>58</v>
      </c>
      <c r="C26" t="s">
        <v>59</v>
      </c>
      <c r="D26" t="s">
        <v>19</v>
      </c>
      <c r="E26" t="s">
        <v>20</v>
      </c>
      <c r="F26" t="s">
        <v>21</v>
      </c>
      <c r="G26" t="s">
        <v>24</v>
      </c>
      <c r="H26" t="b">
        <v>1</v>
      </c>
      <c r="I26">
        <v>10</v>
      </c>
      <c r="J26">
        <v>16</v>
      </c>
      <c r="L26">
        <v>251.32777777777801</v>
      </c>
      <c r="M26">
        <v>9.2991277777777895E-2</v>
      </c>
      <c r="N26">
        <v>251.32777777777801</v>
      </c>
      <c r="O26">
        <v>9.2991277777777895E-2</v>
      </c>
    </row>
    <row r="27" spans="1:15" x14ac:dyDescent="0.25">
      <c r="A27" t="s">
        <v>62</v>
      </c>
      <c r="B27" t="s">
        <v>58</v>
      </c>
      <c r="C27" t="s">
        <v>59</v>
      </c>
      <c r="D27" t="s">
        <v>19</v>
      </c>
      <c r="E27" t="s">
        <v>20</v>
      </c>
      <c r="F27" t="s">
        <v>21</v>
      </c>
      <c r="G27" t="s">
        <v>26</v>
      </c>
      <c r="H27" t="b">
        <v>1</v>
      </c>
      <c r="I27">
        <v>10</v>
      </c>
      <c r="J27">
        <v>35</v>
      </c>
      <c r="L27">
        <v>109.95590277777799</v>
      </c>
      <c r="M27">
        <v>1.2095149305555599E-2</v>
      </c>
      <c r="N27">
        <v>109.95590277777799</v>
      </c>
      <c r="O27">
        <v>1.2095149305555599E-2</v>
      </c>
    </row>
    <row r="28" spans="1:15" x14ac:dyDescent="0.25">
      <c r="A28" t="s">
        <v>63</v>
      </c>
      <c r="B28" t="s">
        <v>58</v>
      </c>
      <c r="C28" t="s">
        <v>59</v>
      </c>
      <c r="D28" t="s">
        <v>19</v>
      </c>
      <c r="E28" t="s">
        <v>20</v>
      </c>
      <c r="F28" t="s">
        <v>21</v>
      </c>
      <c r="G28" t="s">
        <v>28</v>
      </c>
      <c r="H28" t="b">
        <v>1</v>
      </c>
      <c r="I28">
        <v>10</v>
      </c>
      <c r="J28">
        <v>24.5</v>
      </c>
      <c r="L28">
        <v>307.87652777777799</v>
      </c>
      <c r="M28">
        <v>8.0047897222222303E-2</v>
      </c>
      <c r="N28">
        <v>307.87652777777799</v>
      </c>
      <c r="O28">
        <v>8.0047897222222303E-2</v>
      </c>
    </row>
    <row r="29" spans="1:15" x14ac:dyDescent="0.25">
      <c r="A29" t="s">
        <v>64</v>
      </c>
      <c r="B29" t="s">
        <v>35</v>
      </c>
      <c r="C29" t="s">
        <v>65</v>
      </c>
      <c r="D29" t="s">
        <v>19</v>
      </c>
      <c r="E29" t="s">
        <v>20</v>
      </c>
      <c r="F29" t="s">
        <v>21</v>
      </c>
      <c r="G29" t="s">
        <v>22</v>
      </c>
      <c r="H29" t="b">
        <v>1</v>
      </c>
      <c r="I29">
        <v>10</v>
      </c>
      <c r="J29">
        <v>25.15</v>
      </c>
      <c r="K29">
        <v>5</v>
      </c>
      <c r="L29">
        <v>1975.27925347222</v>
      </c>
      <c r="M29">
        <v>1.1370497494687499</v>
      </c>
      <c r="N29">
        <v>1975.27925347222</v>
      </c>
      <c r="O29">
        <v>1.1370497494687499</v>
      </c>
    </row>
    <row r="30" spans="1:15" x14ac:dyDescent="0.25">
      <c r="A30" t="s">
        <v>66</v>
      </c>
      <c r="B30" t="s">
        <v>35</v>
      </c>
      <c r="C30" t="s">
        <v>65</v>
      </c>
      <c r="D30" t="s">
        <v>19</v>
      </c>
      <c r="E30" t="s">
        <v>20</v>
      </c>
      <c r="F30" t="s">
        <v>21</v>
      </c>
      <c r="G30" t="s">
        <v>28</v>
      </c>
      <c r="H30" t="b">
        <v>1</v>
      </c>
      <c r="I30">
        <v>10</v>
      </c>
      <c r="J30">
        <v>25.5</v>
      </c>
      <c r="L30">
        <v>160.221458333333</v>
      </c>
      <c r="M30">
        <v>4.1657579166666597E-2</v>
      </c>
      <c r="N30">
        <v>160.221458333333</v>
      </c>
      <c r="O30">
        <v>4.1657579166666597E-2</v>
      </c>
    </row>
    <row r="31" spans="1:15" x14ac:dyDescent="0.25">
      <c r="A31" t="s">
        <v>67</v>
      </c>
      <c r="B31" t="s">
        <v>35</v>
      </c>
      <c r="C31" t="s">
        <v>65</v>
      </c>
      <c r="D31" t="s">
        <v>19</v>
      </c>
      <c r="E31" t="s">
        <v>20</v>
      </c>
      <c r="F31" t="s">
        <v>21</v>
      </c>
      <c r="G31" t="s">
        <v>26</v>
      </c>
      <c r="H31" t="b">
        <v>1</v>
      </c>
      <c r="I31">
        <v>10</v>
      </c>
      <c r="J31">
        <v>12</v>
      </c>
      <c r="L31">
        <v>37.699166666666699</v>
      </c>
      <c r="M31">
        <v>4.1469083333333396E-3</v>
      </c>
      <c r="N31">
        <v>37.699166666666699</v>
      </c>
      <c r="O31">
        <v>4.1469083333333396E-3</v>
      </c>
    </row>
    <row r="32" spans="1:15" x14ac:dyDescent="0.25">
      <c r="A32" t="s">
        <v>68</v>
      </c>
      <c r="B32" t="s">
        <v>69</v>
      </c>
      <c r="C32" t="s">
        <v>70</v>
      </c>
      <c r="D32" t="s">
        <v>19</v>
      </c>
      <c r="E32" t="s">
        <v>20</v>
      </c>
      <c r="F32" t="s">
        <v>71</v>
      </c>
      <c r="G32" t="s">
        <v>33</v>
      </c>
      <c r="H32" t="b">
        <v>1</v>
      </c>
      <c r="I32">
        <v>10</v>
      </c>
      <c r="J32">
        <v>274</v>
      </c>
      <c r="L32">
        <v>13772.7622222222</v>
      </c>
      <c r="M32">
        <v>0</v>
      </c>
      <c r="N32">
        <v>13772.7622222222</v>
      </c>
      <c r="O32">
        <v>0</v>
      </c>
    </row>
    <row r="33" spans="1:15" x14ac:dyDescent="0.25">
      <c r="A33" t="s">
        <v>72</v>
      </c>
      <c r="B33" t="s">
        <v>69</v>
      </c>
      <c r="C33" t="s">
        <v>70</v>
      </c>
      <c r="D33" t="s">
        <v>19</v>
      </c>
      <c r="E33" t="s">
        <v>20</v>
      </c>
      <c r="F33" t="s">
        <v>71</v>
      </c>
      <c r="G33" t="s">
        <v>22</v>
      </c>
      <c r="H33" t="b">
        <v>1</v>
      </c>
      <c r="I33">
        <v>10</v>
      </c>
      <c r="J33">
        <v>19.75</v>
      </c>
      <c r="K33">
        <v>69</v>
      </c>
      <c r="L33">
        <v>44177.140138888899</v>
      </c>
      <c r="M33">
        <v>25.430128949549999</v>
      </c>
      <c r="N33">
        <v>44177.140138888899</v>
      </c>
      <c r="O33">
        <v>25.430128949549999</v>
      </c>
    </row>
    <row r="34" spans="1:15" x14ac:dyDescent="0.25">
      <c r="A34" t="s">
        <v>73</v>
      </c>
      <c r="B34" t="s">
        <v>69</v>
      </c>
      <c r="C34" t="s">
        <v>70</v>
      </c>
      <c r="D34" t="s">
        <v>19</v>
      </c>
      <c r="E34" t="s">
        <v>20</v>
      </c>
      <c r="F34" t="s">
        <v>71</v>
      </c>
      <c r="G34" t="s">
        <v>24</v>
      </c>
      <c r="H34" t="b">
        <v>1</v>
      </c>
      <c r="I34">
        <v>10</v>
      </c>
      <c r="J34">
        <v>17.5</v>
      </c>
      <c r="L34">
        <v>1759.2944444444399</v>
      </c>
      <c r="M34">
        <v>0.650938944444443</v>
      </c>
      <c r="N34">
        <v>1759.2944444444399</v>
      </c>
      <c r="O34">
        <v>0.650938944444443</v>
      </c>
    </row>
    <row r="35" spans="1:15" x14ac:dyDescent="0.25">
      <c r="A35" t="s">
        <v>74</v>
      </c>
      <c r="B35" t="s">
        <v>69</v>
      </c>
      <c r="C35" t="s">
        <v>70</v>
      </c>
      <c r="D35" t="s">
        <v>19</v>
      </c>
      <c r="E35" t="s">
        <v>20</v>
      </c>
      <c r="F35" t="s">
        <v>71</v>
      </c>
      <c r="G35" t="s">
        <v>28</v>
      </c>
      <c r="H35" t="b">
        <v>1</v>
      </c>
      <c r="I35">
        <v>10</v>
      </c>
      <c r="J35">
        <v>18.6666666666667</v>
      </c>
      <c r="L35">
        <v>2814.8711111111102</v>
      </c>
      <c r="M35">
        <v>0.73186648888888906</v>
      </c>
      <c r="N35">
        <v>2814.8711111111102</v>
      </c>
      <c r="O35">
        <v>0.73186648888888906</v>
      </c>
    </row>
    <row r="36" spans="1:15" x14ac:dyDescent="0.25">
      <c r="A36" t="s">
        <v>75</v>
      </c>
      <c r="B36" t="s">
        <v>69</v>
      </c>
      <c r="C36" t="s">
        <v>70</v>
      </c>
      <c r="D36" t="s">
        <v>19</v>
      </c>
      <c r="E36" t="s">
        <v>20</v>
      </c>
      <c r="F36" t="s">
        <v>71</v>
      </c>
      <c r="G36" t="s">
        <v>26</v>
      </c>
      <c r="H36" t="b">
        <v>1</v>
      </c>
      <c r="I36">
        <v>10</v>
      </c>
      <c r="J36">
        <v>28</v>
      </c>
      <c r="L36">
        <v>2111.15333333333</v>
      </c>
      <c r="M36">
        <v>0.232226866666666</v>
      </c>
      <c r="N36">
        <v>2111.15333333333</v>
      </c>
      <c r="O36">
        <v>0.232226866666666</v>
      </c>
    </row>
    <row r="37" spans="1:15" x14ac:dyDescent="0.25">
      <c r="A37" t="s">
        <v>76</v>
      </c>
      <c r="B37" t="s">
        <v>69</v>
      </c>
      <c r="C37" t="s">
        <v>70</v>
      </c>
      <c r="D37" t="s">
        <v>19</v>
      </c>
      <c r="E37" t="s">
        <v>20</v>
      </c>
      <c r="F37" t="s">
        <v>71</v>
      </c>
      <c r="G37" t="s">
        <v>37</v>
      </c>
      <c r="H37" t="b">
        <v>1</v>
      </c>
      <c r="I37">
        <v>10</v>
      </c>
      <c r="J37">
        <v>18</v>
      </c>
      <c r="L37">
        <v>452.39</v>
      </c>
      <c r="M37">
        <v>3.5738810000000003E-2</v>
      </c>
      <c r="N37">
        <v>452.39</v>
      </c>
      <c r="O37">
        <v>3.5738810000000003E-2</v>
      </c>
    </row>
    <row r="38" spans="1:15" x14ac:dyDescent="0.25">
      <c r="A38" t="s">
        <v>77</v>
      </c>
      <c r="B38" t="s">
        <v>78</v>
      </c>
      <c r="C38" t="s">
        <v>79</v>
      </c>
      <c r="D38" t="s">
        <v>19</v>
      </c>
      <c r="E38" t="s">
        <v>20</v>
      </c>
      <c r="F38" t="s">
        <v>80</v>
      </c>
      <c r="G38" t="s">
        <v>26</v>
      </c>
      <c r="H38" t="b">
        <v>1</v>
      </c>
      <c r="I38">
        <v>10</v>
      </c>
      <c r="J38">
        <v>13.15</v>
      </c>
      <c r="K38">
        <v>280</v>
      </c>
      <c r="L38">
        <v>394.5</v>
      </c>
      <c r="M38">
        <v>4.3395000000000003E-2</v>
      </c>
      <c r="N38">
        <v>394.5</v>
      </c>
      <c r="O38">
        <v>4.3395000000000003E-2</v>
      </c>
    </row>
    <row r="39" spans="1:15" x14ac:dyDescent="0.25">
      <c r="A39" t="s">
        <v>81</v>
      </c>
      <c r="B39" t="s">
        <v>78</v>
      </c>
      <c r="C39" t="s">
        <v>79</v>
      </c>
      <c r="D39" t="s">
        <v>19</v>
      </c>
      <c r="E39" t="s">
        <v>20</v>
      </c>
      <c r="F39" t="s">
        <v>80</v>
      </c>
      <c r="G39" t="s">
        <v>82</v>
      </c>
      <c r="H39" t="b">
        <v>1</v>
      </c>
      <c r="I39">
        <v>10</v>
      </c>
      <c r="J39">
        <v>10.25</v>
      </c>
      <c r="L39">
        <v>12.3</v>
      </c>
      <c r="M39">
        <v>4.797E-4</v>
      </c>
      <c r="N39">
        <v>12.3</v>
      </c>
      <c r="O39">
        <v>4.797E-4</v>
      </c>
    </row>
    <row r="40" spans="1:15" x14ac:dyDescent="0.25">
      <c r="A40" t="s">
        <v>83</v>
      </c>
      <c r="B40" t="s">
        <v>78</v>
      </c>
      <c r="C40" t="s">
        <v>79</v>
      </c>
      <c r="D40" t="s">
        <v>19</v>
      </c>
      <c r="E40" t="s">
        <v>20</v>
      </c>
      <c r="F40" t="s">
        <v>80</v>
      </c>
      <c r="G40" t="s">
        <v>28</v>
      </c>
      <c r="H40" t="b">
        <v>1</v>
      </c>
      <c r="I40">
        <v>10</v>
      </c>
      <c r="J40">
        <v>19</v>
      </c>
      <c r="L40">
        <v>3.8</v>
      </c>
      <c r="M40">
        <v>9.8799999999999995E-4</v>
      </c>
      <c r="N40">
        <v>3.8</v>
      </c>
      <c r="O40">
        <v>9.8799999999999995E-4</v>
      </c>
    </row>
    <row r="41" spans="1:15" x14ac:dyDescent="0.25">
      <c r="A41" t="s">
        <v>84</v>
      </c>
      <c r="B41" t="s">
        <v>78</v>
      </c>
      <c r="C41" t="s">
        <v>79</v>
      </c>
      <c r="D41" t="s">
        <v>19</v>
      </c>
      <c r="E41" t="s">
        <v>20</v>
      </c>
      <c r="F41" t="s">
        <v>80</v>
      </c>
      <c r="G41" t="s">
        <v>85</v>
      </c>
      <c r="H41" t="b">
        <v>1</v>
      </c>
      <c r="I41">
        <v>10</v>
      </c>
      <c r="J41">
        <v>13</v>
      </c>
      <c r="L41">
        <v>3.9</v>
      </c>
      <c r="M41">
        <v>7.4100000000000001E-4</v>
      </c>
      <c r="N41">
        <v>3.9</v>
      </c>
      <c r="O41">
        <v>7.4100000000000001E-4</v>
      </c>
    </row>
    <row r="42" spans="1:15" x14ac:dyDescent="0.25">
      <c r="A42" t="s">
        <v>86</v>
      </c>
      <c r="B42" t="s">
        <v>78</v>
      </c>
      <c r="C42" t="s">
        <v>79</v>
      </c>
      <c r="D42" t="s">
        <v>19</v>
      </c>
      <c r="E42" t="s">
        <v>20</v>
      </c>
      <c r="F42" t="s">
        <v>80</v>
      </c>
      <c r="G42" t="s">
        <v>24</v>
      </c>
      <c r="H42" t="b">
        <v>1</v>
      </c>
      <c r="I42">
        <v>10</v>
      </c>
      <c r="J42">
        <v>26.6666666666667</v>
      </c>
      <c r="L42">
        <v>8</v>
      </c>
      <c r="M42">
        <v>2.96E-3</v>
      </c>
      <c r="N42">
        <v>8</v>
      </c>
      <c r="O42">
        <v>2.96E-3</v>
      </c>
    </row>
    <row r="43" spans="1:15" x14ac:dyDescent="0.25">
      <c r="A43" t="s">
        <v>87</v>
      </c>
      <c r="B43" t="s">
        <v>78</v>
      </c>
      <c r="C43" t="s">
        <v>88</v>
      </c>
      <c r="D43" t="s">
        <v>19</v>
      </c>
      <c r="E43" t="s">
        <v>20</v>
      </c>
      <c r="F43" t="s">
        <v>21</v>
      </c>
      <c r="G43" t="s">
        <v>85</v>
      </c>
      <c r="H43" t="b">
        <v>1</v>
      </c>
      <c r="I43">
        <v>10</v>
      </c>
      <c r="J43">
        <v>11.85</v>
      </c>
      <c r="K43">
        <v>45</v>
      </c>
      <c r="L43">
        <v>2419.8152604166698</v>
      </c>
      <c r="M43">
        <v>0.45976489947916699</v>
      </c>
      <c r="N43">
        <v>2419.8152604166698</v>
      </c>
      <c r="O43">
        <v>0.45976489947916699</v>
      </c>
    </row>
    <row r="44" spans="1:15" x14ac:dyDescent="0.25">
      <c r="A44" t="s">
        <v>89</v>
      </c>
      <c r="B44" t="s">
        <v>78</v>
      </c>
      <c r="C44" t="s">
        <v>88</v>
      </c>
      <c r="D44" t="s">
        <v>19</v>
      </c>
      <c r="E44" t="s">
        <v>20</v>
      </c>
      <c r="F44" t="s">
        <v>21</v>
      </c>
      <c r="G44" t="s">
        <v>82</v>
      </c>
      <c r="H44" t="b">
        <v>1</v>
      </c>
      <c r="I44">
        <v>10</v>
      </c>
      <c r="J44">
        <v>11</v>
      </c>
      <c r="L44">
        <v>69.115138888888893</v>
      </c>
      <c r="M44">
        <v>2.69549041666667E-3</v>
      </c>
      <c r="N44">
        <v>69.115138888888893</v>
      </c>
      <c r="O44">
        <v>2.69549041666667E-3</v>
      </c>
    </row>
    <row r="45" spans="1:15" x14ac:dyDescent="0.25">
      <c r="A45" t="s">
        <v>90</v>
      </c>
      <c r="B45" t="s">
        <v>78</v>
      </c>
      <c r="C45" t="s">
        <v>88</v>
      </c>
      <c r="D45" t="s">
        <v>19</v>
      </c>
      <c r="E45" t="s">
        <v>20</v>
      </c>
      <c r="F45" t="s">
        <v>21</v>
      </c>
      <c r="G45" t="s">
        <v>24</v>
      </c>
      <c r="H45" t="b">
        <v>1</v>
      </c>
      <c r="I45">
        <v>10</v>
      </c>
      <c r="J45">
        <v>20</v>
      </c>
      <c r="L45">
        <v>62.831944444444403</v>
      </c>
      <c r="M45">
        <v>2.3247819444444401E-2</v>
      </c>
      <c r="N45">
        <v>62.831944444444403</v>
      </c>
      <c r="O45">
        <v>2.3247819444444401E-2</v>
      </c>
    </row>
    <row r="46" spans="1:15" x14ac:dyDescent="0.25">
      <c r="A46" t="s">
        <v>91</v>
      </c>
      <c r="B46" t="s">
        <v>78</v>
      </c>
      <c r="C46" t="s">
        <v>88</v>
      </c>
      <c r="D46" t="s">
        <v>19</v>
      </c>
      <c r="E46" t="s">
        <v>20</v>
      </c>
      <c r="F46" t="s">
        <v>21</v>
      </c>
      <c r="G46" t="s">
        <v>28</v>
      </c>
      <c r="H46" t="b">
        <v>1</v>
      </c>
      <c r="I46">
        <v>10</v>
      </c>
      <c r="J46">
        <v>16</v>
      </c>
      <c r="L46">
        <v>50.265555555555601</v>
      </c>
      <c r="M46">
        <v>1.30690444444445E-2</v>
      </c>
      <c r="N46">
        <v>50.265555555555601</v>
      </c>
      <c r="O46">
        <v>1.30690444444445E-2</v>
      </c>
    </row>
    <row r="47" spans="1:15" x14ac:dyDescent="0.25">
      <c r="A47" t="s">
        <v>92</v>
      </c>
      <c r="B47" t="s">
        <v>17</v>
      </c>
      <c r="C47" t="s">
        <v>93</v>
      </c>
      <c r="D47" t="s">
        <v>19</v>
      </c>
      <c r="E47" t="s">
        <v>20</v>
      </c>
      <c r="F47" t="s">
        <v>80</v>
      </c>
      <c r="G47" t="s">
        <v>26</v>
      </c>
      <c r="H47" t="b">
        <v>1</v>
      </c>
      <c r="I47">
        <v>10</v>
      </c>
      <c r="J47">
        <v>19.45</v>
      </c>
      <c r="K47">
        <v>29</v>
      </c>
      <c r="L47">
        <v>95.305000000000007</v>
      </c>
      <c r="M47">
        <v>1.0483549999999999E-2</v>
      </c>
      <c r="N47">
        <v>95.305000000000007</v>
      </c>
      <c r="O47">
        <v>1.0483549999999999E-2</v>
      </c>
    </row>
    <row r="48" spans="1:15" x14ac:dyDescent="0.25">
      <c r="A48" t="s">
        <v>94</v>
      </c>
      <c r="B48" t="s">
        <v>17</v>
      </c>
      <c r="C48" t="s">
        <v>93</v>
      </c>
      <c r="D48" t="s">
        <v>19</v>
      </c>
      <c r="E48" t="s">
        <v>20</v>
      </c>
      <c r="F48" t="s">
        <v>80</v>
      </c>
      <c r="G48" t="s">
        <v>24</v>
      </c>
      <c r="H48" t="b">
        <v>1</v>
      </c>
      <c r="I48">
        <v>10</v>
      </c>
      <c r="J48">
        <v>38.75</v>
      </c>
      <c r="L48">
        <v>15.5</v>
      </c>
      <c r="M48">
        <v>5.7349999999999996E-3</v>
      </c>
      <c r="N48">
        <v>15.5</v>
      </c>
      <c r="O48">
        <v>5.7349999999999996E-3</v>
      </c>
    </row>
    <row r="49" spans="1:16" x14ac:dyDescent="0.25">
      <c r="A49" t="s">
        <v>95</v>
      </c>
      <c r="B49" t="s">
        <v>17</v>
      </c>
      <c r="C49" t="s">
        <v>93</v>
      </c>
      <c r="D49" t="s">
        <v>19</v>
      </c>
      <c r="E49" t="s">
        <v>20</v>
      </c>
      <c r="F49" t="s">
        <v>80</v>
      </c>
      <c r="G49" t="s">
        <v>42</v>
      </c>
      <c r="H49" t="b">
        <v>0</v>
      </c>
      <c r="I49">
        <v>10</v>
      </c>
      <c r="J49">
        <v>8</v>
      </c>
      <c r="L49">
        <v>0.8</v>
      </c>
      <c r="M49">
        <v>1.7999999999999999E-6</v>
      </c>
      <c r="N49">
        <v>0</v>
      </c>
      <c r="O49">
        <v>0</v>
      </c>
    </row>
    <row r="50" spans="1:16" x14ac:dyDescent="0.25">
      <c r="A50" t="s">
        <v>96</v>
      </c>
      <c r="B50" t="s">
        <v>17</v>
      </c>
      <c r="C50" t="s">
        <v>93</v>
      </c>
      <c r="D50" t="s">
        <v>19</v>
      </c>
      <c r="E50" t="s">
        <v>20</v>
      </c>
      <c r="F50" t="s">
        <v>80</v>
      </c>
      <c r="G50" t="s">
        <v>22</v>
      </c>
      <c r="H50" t="b">
        <v>1</v>
      </c>
      <c r="I50">
        <v>10</v>
      </c>
      <c r="J50">
        <v>16.5</v>
      </c>
      <c r="L50">
        <v>3.3</v>
      </c>
      <c r="M50">
        <v>1.899612E-3</v>
      </c>
      <c r="N50">
        <v>3.3</v>
      </c>
      <c r="O50">
        <v>1.899612E-3</v>
      </c>
    </row>
    <row r="51" spans="1:16" x14ac:dyDescent="0.25">
      <c r="A51" t="s">
        <v>97</v>
      </c>
      <c r="B51" t="s">
        <v>17</v>
      </c>
      <c r="C51" t="s">
        <v>93</v>
      </c>
      <c r="D51" t="s">
        <v>19</v>
      </c>
      <c r="E51" t="s">
        <v>20</v>
      </c>
      <c r="F51" t="s">
        <v>80</v>
      </c>
      <c r="G51" t="s">
        <v>28</v>
      </c>
      <c r="H51" t="b">
        <v>1</v>
      </c>
      <c r="I51">
        <v>10</v>
      </c>
      <c r="J51">
        <v>12</v>
      </c>
      <c r="L51">
        <v>1.2</v>
      </c>
      <c r="M51">
        <v>3.1199999999999999E-4</v>
      </c>
      <c r="N51">
        <v>1.2</v>
      </c>
      <c r="O51">
        <v>3.1199999999999999E-4</v>
      </c>
    </row>
    <row r="52" spans="1:16" ht="30" x14ac:dyDescent="0.25">
      <c r="A52" t="s">
        <v>98</v>
      </c>
      <c r="B52" t="s">
        <v>17</v>
      </c>
      <c r="C52" t="s">
        <v>93</v>
      </c>
      <c r="D52" t="s">
        <v>19</v>
      </c>
      <c r="E52" t="s">
        <v>20</v>
      </c>
      <c r="F52" t="s">
        <v>80</v>
      </c>
      <c r="G52" s="1" t="s">
        <v>99</v>
      </c>
      <c r="H52" t="b">
        <v>0</v>
      </c>
      <c r="I52">
        <v>10</v>
      </c>
      <c r="J52">
        <v>12</v>
      </c>
      <c r="L52">
        <v>2.4</v>
      </c>
      <c r="M52">
        <v>1.08E-3</v>
      </c>
      <c r="N52">
        <v>0</v>
      </c>
      <c r="O52">
        <v>0</v>
      </c>
    </row>
    <row r="53" spans="1:16" ht="30" x14ac:dyDescent="0.25">
      <c r="A53" t="s">
        <v>100</v>
      </c>
      <c r="B53" t="s">
        <v>17</v>
      </c>
      <c r="C53" t="s">
        <v>93</v>
      </c>
      <c r="D53" t="s">
        <v>19</v>
      </c>
      <c r="E53" t="s">
        <v>20</v>
      </c>
      <c r="F53" t="s">
        <v>80</v>
      </c>
      <c r="G53" t="s">
        <v>101</v>
      </c>
      <c r="H53" t="b">
        <v>1</v>
      </c>
      <c r="I53">
        <v>10</v>
      </c>
      <c r="J53">
        <v>6</v>
      </c>
      <c r="L53">
        <v>0.6</v>
      </c>
      <c r="M53">
        <v>4.3079142852000003E-5</v>
      </c>
      <c r="N53">
        <v>0.6</v>
      </c>
      <c r="O53">
        <v>4.3079142852000003E-5</v>
      </c>
      <c r="P53" s="1" t="s">
        <v>102</v>
      </c>
    </row>
    <row r="54" spans="1:16" x14ac:dyDescent="0.25">
      <c r="A54" t="s">
        <v>103</v>
      </c>
      <c r="B54" t="s">
        <v>17</v>
      </c>
      <c r="C54" t="s">
        <v>104</v>
      </c>
      <c r="D54" t="s">
        <v>19</v>
      </c>
      <c r="E54" t="s">
        <v>20</v>
      </c>
      <c r="F54" t="s">
        <v>21</v>
      </c>
      <c r="G54" t="s">
        <v>22</v>
      </c>
      <c r="H54" t="b">
        <v>1</v>
      </c>
      <c r="I54">
        <v>10</v>
      </c>
      <c r="J54">
        <v>14.125</v>
      </c>
      <c r="L54">
        <v>355.000486111111</v>
      </c>
      <c r="M54">
        <v>0.20435247982499999</v>
      </c>
      <c r="N54">
        <v>355.000486111111</v>
      </c>
      <c r="O54">
        <v>0.20435247982499999</v>
      </c>
    </row>
    <row r="55" spans="1:16" x14ac:dyDescent="0.25">
      <c r="A55" t="s">
        <v>105</v>
      </c>
      <c r="B55" t="s">
        <v>17</v>
      </c>
      <c r="C55" t="s">
        <v>104</v>
      </c>
      <c r="D55" t="s">
        <v>19</v>
      </c>
      <c r="E55" t="s">
        <v>20</v>
      </c>
      <c r="F55" t="s">
        <v>21</v>
      </c>
      <c r="G55" t="s">
        <v>42</v>
      </c>
      <c r="H55" t="b">
        <v>0</v>
      </c>
      <c r="I55">
        <v>10</v>
      </c>
      <c r="J55">
        <v>30</v>
      </c>
      <c r="L55">
        <v>94.247916666666697</v>
      </c>
      <c r="M55">
        <v>2.1205781250000001E-4</v>
      </c>
      <c r="N55">
        <v>0</v>
      </c>
      <c r="O55">
        <v>0</v>
      </c>
    </row>
    <row r="56" spans="1:16" x14ac:dyDescent="0.25">
      <c r="A56" t="s">
        <v>106</v>
      </c>
      <c r="B56" t="s">
        <v>17</v>
      </c>
      <c r="C56" t="s">
        <v>104</v>
      </c>
      <c r="D56" t="s">
        <v>19</v>
      </c>
      <c r="E56" t="s">
        <v>20</v>
      </c>
      <c r="F56" t="s">
        <v>21</v>
      </c>
      <c r="G56" t="s">
        <v>24</v>
      </c>
      <c r="H56" t="b">
        <v>1</v>
      </c>
      <c r="I56">
        <v>10</v>
      </c>
      <c r="J56">
        <v>6</v>
      </c>
      <c r="L56">
        <v>18.8495833333333</v>
      </c>
      <c r="M56">
        <v>6.9743458333333197E-3</v>
      </c>
      <c r="N56">
        <v>18.8495833333333</v>
      </c>
      <c r="O56">
        <v>6.9743458333333197E-3</v>
      </c>
    </row>
    <row r="57" spans="1:16" ht="30" x14ac:dyDescent="0.25">
      <c r="A57" t="s">
        <v>107</v>
      </c>
      <c r="B57" t="s">
        <v>17</v>
      </c>
      <c r="C57" t="s">
        <v>104</v>
      </c>
      <c r="D57" t="s">
        <v>19</v>
      </c>
      <c r="E57" t="s">
        <v>20</v>
      </c>
      <c r="F57" t="s">
        <v>21</v>
      </c>
      <c r="G57" s="1" t="s">
        <v>99</v>
      </c>
      <c r="H57" t="b">
        <v>0</v>
      </c>
      <c r="I57">
        <v>10</v>
      </c>
      <c r="J57">
        <v>4</v>
      </c>
      <c r="L57">
        <v>12.5663888888889</v>
      </c>
      <c r="M57">
        <v>5.6548750000000097E-3</v>
      </c>
      <c r="N57">
        <v>0</v>
      </c>
      <c r="O57">
        <v>0</v>
      </c>
    </row>
    <row r="58" spans="1:16" x14ac:dyDescent="0.25">
      <c r="A58" t="s">
        <v>108</v>
      </c>
      <c r="B58" t="s">
        <v>17</v>
      </c>
      <c r="C58" t="s">
        <v>104</v>
      </c>
      <c r="D58" t="s">
        <v>19</v>
      </c>
      <c r="E58" t="s">
        <v>20</v>
      </c>
      <c r="F58" t="s">
        <v>21</v>
      </c>
      <c r="G58" t="s">
        <v>26</v>
      </c>
      <c r="H58" t="b">
        <v>1</v>
      </c>
      <c r="I58">
        <v>10</v>
      </c>
      <c r="J58">
        <v>16.6666666666667</v>
      </c>
      <c r="L58">
        <v>314.159722222222</v>
      </c>
      <c r="M58">
        <v>3.4557569444444401E-2</v>
      </c>
      <c r="N58">
        <v>314.159722222222</v>
      </c>
      <c r="O58">
        <v>3.4557569444444401E-2</v>
      </c>
    </row>
    <row r="59" spans="1:16" x14ac:dyDescent="0.25">
      <c r="A59" t="s">
        <v>109</v>
      </c>
      <c r="B59" t="s">
        <v>17</v>
      </c>
      <c r="C59" t="s">
        <v>110</v>
      </c>
      <c r="D59" t="s">
        <v>19</v>
      </c>
      <c r="E59" t="s">
        <v>20</v>
      </c>
      <c r="F59" t="s">
        <v>21</v>
      </c>
      <c r="G59" t="s">
        <v>26</v>
      </c>
      <c r="H59" t="b">
        <v>1</v>
      </c>
      <c r="I59">
        <v>10</v>
      </c>
      <c r="J59">
        <v>24.9411764705882</v>
      </c>
      <c r="L59">
        <v>1332.03722222222</v>
      </c>
      <c r="M59">
        <v>0.146524094444444</v>
      </c>
      <c r="N59">
        <v>1332.03722222222</v>
      </c>
      <c r="O59">
        <v>0.146524094444444</v>
      </c>
    </row>
    <row r="60" spans="1:16" x14ac:dyDescent="0.25">
      <c r="A60" t="s">
        <v>111</v>
      </c>
      <c r="B60" t="s">
        <v>17</v>
      </c>
      <c r="C60" t="s">
        <v>110</v>
      </c>
      <c r="D60" t="s">
        <v>19</v>
      </c>
      <c r="E60" t="s">
        <v>20</v>
      </c>
      <c r="F60" t="s">
        <v>21</v>
      </c>
      <c r="G60" t="s">
        <v>22</v>
      </c>
      <c r="H60" t="b">
        <v>1</v>
      </c>
      <c r="I60">
        <v>10</v>
      </c>
      <c r="J60">
        <v>30.4</v>
      </c>
      <c r="L60">
        <v>477.522777777778</v>
      </c>
      <c r="M60">
        <v>0.27488121180000002</v>
      </c>
      <c r="N60">
        <v>477.522777777778</v>
      </c>
      <c r="O60">
        <v>0.27488121180000002</v>
      </c>
    </row>
    <row r="61" spans="1:16" ht="30" x14ac:dyDescent="0.25">
      <c r="A61" t="s">
        <v>112</v>
      </c>
      <c r="B61" t="s">
        <v>17</v>
      </c>
      <c r="C61" t="s">
        <v>110</v>
      </c>
      <c r="D61" t="s">
        <v>19</v>
      </c>
      <c r="E61" t="s">
        <v>20</v>
      </c>
      <c r="F61" t="s">
        <v>21</v>
      </c>
      <c r="G61" s="1" t="s">
        <v>99</v>
      </c>
      <c r="H61" t="b">
        <v>0</v>
      </c>
      <c r="I61">
        <v>10</v>
      </c>
      <c r="J61">
        <v>36</v>
      </c>
      <c r="L61">
        <v>113.0975</v>
      </c>
      <c r="M61">
        <v>5.0893874999999998E-2</v>
      </c>
      <c r="N61">
        <v>0</v>
      </c>
      <c r="O61">
        <v>0</v>
      </c>
    </row>
    <row r="62" spans="1:16" x14ac:dyDescent="0.25">
      <c r="A62" t="s">
        <v>113</v>
      </c>
      <c r="B62" t="s">
        <v>17</v>
      </c>
      <c r="C62" t="s">
        <v>110</v>
      </c>
      <c r="D62" t="s">
        <v>19</v>
      </c>
      <c r="E62" t="s">
        <v>20</v>
      </c>
      <c r="F62" t="s">
        <v>21</v>
      </c>
      <c r="G62" t="s">
        <v>24</v>
      </c>
      <c r="H62" t="b">
        <v>1</v>
      </c>
      <c r="I62">
        <v>10</v>
      </c>
      <c r="J62">
        <v>5</v>
      </c>
      <c r="L62">
        <v>15.707986111111101</v>
      </c>
      <c r="M62">
        <v>5.8119548611111098E-3</v>
      </c>
      <c r="N62">
        <v>15.707986111111101</v>
      </c>
      <c r="O62">
        <v>5.8119548611111098E-3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workbookViewId="0"/>
  </sheetViews>
  <sheetFormatPr defaultRowHeight="15" x14ac:dyDescent="0.25"/>
  <cols>
    <col min="1" max="1" width="12.42578125" customWidth="1"/>
    <col min="2" max="2" width="11.85546875" customWidth="1"/>
    <col min="3" max="3" width="10.140625" customWidth="1"/>
    <col min="4" max="4" width="14.85546875" customWidth="1"/>
    <col min="5" max="5" width="18.5703125" customWidth="1"/>
    <col min="6" max="6" width="14.42578125" customWidth="1"/>
    <col min="7" max="7" width="13.85546875" customWidth="1"/>
    <col min="8" max="8" width="16.5703125" customWidth="1"/>
    <col min="9" max="9" width="20.7109375" customWidth="1"/>
    <col min="10" max="10" width="11.5703125" customWidth="1"/>
    <col min="11" max="11" width="20.85546875" customWidth="1"/>
    <col min="12" max="12" width="13.5703125" customWidth="1"/>
    <col min="13" max="13" width="18.140625" customWidth="1"/>
    <col min="14" max="14" width="23.42578125" customWidth="1"/>
    <col min="15" max="15" width="27.42578125" customWidth="1"/>
    <col min="16" max="16" width="15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30" x14ac:dyDescent="0.25">
      <c r="A2" t="s">
        <v>100</v>
      </c>
      <c r="B2" t="s">
        <v>17</v>
      </c>
      <c r="C2" t="s">
        <v>93</v>
      </c>
      <c r="D2" t="s">
        <v>19</v>
      </c>
      <c r="E2" t="s">
        <v>20</v>
      </c>
      <c r="F2" t="s">
        <v>80</v>
      </c>
      <c r="G2" t="s">
        <v>101</v>
      </c>
      <c r="H2" t="b">
        <v>1</v>
      </c>
      <c r="I2">
        <v>10</v>
      </c>
      <c r="J2">
        <v>6</v>
      </c>
      <c r="L2">
        <v>0.6</v>
      </c>
      <c r="M2">
        <v>4.3079142852000003E-5</v>
      </c>
      <c r="N2">
        <v>0.6</v>
      </c>
      <c r="O2">
        <v>4.3079142852000003E-5</v>
      </c>
      <c r="P2" s="1" t="s">
        <v>102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abSelected="1" topLeftCell="A5" workbookViewId="0">
      <selection activeCell="G22" sqref="G22"/>
    </sheetView>
  </sheetViews>
  <sheetFormatPr defaultRowHeight="15" x14ac:dyDescent="0.25"/>
  <cols>
    <col min="1" max="1" width="24" customWidth="1"/>
    <col min="2" max="2" width="32.140625" customWidth="1"/>
    <col min="3" max="3" width="18.28515625" customWidth="1"/>
    <col min="4" max="4" width="24.5703125" customWidth="1"/>
  </cols>
  <sheetData>
    <row r="1" spans="1:4" x14ac:dyDescent="0.25">
      <c r="A1" s="2" t="s">
        <v>114</v>
      </c>
      <c r="B1" s="2" t="s">
        <v>115</v>
      </c>
    </row>
    <row r="2" spans="1:4" x14ac:dyDescent="0.25">
      <c r="A2" s="3" t="s">
        <v>116</v>
      </c>
      <c r="B2" s="3" t="s">
        <v>116</v>
      </c>
    </row>
    <row r="3" spans="1:4" x14ac:dyDescent="0.25">
      <c r="A3" s="4" t="s">
        <v>117</v>
      </c>
      <c r="B3" s="4" t="s">
        <v>118</v>
      </c>
    </row>
    <row r="4" spans="1:4" x14ac:dyDescent="0.25">
      <c r="A4" s="5" t="s">
        <v>119</v>
      </c>
      <c r="B4" s="5" t="s">
        <v>120</v>
      </c>
    </row>
    <row r="8" spans="1:4" x14ac:dyDescent="0.25">
      <c r="C8" s="6" t="s">
        <v>134</v>
      </c>
      <c r="D8" s="6" t="s">
        <v>135</v>
      </c>
    </row>
    <row r="9" spans="1:4" x14ac:dyDescent="0.25">
      <c r="C9" t="s">
        <v>19</v>
      </c>
    </row>
    <row r="10" spans="1:4" x14ac:dyDescent="0.25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25">
      <c r="A11" t="s">
        <v>17</v>
      </c>
      <c r="B11" t="s">
        <v>18</v>
      </c>
      <c r="C11" s="7">
        <v>2.0856526431048619</v>
      </c>
      <c r="D11" s="8">
        <v>2.0856526431048619</v>
      </c>
    </row>
    <row r="12" spans="1:4" x14ac:dyDescent="0.25">
      <c r="B12" t="s">
        <v>30</v>
      </c>
      <c r="C12" s="9">
        <v>0.39976045536666599</v>
      </c>
      <c r="D12" s="9">
        <v>0.39976045536666599</v>
      </c>
    </row>
    <row r="13" spans="1:4" x14ac:dyDescent="0.25">
      <c r="B13" t="s">
        <v>93</v>
      </c>
      <c r="C13" s="9">
        <v>1.9555041142851996E-2</v>
      </c>
      <c r="D13" s="9">
        <v>1.8473241142851995E-2</v>
      </c>
    </row>
    <row r="14" spans="1:4" x14ac:dyDescent="0.25">
      <c r="B14" t="s">
        <v>104</v>
      </c>
      <c r="C14" s="9">
        <v>0.25175132791527771</v>
      </c>
      <c r="D14" s="9">
        <v>0.24588439510277771</v>
      </c>
    </row>
    <row r="15" spans="1:4" x14ac:dyDescent="0.25">
      <c r="B15" t="s">
        <v>110</v>
      </c>
      <c r="C15" s="9">
        <v>0.47811113610555517</v>
      </c>
      <c r="D15" s="9">
        <v>0.42721726110555519</v>
      </c>
    </row>
    <row r="16" spans="1:4" x14ac:dyDescent="0.25">
      <c r="A16" t="s">
        <v>35</v>
      </c>
      <c r="B16" t="s">
        <v>36</v>
      </c>
      <c r="C16" s="7">
        <v>5.2618284269241666</v>
      </c>
      <c r="D16" s="8">
        <v>5.261701192236667</v>
      </c>
    </row>
    <row r="17" spans="1:4" x14ac:dyDescent="0.25">
      <c r="B17" t="s">
        <v>46</v>
      </c>
      <c r="C17" s="8">
        <v>10.751657631365278</v>
      </c>
      <c r="D17" s="8">
        <v>10.751657631365278</v>
      </c>
    </row>
    <row r="18" spans="1:4" x14ac:dyDescent="0.25">
      <c r="B18" t="s">
        <v>53</v>
      </c>
      <c r="C18" s="7">
        <v>2.0654837774340278</v>
      </c>
      <c r="D18" s="8">
        <v>2.065285856809028</v>
      </c>
    </row>
    <row r="19" spans="1:4" x14ac:dyDescent="0.25">
      <c r="B19" t="s">
        <v>65</v>
      </c>
      <c r="C19" s="7">
        <v>1.18285423696875</v>
      </c>
      <c r="D19" s="7">
        <v>1.18285423696875</v>
      </c>
    </row>
    <row r="20" spans="1:4" x14ac:dyDescent="0.25">
      <c r="A20" t="s">
        <v>58</v>
      </c>
      <c r="B20" t="s">
        <v>59</v>
      </c>
      <c r="C20" s="7">
        <v>4.9420872551122228</v>
      </c>
      <c r="D20" s="8">
        <v>4.9420872551122228</v>
      </c>
    </row>
    <row r="21" spans="1:4" x14ac:dyDescent="0.25">
      <c r="A21" t="s">
        <v>69</v>
      </c>
      <c r="B21" t="s">
        <v>70</v>
      </c>
      <c r="C21" s="8">
        <v>27.08090005955</v>
      </c>
      <c r="D21" s="8">
        <v>27.08090005955</v>
      </c>
    </row>
    <row r="22" spans="1:4" x14ac:dyDescent="0.25">
      <c r="A22" t="s">
        <v>78</v>
      </c>
      <c r="B22" t="s">
        <v>79</v>
      </c>
      <c r="C22" s="9">
        <v>4.8563700000000001E-2</v>
      </c>
      <c r="D22" s="9">
        <v>4.8563700000000001E-2</v>
      </c>
    </row>
    <row r="23" spans="1:4" x14ac:dyDescent="0.25">
      <c r="B23" t="s">
        <v>88</v>
      </c>
      <c r="C23" s="9">
        <v>0.49877725378472254</v>
      </c>
      <c r="D23" s="9">
        <v>0.49877725378472254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selection activeCell="C20" sqref="C20"/>
    </sheetView>
  </sheetViews>
  <sheetFormatPr defaultRowHeight="15" x14ac:dyDescent="0.25"/>
  <cols>
    <col min="1" max="1" width="24.5703125" customWidth="1"/>
    <col min="2" max="2" width="33.7109375" customWidth="1"/>
    <col min="3" max="3" width="31.42578125" customWidth="1"/>
    <col min="4" max="4" width="29.5703125" customWidth="1"/>
  </cols>
  <sheetData>
    <row r="1" spans="1:4" x14ac:dyDescent="0.25">
      <c r="A1" s="2" t="s">
        <v>121</v>
      </c>
      <c r="B1" s="2" t="s">
        <v>122</v>
      </c>
      <c r="C1" s="2" t="s">
        <v>123</v>
      </c>
      <c r="D1" s="2" t="s">
        <v>124</v>
      </c>
    </row>
    <row r="2" spans="1:4" x14ac:dyDescent="0.25">
      <c r="A2" s="3" t="s">
        <v>125</v>
      </c>
      <c r="B2" s="3" t="s">
        <v>125</v>
      </c>
      <c r="C2" s="3" t="s">
        <v>125</v>
      </c>
      <c r="D2" s="3" t="s">
        <v>125</v>
      </c>
    </row>
    <row r="3" spans="1:4" x14ac:dyDescent="0.25">
      <c r="A3" s="4" t="s">
        <v>126</v>
      </c>
      <c r="B3" s="4" t="s">
        <v>127</v>
      </c>
      <c r="C3" s="4" t="s">
        <v>128</v>
      </c>
      <c r="D3" s="4" t="s">
        <v>129</v>
      </c>
    </row>
    <row r="4" spans="1:4" x14ac:dyDescent="0.25">
      <c r="A4" s="5" t="s">
        <v>130</v>
      </c>
      <c r="B4" s="5" t="s">
        <v>131</v>
      </c>
      <c r="C4" s="5" t="s">
        <v>132</v>
      </c>
      <c r="D4" s="5" t="s">
        <v>133</v>
      </c>
    </row>
    <row r="8" spans="1:4" x14ac:dyDescent="0.25">
      <c r="A8" s="6" t="s">
        <v>11</v>
      </c>
      <c r="C8" s="6" t="s">
        <v>134</v>
      </c>
      <c r="D8" s="6" t="s">
        <v>15</v>
      </c>
    </row>
    <row r="9" spans="1:4" x14ac:dyDescent="0.25">
      <c r="C9" t="s">
        <v>19</v>
      </c>
    </row>
    <row r="10" spans="1:4" x14ac:dyDescent="0.25">
      <c r="A10" s="6" t="s">
        <v>1</v>
      </c>
      <c r="B10" s="6" t="s">
        <v>2</v>
      </c>
      <c r="C10" t="s">
        <v>102</v>
      </c>
    </row>
    <row r="11" spans="1:4" x14ac:dyDescent="0.25">
      <c r="A11" t="s">
        <v>17</v>
      </c>
      <c r="B11" t="s">
        <v>93</v>
      </c>
      <c r="C11">
        <v>0.6</v>
      </c>
    </row>
    <row r="30" spans="1:1" x14ac:dyDescent="0.25">
      <c r="A30" s="2" t="s">
        <v>114</v>
      </c>
    </row>
    <row r="31" spans="1:1" x14ac:dyDescent="0.25">
      <c r="A31" s="3" t="s">
        <v>116</v>
      </c>
    </row>
    <row r="32" spans="1:1" x14ac:dyDescent="0.25">
      <c r="A32" s="4" t="s">
        <v>117</v>
      </c>
    </row>
    <row r="33" spans="1:3" x14ac:dyDescent="0.25">
      <c r="A33" s="5" t="s">
        <v>119</v>
      </c>
    </row>
    <row r="37" spans="1:3" x14ac:dyDescent="0.25">
      <c r="A37" s="6" t="s">
        <v>12</v>
      </c>
      <c r="C37" s="6" t="s">
        <v>134</v>
      </c>
    </row>
    <row r="38" spans="1:3" x14ac:dyDescent="0.25">
      <c r="A38" s="6" t="s">
        <v>1</v>
      </c>
      <c r="B38" s="6" t="s">
        <v>2</v>
      </c>
      <c r="C38" t="s">
        <v>19</v>
      </c>
    </row>
    <row r="39" spans="1:3" x14ac:dyDescent="0.25">
      <c r="A39" t="s">
        <v>17</v>
      </c>
      <c r="B39" t="s">
        <v>18</v>
      </c>
      <c r="C39">
        <v>2.0856526431048619</v>
      </c>
    </row>
    <row r="40" spans="1:3" x14ac:dyDescent="0.25">
      <c r="B40" t="s">
        <v>30</v>
      </c>
      <c r="C40">
        <v>0.39976045536666599</v>
      </c>
    </row>
    <row r="41" spans="1:3" x14ac:dyDescent="0.25">
      <c r="B41" t="s">
        <v>93</v>
      </c>
      <c r="C41">
        <v>1.9555041142851996E-2</v>
      </c>
    </row>
    <row r="42" spans="1:3" x14ac:dyDescent="0.25">
      <c r="B42" t="s">
        <v>104</v>
      </c>
      <c r="C42">
        <v>0.25175132791527771</v>
      </c>
    </row>
    <row r="43" spans="1:3" x14ac:dyDescent="0.25">
      <c r="B43" t="s">
        <v>110</v>
      </c>
      <c r="C43">
        <v>0.47811113610555517</v>
      </c>
    </row>
    <row r="44" spans="1:3" x14ac:dyDescent="0.25">
      <c r="A44" t="s">
        <v>35</v>
      </c>
      <c r="B44" t="s">
        <v>36</v>
      </c>
      <c r="C44">
        <v>5.2618284269241666</v>
      </c>
    </row>
    <row r="45" spans="1:3" x14ac:dyDescent="0.25">
      <c r="B45" t="s">
        <v>46</v>
      </c>
      <c r="C45">
        <v>10.751657631365278</v>
      </c>
    </row>
    <row r="46" spans="1:3" x14ac:dyDescent="0.25">
      <c r="B46" t="s">
        <v>53</v>
      </c>
      <c r="C46">
        <v>2.0654837774340278</v>
      </c>
    </row>
    <row r="47" spans="1:3" x14ac:dyDescent="0.25">
      <c r="B47" t="s">
        <v>65</v>
      </c>
      <c r="C47">
        <v>1.18285423696875</v>
      </c>
    </row>
    <row r="48" spans="1:3" x14ac:dyDescent="0.25">
      <c r="A48" t="s">
        <v>58</v>
      </c>
      <c r="B48" t="s">
        <v>59</v>
      </c>
      <c r="C48">
        <v>4.9420872551122228</v>
      </c>
    </row>
    <row r="49" spans="1:3" x14ac:dyDescent="0.25">
      <c r="A49" t="s">
        <v>69</v>
      </c>
      <c r="B49" t="s">
        <v>70</v>
      </c>
      <c r="C49">
        <v>27.08090005955</v>
      </c>
    </row>
    <row r="50" spans="1:3" x14ac:dyDescent="0.25">
      <c r="A50" t="s">
        <v>78</v>
      </c>
      <c r="B50" t="s">
        <v>79</v>
      </c>
      <c r="C50">
        <v>4.8563700000000001E-2</v>
      </c>
    </row>
    <row r="51" spans="1:3" x14ac:dyDescent="0.25">
      <c r="B51" t="s">
        <v>88</v>
      </c>
      <c r="C51">
        <v>0.49877725378472254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Amber Sutherland</cp:lastModifiedBy>
  <dcterms:created xsi:type="dcterms:W3CDTF">2025-12-10T22:14:42Z</dcterms:created>
  <dcterms:modified xsi:type="dcterms:W3CDTF">2025-12-10T23:07:09Z</dcterms:modified>
</cp:coreProperties>
</file>