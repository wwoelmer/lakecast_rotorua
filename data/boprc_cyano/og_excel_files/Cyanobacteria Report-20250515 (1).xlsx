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3FEFD08C-93CB-41B6-8C27-D51A97D37AAC}" xr6:coauthVersionLast="47" xr6:coauthVersionMax="47" xr10:uidLastSave="{00000000-0000-0000-0000-000000000000}"/>
  <bookViews>
    <workbookView xWindow="28680" yWindow="-120" windowWidth="29040" windowHeight="1752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<sst xmlns="http://schemas.openxmlformats.org/spreadsheetml/2006/main" count="681" uniqueCount="147">
  <si>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</si>
  <si>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</si>
  <si>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</si>
  <si>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</si>
  <si>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</si>
  <si>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</si>
  <si>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</si>
  <si>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</si>
  <si>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</si>
  <si>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</si>
  <si>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</si>
  <si>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</si>
  <si>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</si>
  <si>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</si>
  <si>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</si>
  <si>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</si>
  <si>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5620.1</t>
  </si>
  <si>
    <t>Rotoiti</t>
  </si>
  <si>
    <t>Hinehopu</t>
  </si>
  <si>
    <t>12/05/2025</t>
  </si>
  <si>
    <t>20A</t>
  </si>
  <si>
    <t>160</t>
  </si>
  <si>
    <t>Aphanocapsa holsatica</t>
  </si>
  <si>
    <t>5620.2</t>
  </si>
  <si>
    <t>Aphanocapsa delicatissima</t>
  </si>
  <si>
    <t>5621.1</t>
  </si>
  <si>
    <t>Rotoehu</t>
  </si>
  <si>
    <t>Kennedy Bay</t>
  </si>
  <si>
    <t>Microcystis aeruginosa</t>
  </si>
  <si>
    <t xml:space="preserve">Microcystis spp.
</t>
  </si>
  <si>
    <t>5621.2</t>
  </si>
  <si>
    <t>Limnothrix cf planktonica</t>
  </si>
  <si>
    <t>5622.1</t>
  </si>
  <si>
    <t>Otautu</t>
  </si>
  <si>
    <t>5622.2</t>
  </si>
  <si>
    <t>Phormidium sp</t>
  </si>
  <si>
    <t>5623.1</t>
  </si>
  <si>
    <t>Okawa Bay</t>
  </si>
  <si>
    <t>Whole Plate</t>
  </si>
  <si>
    <t>Dolichospermum planctonicum </t>
  </si>
  <si>
    <t>5623.2</t>
  </si>
  <si>
    <t>Woronichinia naegeliana</t>
  </si>
  <si>
    <t>5623.3</t>
  </si>
  <si>
    <t>5623.4</t>
  </si>
  <si>
    <t>Coelosphaerium kuetzingianum</t>
  </si>
  <si>
    <t>5623.5</t>
  </si>
  <si>
    <t>Oscillatoria sp</t>
  </si>
  <si>
    <t>5623.6</t>
  </si>
  <si>
    <t>5623.7</t>
  </si>
  <si>
    <t>Dolichospermum spiroides</t>
  </si>
  <si>
    <t>5623.8</t>
  </si>
  <si>
    <t>Cuspidothrix issatschenkoi</t>
  </si>
  <si>
    <t xml:space="preserve">Cuspidothrix issatschenkoi
</t>
  </si>
  <si>
    <t>5623.9</t>
  </si>
  <si>
    <t>Pseudanabaena limnetica (cylinder)</t>
  </si>
  <si>
    <t>5623.10</t>
  </si>
  <si>
    <t>5624.1</t>
  </si>
  <si>
    <t>Lake Okaro</t>
  </si>
  <si>
    <t>Boat ramp</t>
  </si>
  <si>
    <t>5624.2</t>
  </si>
  <si>
    <t>Dolichospermum circinale</t>
  </si>
  <si>
    <t>5624.3</t>
  </si>
  <si>
    <t>5624.4</t>
  </si>
  <si>
    <t>5624.5</t>
  </si>
  <si>
    <t>5624.6</t>
  </si>
  <si>
    <t>5624.7</t>
  </si>
  <si>
    <t>5625.1</t>
  </si>
  <si>
    <t>Rotorua</t>
  </si>
  <si>
    <t>Ngongotaha</t>
  </si>
  <si>
    <t>5625.2</t>
  </si>
  <si>
    <t>5625.3</t>
  </si>
  <si>
    <t>Microcystis wesenbergii</t>
  </si>
  <si>
    <t>5625.4</t>
  </si>
  <si>
    <t>Pseudanabaena mucicola (rod)</t>
  </si>
  <si>
    <t>5625.5</t>
  </si>
  <si>
    <t>5626.1</t>
  </si>
  <si>
    <t>Te Weta</t>
  </si>
  <si>
    <t>5626.2</t>
  </si>
  <si>
    <t>5626.3</t>
  </si>
  <si>
    <t>5626.4</t>
  </si>
  <si>
    <t>Dolichospermum lemmermannii</t>
  </si>
  <si>
    <t>5626.5</t>
  </si>
  <si>
    <t>5626.6</t>
  </si>
  <si>
    <t>5626.7</t>
  </si>
  <si>
    <t>Dolichospermum sp</t>
  </si>
  <si>
    <t>5626.8</t>
  </si>
  <si>
    <t>5626.9</t>
  </si>
  <si>
    <t>5626.10</t>
  </si>
  <si>
    <t>5626.11</t>
  </si>
  <si>
    <t>5627.1</t>
  </si>
  <si>
    <t>Otaramarae</t>
  </si>
  <si>
    <t>5627.2</t>
  </si>
  <si>
    <t>5627.3</t>
  </si>
  <si>
    <t>5627.4</t>
  </si>
  <si>
    <t>Microcystis sp. (large)</t>
  </si>
  <si>
    <t>5628.1</t>
  </si>
  <si>
    <t>Holdens Bay</t>
  </si>
  <si>
    <t>5628.2</t>
  </si>
  <si>
    <t>Geitlerinema sp</t>
  </si>
  <si>
    <t>5628.3</t>
  </si>
  <si>
    <t>5628.4</t>
  </si>
  <si>
    <t>5629.1</t>
  </si>
  <si>
    <t>Okere Arm</t>
  </si>
  <si>
    <t>5629.2</t>
  </si>
  <si>
    <t>5630.1</t>
  </si>
  <si>
    <t>Ohau Channel</t>
  </si>
  <si>
    <t>5630.2</t>
  </si>
  <si>
    <t>5631.1</t>
  </si>
  <si>
    <t>Hamurana</t>
  </si>
  <si>
    <t>5631.2</t>
  </si>
  <si>
    <t>5631.3</t>
  </si>
  <si>
    <t>5632.1</t>
  </si>
  <si>
    <t>Kaituna</t>
  </si>
  <si>
    <t>Trout Pool</t>
  </si>
  <si>
    <t>5632.2</t>
  </si>
  <si>
    <t>5632.3</t>
  </si>
  <si>
    <t>5632.4</t>
  </si>
  <si>
    <t>5632.5</t>
  </si>
  <si>
    <t>5632.6</t>
  </si>
  <si>
    <t>5632.7</t>
  </si>
  <si>
    <t>5632.8</t>
  </si>
  <si>
    <t>5632.9</t>
  </si>
  <si>
    <t>5632.10</t>
  </si>
  <si>
    <t>5632.11</t>
  </si>
  <si>
    <t>5632.12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</si>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</sst>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92.59806423611" refreshedVersion="8" recordCount="66" xr:uid="{00000000-000A-0000-FFFF-FFFF02000000}">
  <cacheSource type="worksheet">
    <worksheetSource ref="A1:P67" sheet="Lakes Data"/>
  </cacheSource>
  <cacheFields count="16">
    <cacheField name="SampleId" numFmtId="0">
      <sharedItems/>
    </cacheField>
    <cacheField name="Location" numFmtId="0">
      <sharedItems count="5">
        <s v="Rotoiti"/>
        <s v="Rotoehu"/>
        <s v="Lake Okaro"/>
        <s v="Rotorua"/>
        <s v="Kaituna"/>
      </sharedItems>
    </cacheField>
    <cacheField name="Site" numFmtId="0">
      <sharedItems count="13">
        <s v="Hinehopu"/>
        <s v="Kennedy Bay"/>
        <s v="Otautu"/>
        <s v="Okawa Bay"/>
        <s v="Boat ramp"/>
        <s v="Ngongotaha"/>
        <s v="Te Weta"/>
        <s v="Otaramarae"/>
        <s v="Holdens Bay"/>
        <s v="Okere Arm"/>
        <s v="Ohau Channel"/>
        <s v="Hamurana"/>
        <s v="Trout Pool"/>
      </sharedItems>
    </cacheField>
    <cacheField name="SampleDate" numFmtId="0">
      <sharedItems count="1">
        <s v="12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.95" maxValue="418.5"/>
    </cacheField>
    <cacheField name="NumberOfColonies" numFmtId="0">
      <sharedItems containsString="0" containsBlank="1" containsNumber="1" containsInteger="1" minValue="5" maxValue="572"/>
    </cacheField>
    <cacheField name="CellsPerMl" numFmtId="0">
      <sharedItems containsSemiMixedTypes="0" containsString="0" containsNumber="1" minValue="0.9" maxValue="10342.766374999999"/>
    </cacheField>
    <cacheField name="TotalBioVolume" numFmtId="0">
      <sharedItems containsSemiMixedTypes="0" containsString="0" containsNumber="1" minValue="0" maxValue="0.3897255026875"/>
    </cacheField>
    <cacheField name="PotentiallyToxicCellMl" numFmtId="0">
      <sharedItems containsSemiMixedTypes="0" containsString="0" containsNumber="1" minValue="0" maxValue="4479.6034791666698"/>
    </cacheField>
    <cacheField name="PotentiallyToxicBioVolume" numFmtId="0">
      <sharedItems containsSemiMixedTypes="0" containsString="0" containsNumber="1" minValue="0" maxValue="0.389725502687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92.598064467595" refreshedVersion="8" recordCount="10" xr:uid="{00000000-000A-0000-FFFF-FFFF01000000}">
  <cacheSource type="worksheet">
    <worksheetSource ref="A1:P11" sheet="Toxin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Kaituna"/>
      </sharedItems>
    </cacheField>
    <cacheField name="Site" numFmtId="0">
      <sharedItems count="9">
        <s v="Kennedy Bay"/>
        <s v="Otautu"/>
        <s v="Okawa Bay"/>
        <s v="Ngongotaha"/>
        <s v="Te Weta"/>
        <s v="Otaramarae"/>
        <s v="Holdens Bay"/>
        <s v="Hamurana"/>
        <s v="Trout Pool"/>
      </sharedItems>
    </cacheField>
    <cacheField name="SampleDate" numFmtId="0">
      <sharedItems count="1">
        <s v="12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0.5" maxValue="418.5"/>
    </cacheField>
    <cacheField name="NumberOfColonies" numFmtId="0">
      <sharedItems containsString="0" containsBlank="1" containsNumber="1" containsInteger="1" minValue="77" maxValue="77"/>
    </cacheField>
    <cacheField name="CellsPerMl" numFmtId="0">
      <sharedItems containsSemiMixedTypes="0" containsString="0" containsNumber="1" minValue="2.1" maxValue="4479.6034791666698"/>
    </cacheField>
    <cacheField name="TotalBioVolume" numFmtId="0">
      <sharedItems containsSemiMixedTypes="0" containsString="0" containsNumber="1" minValue="1.197E-4" maxValue="0.3897255026875"/>
    </cacheField>
    <cacheField name="PotentiallyToxicCellMl" numFmtId="0">
      <sharedItems containsSemiMixedTypes="0" containsString="0" containsNumber="1" minValue="2.1" maxValue="4479.6034791666698"/>
    </cacheField>
    <cacheField name="PotentiallyToxicBioVolume" numFmtId="0">
      <sharedItems containsSemiMixedTypes="0" containsString="0" containsNumber="1" minValue="1.197E-4" maxValue="0.3897255026875"/>
    </cacheField>
    <cacheField name="ToxinCluster" numFmtId="0">
      <sharedItems count="4">
        <s v="Microcystis spp._x000a_"/>
        <s v="Cuspidothrix issatschenkoi_x000a_"/>
        <s v="Microcystis spp._x000d__x000a_" u="1"/>
        <s v="Cuspidothrix issatschenkoi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92.598064583333" refreshedVersion="8" recordCount="66" xr:uid="{00000000-000A-0000-FFFF-FFFF00000000}">
  <cacheSource type="worksheet">
    <worksheetSource ref="A1:P67" sheet="Lakes Data"/>
  </cacheSource>
  <cacheFields count="16">
    <cacheField name="SampleId" numFmtId="0">
      <sharedItems/>
    </cacheField>
    <cacheField name="Location" numFmtId="0">
      <sharedItems count="5">
        <s v="Rotoiti"/>
        <s v="Rotoehu"/>
        <s v="Lake Okaro"/>
        <s v="Rotorua"/>
        <s v="Kaituna"/>
      </sharedItems>
    </cacheField>
    <cacheField name="Site" numFmtId="0">
      <sharedItems count="13">
        <s v="Hinehopu"/>
        <s v="Kennedy Bay"/>
        <s v="Otautu"/>
        <s v="Okawa Bay"/>
        <s v="Boat ramp"/>
        <s v="Ngongotaha"/>
        <s v="Te Weta"/>
        <s v="Otaramarae"/>
        <s v="Holdens Bay"/>
        <s v="Okere Arm"/>
        <s v="Ohau Channel"/>
        <s v="Hamurana"/>
        <s v="Trout Pool"/>
      </sharedItems>
    </cacheField>
    <cacheField name="SampleDate" numFmtId="0">
      <sharedItems count="1">
        <s v="12/05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5.95" maxValue="418.5"/>
    </cacheField>
    <cacheField name="NumberOfColonies" numFmtId="0">
      <sharedItems containsString="0" containsBlank="1" containsNumber="1" containsInteger="1" minValue="5" maxValue="572"/>
    </cacheField>
    <cacheField name="CellsPerMl" numFmtId="0">
      <sharedItems containsSemiMixedTypes="0" containsString="0" containsNumber="1" minValue="0.9" maxValue="10342.766374999999"/>
    </cacheField>
    <cacheField name="TotalBioVolume" numFmtId="0">
      <sharedItems containsSemiMixedTypes="0" containsString="0" containsNumber="1" minValue="0" maxValue="0.3897255026875"/>
    </cacheField>
    <cacheField name="PotentiallyToxicCellMl" numFmtId="0">
      <sharedItems containsSemiMixedTypes="0" containsString="0" containsNumber="1" minValue="0" maxValue="4479.6034791666698"/>
    </cacheField>
    <cacheField name="PotentiallyToxicBioVolume" numFmtId="0">
      <sharedItems containsSemiMixedTypes="0" containsString="0" containsNumber="1" minValue="0" maxValue="0.3897255026875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5620.1"/>
    <x v="0"/>
    <x v="0"/>
    <x v="0"/>
    <s v="20A"/>
    <s v="160"/>
    <s v="Aphanocapsa holsatica"/>
    <b v="0"/>
    <n v="10"/>
    <n v="18.600000000000001"/>
    <n v="157"/>
    <n v="10342.766374999999"/>
    <n v="5.1713831874999998E-3"/>
    <n v="0"/>
    <n v="0"/>
    <m/>
  </r>
  <r>
    <s v="5620.2"/>
    <x v="0"/>
    <x v="0"/>
    <x v="0"/>
    <s v="20A"/>
    <s v="160"/>
    <s v="Aphanocapsa delicatissima"/>
    <b v="0"/>
    <n v="10"/>
    <n v="225"/>
    <m/>
    <n v="706.859375"/>
    <n v="7.06859375E-5"/>
    <n v="0"/>
    <n v="0"/>
    <m/>
  </r>
  <r>
    <s v="5621.1"/>
    <x v="1"/>
    <x v="1"/>
    <x v="0"/>
    <s v="20A"/>
    <s v="160"/>
    <s v="Microcystis aeruginosa"/>
    <b v="1"/>
    <n v="10"/>
    <n v="14.7"/>
    <n v="77"/>
    <n v="4479.6034791666698"/>
    <n v="0.3897255026875"/>
    <n v="4479.6034791666698"/>
    <n v="0.3897255026875"/>
    <s v="Microcystis spp._x000a_"/>
  </r>
  <r>
    <s v="5621.2"/>
    <x v="1"/>
    <x v="1"/>
    <x v="0"/>
    <s v="20A"/>
    <s v="160"/>
    <s v="Limnothrix cf planktonica"/>
    <b v="0"/>
    <n v="10"/>
    <n v="25"/>
    <m/>
    <n v="78.5399305555555"/>
    <n v="1.2330769097222199E-2"/>
    <n v="0"/>
    <n v="0"/>
    <m/>
  </r>
  <r>
    <s v="5622.1"/>
    <x v="1"/>
    <x v="2"/>
    <x v="0"/>
    <s v="20A"/>
    <s v="160"/>
    <s v="Microcystis aeruginosa"/>
    <b v="1"/>
    <n v="10"/>
    <n v="30.8333333333333"/>
    <m/>
    <n v="1162.3909722222199"/>
    <n v="0.101128014583333"/>
    <n v="1162.3909722222199"/>
    <n v="0.101128014583333"/>
    <s v="Microcystis spp._x000a_"/>
  </r>
  <r>
    <s v="5622.2"/>
    <x v="1"/>
    <x v="2"/>
    <x v="0"/>
    <s v="20A"/>
    <s v="160"/>
    <s v="Phormidium sp"/>
    <b v="1"/>
    <n v="10"/>
    <n v="7"/>
    <m/>
    <n v="21.991180555555601"/>
    <n v="2.0526567930555599E-3"/>
    <n v="21.991180555555601"/>
    <n v="2.0526567930555599E-3"/>
    <m/>
  </r>
  <r>
    <s v="5623.1"/>
    <x v="0"/>
    <x v="3"/>
    <x v="0"/>
    <s v="20A"/>
    <s v="Whole Plate"/>
    <s v="Dolichospermum planctonicum "/>
    <b v="1"/>
    <n v="10"/>
    <n v="26"/>
    <m/>
    <n v="18.2"/>
    <n v="6.7340000000000004E-3"/>
    <n v="18.2"/>
    <n v="6.7340000000000004E-3"/>
    <m/>
  </r>
  <r>
    <s v="5623.2"/>
    <x v="0"/>
    <x v="3"/>
    <x v="0"/>
    <s v="20A"/>
    <s v="Whole Plate"/>
    <s v="Woronichinia naegeliana"/>
    <b v="1"/>
    <n v="10"/>
    <n v="250.07692307692301"/>
    <m/>
    <n v="325.10000000000002"/>
    <n v="0"/>
    <n v="325.10000000000002"/>
    <n v="0"/>
    <m/>
  </r>
  <r>
    <s v="5623.3"/>
    <x v="0"/>
    <x v="3"/>
    <x v="0"/>
    <s v="20A"/>
    <s v="Whole Plate"/>
    <s v="Aphanocapsa delicatissima"/>
    <b v="0"/>
    <n v="10"/>
    <n v="125.666666666667"/>
    <m/>
    <n v="188.5"/>
    <n v="1.8850000000000001E-5"/>
    <n v="0"/>
    <n v="0"/>
    <m/>
  </r>
  <r>
    <s v="5623.4"/>
    <x v="0"/>
    <x v="3"/>
    <x v="0"/>
    <s v="20A"/>
    <s v="Whole Plate"/>
    <s v="Coelosphaerium kuetzingianum"/>
    <b v="0"/>
    <n v="10"/>
    <n v="50.4"/>
    <m/>
    <n v="25.2"/>
    <n v="2.24028E-4"/>
    <n v="0"/>
    <n v="0"/>
    <m/>
  </r>
  <r>
    <s v="5623.5"/>
    <x v="0"/>
    <x v="3"/>
    <x v="0"/>
    <s v="20A"/>
    <s v="Whole Plate"/>
    <s v="Oscillatoria sp"/>
    <b v="1"/>
    <n v="10"/>
    <n v="98"/>
    <m/>
    <n v="9.8000000000000007"/>
    <n v="2.6504099999999999E-2"/>
    <n v="9.8000000000000007"/>
    <n v="2.6504099999999999E-2"/>
    <m/>
  </r>
  <r>
    <s v="5623.6"/>
    <x v="0"/>
    <x v="3"/>
    <x v="0"/>
    <s v="20A"/>
    <s v="Whole Plate"/>
    <s v="Aphanocapsa holsatica"/>
    <b v="0"/>
    <n v="10"/>
    <n v="30"/>
    <m/>
    <n v="3"/>
    <n v="1.5E-6"/>
    <n v="0"/>
    <n v="0"/>
    <m/>
  </r>
  <r>
    <s v="5623.7"/>
    <x v="0"/>
    <x v="3"/>
    <x v="0"/>
    <s v="20A"/>
    <s v="Whole Plate"/>
    <s v="Dolichospermum spiroides"/>
    <b v="1"/>
    <n v="10"/>
    <n v="19"/>
    <m/>
    <n v="1.9"/>
    <n v="4.9399999999999997E-4"/>
    <n v="1.9"/>
    <n v="4.9399999999999997E-4"/>
    <m/>
  </r>
  <r>
    <s v="5623.8"/>
    <x v="0"/>
    <x v="3"/>
    <x v="0"/>
    <s v="20A"/>
    <s v="Whole Plate"/>
    <s v="Cuspidothrix issatschenkoi"/>
    <b v="1"/>
    <n v="10"/>
    <n v="10.5"/>
    <m/>
    <n v="2.1"/>
    <n v="1.197E-4"/>
    <n v="2.1"/>
    <n v="1.197E-4"/>
    <s v="Cuspidothrix issatschenkoi_x000a_"/>
  </r>
  <r>
    <s v="5623.9"/>
    <x v="0"/>
    <x v="3"/>
    <x v="0"/>
    <s v="20A"/>
    <s v="Whole Plate"/>
    <s v="Pseudanabaena limnetica (cylinder)"/>
    <b v="1"/>
    <n v="10"/>
    <n v="20"/>
    <m/>
    <n v="2"/>
    <n v="1.5799999999999999E-4"/>
    <n v="2"/>
    <n v="1.5799999999999999E-4"/>
    <m/>
  </r>
  <r>
    <s v="5623.10"/>
    <x v="0"/>
    <x v="3"/>
    <x v="0"/>
    <s v="20A"/>
    <s v="Whole Plate"/>
    <s v="Phormidium sp"/>
    <b v="1"/>
    <n v="10"/>
    <n v="77"/>
    <m/>
    <n v="7.7"/>
    <n v="7.1871800000000003E-4"/>
    <n v="7.7"/>
    <n v="7.1871800000000003E-4"/>
    <m/>
  </r>
  <r>
    <s v="5624.1"/>
    <x v="2"/>
    <x v="4"/>
    <x v="0"/>
    <s v="20A"/>
    <s v="Whole Plate"/>
    <s v="Aphanocapsa delicatissima"/>
    <b v="0"/>
    <n v="10"/>
    <n v="157.75"/>
    <n v="13"/>
    <n v="520.57500000000005"/>
    <n v="5.2057500000000001E-5"/>
    <n v="0"/>
    <n v="0"/>
    <m/>
  </r>
  <r>
    <s v="5624.2"/>
    <x v="2"/>
    <x v="4"/>
    <x v="0"/>
    <s v="20A"/>
    <s v="Whole Plate"/>
    <s v="Dolichospermum circinale"/>
    <b v="1"/>
    <n v="10"/>
    <n v="28.3"/>
    <n v="40"/>
    <n v="169.8"/>
    <n v="9.7743672000000004E-2"/>
    <n v="169.8"/>
    <n v="9.7743672000000004E-2"/>
    <m/>
  </r>
  <r>
    <s v="5624.3"/>
    <x v="2"/>
    <x v="4"/>
    <x v="0"/>
    <s v="20A"/>
    <s v="Whole Plate"/>
    <s v="Woronichinia naegeliana"/>
    <b v="1"/>
    <n v="10"/>
    <n v="321.55"/>
    <n v="5"/>
    <n v="803.875"/>
    <n v="0"/>
    <n v="803.875"/>
    <n v="0"/>
    <m/>
  </r>
  <r>
    <s v="5624.4"/>
    <x v="2"/>
    <x v="4"/>
    <x v="0"/>
    <s v="20A"/>
    <s v="Whole Plate"/>
    <s v="Phormidium sp"/>
    <b v="1"/>
    <n v="10"/>
    <n v="65"/>
    <m/>
    <n v="6.5"/>
    <n v="6.0671E-4"/>
    <n v="6.5"/>
    <n v="6.0671E-4"/>
    <m/>
  </r>
  <r>
    <s v="5624.5"/>
    <x v="2"/>
    <x v="4"/>
    <x v="0"/>
    <s v="20A"/>
    <s v="Whole Plate"/>
    <s v="Dolichospermum spiroides"/>
    <b v="1"/>
    <n v="10"/>
    <n v="36"/>
    <m/>
    <n v="14.4"/>
    <n v="3.7439999999999999E-3"/>
    <n v="14.4"/>
    <n v="3.7439999999999999E-3"/>
    <m/>
  </r>
  <r>
    <s v="5624.6"/>
    <x v="2"/>
    <x v="4"/>
    <x v="0"/>
    <s v="20A"/>
    <s v="Whole Plate"/>
    <s v="Dolichospermum planctonicum "/>
    <b v="1"/>
    <n v="10"/>
    <n v="36"/>
    <m/>
    <n v="10.8"/>
    <n v="3.9960000000000004E-3"/>
    <n v="10.8"/>
    <n v="3.9960000000000004E-3"/>
    <m/>
  </r>
  <r>
    <s v="5624.7"/>
    <x v="2"/>
    <x v="4"/>
    <x v="0"/>
    <s v="20A"/>
    <s v="Whole Plate"/>
    <s v="Pseudanabaena limnetica (cylinder)"/>
    <b v="1"/>
    <n v="10"/>
    <n v="10"/>
    <m/>
    <n v="1"/>
    <n v="7.8999999999999996E-5"/>
    <n v="1"/>
    <n v="7.8999999999999996E-5"/>
    <m/>
  </r>
  <r>
    <s v="5625.1"/>
    <x v="3"/>
    <x v="5"/>
    <x v="0"/>
    <s v="20A"/>
    <s v="Whole Plate"/>
    <s v="Dolichospermum planctonicum "/>
    <b v="1"/>
    <n v="10"/>
    <n v="47.285714285714299"/>
    <m/>
    <n v="33.1"/>
    <n v="1.2246999999999999E-2"/>
    <n v="33.1"/>
    <n v="1.2246999999999999E-2"/>
    <m/>
  </r>
  <r>
    <s v="5625.2"/>
    <x v="3"/>
    <x v="5"/>
    <x v="0"/>
    <s v="20A"/>
    <s v="Whole Plate"/>
    <s v="Dolichospermum circinale"/>
    <b v="1"/>
    <n v="10"/>
    <n v="74.6666666666667"/>
    <m/>
    <n v="67.2"/>
    <n v="3.8683007999999998E-2"/>
    <n v="67.2"/>
    <n v="3.8683007999999998E-2"/>
    <m/>
  </r>
  <r>
    <s v="5625.3"/>
    <x v="3"/>
    <x v="5"/>
    <x v="0"/>
    <s v="20A"/>
    <s v="Whole Plate"/>
    <s v="Microcystis wesenbergii"/>
    <b v="1"/>
    <n v="10"/>
    <n v="135.75"/>
    <m/>
    <n v="54.3"/>
    <n v="1.0334919E-2"/>
    <n v="54.3"/>
    <n v="1.0334919E-2"/>
    <s v="Microcystis spp._x000a_"/>
  </r>
  <r>
    <s v="5625.4"/>
    <x v="3"/>
    <x v="5"/>
    <x v="0"/>
    <s v="20A"/>
    <s v="Whole Plate"/>
    <s v="Pseudanabaena mucicola (rod)"/>
    <b v="0"/>
    <n v="10"/>
    <n v="21.5"/>
    <m/>
    <n v="4.3"/>
    <n v="1.9780000000000001E-4"/>
    <n v="0"/>
    <n v="0"/>
    <m/>
  </r>
  <r>
    <s v="5625.5"/>
    <x v="3"/>
    <x v="5"/>
    <x v="0"/>
    <s v="20A"/>
    <s v="Whole Plate"/>
    <s v="Phormidium sp"/>
    <b v="1"/>
    <n v="10"/>
    <n v="28"/>
    <m/>
    <n v="2.8"/>
    <n v="2.6135200000000001E-4"/>
    <n v="2.8"/>
    <n v="2.6135200000000001E-4"/>
    <m/>
  </r>
  <r>
    <s v="5626.1"/>
    <x v="0"/>
    <x v="6"/>
    <x v="0"/>
    <s v="20A"/>
    <s v="Whole Plate"/>
    <s v="Aphanocapsa holsatica"/>
    <b v="0"/>
    <n v="10"/>
    <n v="25.8"/>
    <n v="144"/>
    <n v="423.12"/>
    <n v="2.1155999999999999E-4"/>
    <n v="0"/>
    <n v="0"/>
    <m/>
  </r>
  <r>
    <s v="5626.2"/>
    <x v="0"/>
    <x v="6"/>
    <x v="0"/>
    <s v="20A"/>
    <s v="Whole Plate"/>
    <s v="Dolichospermum planctonicum "/>
    <b v="1"/>
    <n v="10"/>
    <n v="23"/>
    <m/>
    <n v="29.9"/>
    <n v="1.1063E-2"/>
    <n v="29.9"/>
    <n v="1.1063E-2"/>
    <m/>
  </r>
  <r>
    <s v="5626.3"/>
    <x v="0"/>
    <x v="6"/>
    <x v="0"/>
    <s v="20A"/>
    <s v="Whole Plate"/>
    <s v="Aphanocapsa delicatissima"/>
    <b v="0"/>
    <n v="10"/>
    <n v="107.05"/>
    <n v="96"/>
    <n v="1241.78"/>
    <n v="1.2417799999999999E-4"/>
    <n v="0"/>
    <n v="0"/>
    <m/>
  </r>
  <r>
    <s v="5626.4"/>
    <x v="0"/>
    <x v="6"/>
    <x v="0"/>
    <s v="20A"/>
    <s v="Whole Plate"/>
    <s v="Dolichospermum lemmermannii"/>
    <b v="1"/>
    <n v="10"/>
    <n v="44.3333333333333"/>
    <m/>
    <n v="13.3"/>
    <n v="1.4630000000000001E-3"/>
    <n v="13.3"/>
    <n v="1.4630000000000001E-3"/>
    <m/>
  </r>
  <r>
    <s v="5626.5"/>
    <x v="0"/>
    <x v="6"/>
    <x v="0"/>
    <s v="20A"/>
    <s v="Whole Plate"/>
    <s v="Phormidium sp"/>
    <b v="1"/>
    <n v="10"/>
    <n v="25.6666666666667"/>
    <m/>
    <n v="7.7"/>
    <n v="7.1871800000000003E-4"/>
    <n v="7.7"/>
    <n v="7.1871800000000003E-4"/>
    <m/>
  </r>
  <r>
    <s v="5626.6"/>
    <x v="0"/>
    <x v="6"/>
    <x v="0"/>
    <s v="20A"/>
    <s v="Whole Plate"/>
    <s v="Pseudanabaena limnetica (cylinder)"/>
    <b v="1"/>
    <n v="10"/>
    <n v="14"/>
    <m/>
    <n v="4.2"/>
    <n v="3.3179999999999999E-4"/>
    <n v="4.2"/>
    <n v="3.3179999999999999E-4"/>
    <m/>
  </r>
  <r>
    <s v="5626.7"/>
    <x v="0"/>
    <x v="6"/>
    <x v="0"/>
    <s v="20A"/>
    <s v="Whole Plate"/>
    <s v="Dolichospermum sp"/>
    <b v="1"/>
    <n v="10"/>
    <n v="12"/>
    <m/>
    <n v="1.2"/>
    <n v="2.2800000000000001E-4"/>
    <n v="1.2"/>
    <n v="2.2800000000000001E-4"/>
    <m/>
  </r>
  <r>
    <s v="5626.8"/>
    <x v="0"/>
    <x v="6"/>
    <x v="0"/>
    <s v="20A"/>
    <s v="Whole Plate"/>
    <s v="Dolichospermum circinale"/>
    <b v="1"/>
    <n v="10"/>
    <n v="66"/>
    <m/>
    <n v="6.6"/>
    <n v="3.7992239999999999E-3"/>
    <n v="6.6"/>
    <n v="3.7992239999999999E-3"/>
    <m/>
  </r>
  <r>
    <s v="5626.9"/>
    <x v="0"/>
    <x v="6"/>
    <x v="0"/>
    <s v="20A"/>
    <s v="Whole Plate"/>
    <s v="Limnothrix cf planktonica"/>
    <b v="0"/>
    <n v="10"/>
    <n v="9"/>
    <m/>
    <n v="0.9"/>
    <n v="1.4129999999999999E-4"/>
    <n v="0"/>
    <n v="0"/>
    <m/>
  </r>
  <r>
    <s v="5626.10"/>
    <x v="0"/>
    <x v="6"/>
    <x v="0"/>
    <s v="20A"/>
    <s v="Whole Plate"/>
    <s v="Coelosphaerium kuetzingianum"/>
    <b v="0"/>
    <n v="10"/>
    <n v="141"/>
    <m/>
    <n v="14.1"/>
    <n v="1.25349E-4"/>
    <n v="0"/>
    <n v="0"/>
    <m/>
  </r>
  <r>
    <s v="5626.11"/>
    <x v="0"/>
    <x v="6"/>
    <x v="0"/>
    <s v="20A"/>
    <s v="Whole Plate"/>
    <s v="Microcystis wesenbergii"/>
    <b v="1"/>
    <n v="10"/>
    <n v="123"/>
    <m/>
    <n v="12.3"/>
    <n v="2.3410589999999999E-3"/>
    <n v="12.3"/>
    <n v="2.3410589999999999E-3"/>
    <s v="Microcystis spp._x000a_"/>
  </r>
  <r>
    <s v="5627.1"/>
    <x v="0"/>
    <x v="7"/>
    <x v="0"/>
    <s v="20A"/>
    <s v="160"/>
    <s v="Aphanocapsa holsatica"/>
    <b v="0"/>
    <n v="10"/>
    <n v="12.05"/>
    <n v="131"/>
    <n v="5716.2932256944396"/>
    <n v="2.8581466128472198E-3"/>
    <n v="0"/>
    <n v="0"/>
    <m/>
  </r>
  <r>
    <s v="5627.2"/>
    <x v="0"/>
    <x v="7"/>
    <x v="0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627.3"/>
    <x v="0"/>
    <x v="7"/>
    <x v="0"/>
    <s v="20A"/>
    <s v="160"/>
    <s v="Pseudanabaena limnetica (cylinder)"/>
    <b v="1"/>
    <n v="10"/>
    <n v="17"/>
    <m/>
    <n v="53.407152777777803"/>
    <n v="4.2191650694444497E-3"/>
    <n v="53.407152777777803"/>
    <n v="4.2191650694444497E-3"/>
    <m/>
  </r>
  <r>
    <s v="5627.4"/>
    <x v="0"/>
    <x v="7"/>
    <x v="0"/>
    <s v="20A"/>
    <s v="160"/>
    <s v="Microcystis sp. (large)"/>
    <b v="1"/>
    <n v="10"/>
    <n v="54"/>
    <m/>
    <n v="169.64625000000001"/>
    <n v="1.5787280024999999E-2"/>
    <n v="169.64625000000001"/>
    <n v="1.5787280024999999E-2"/>
    <s v="Microcystis spp._x000a_"/>
  </r>
  <r>
    <s v="5628.1"/>
    <x v="3"/>
    <x v="8"/>
    <x v="0"/>
    <s v="20A"/>
    <s v="Whole Plate"/>
    <s v="Dolichospermum planctonicum "/>
    <b v="1"/>
    <n v="10"/>
    <n v="40.625"/>
    <m/>
    <n v="65"/>
    <n v="2.4049999999999998E-2"/>
    <n v="65"/>
    <n v="2.4049999999999998E-2"/>
    <m/>
  </r>
  <r>
    <s v="5628.2"/>
    <x v="3"/>
    <x v="8"/>
    <x v="0"/>
    <s v="20A"/>
    <s v="Whole Plate"/>
    <s v="Geitlerinema sp"/>
    <b v="0"/>
    <n v="10"/>
    <n v="10"/>
    <m/>
    <n v="1"/>
    <n v="2.1999999999999999E-5"/>
    <n v="0"/>
    <n v="0"/>
    <m/>
  </r>
  <r>
    <s v="5628.3"/>
    <x v="3"/>
    <x v="8"/>
    <x v="0"/>
    <s v="20A"/>
    <s v="Whole Plate"/>
    <s v="Pseudanabaena limnetica (cylinder)"/>
    <b v="1"/>
    <n v="10"/>
    <n v="19.75"/>
    <m/>
    <n v="7.9"/>
    <n v="6.2410000000000005E-4"/>
    <n v="7.9"/>
    <n v="6.2410000000000005E-4"/>
    <m/>
  </r>
  <r>
    <s v="5628.4"/>
    <x v="3"/>
    <x v="8"/>
    <x v="0"/>
    <s v="20A"/>
    <s v="Whole Plate"/>
    <s v="Microcystis wesenbergii"/>
    <b v="1"/>
    <n v="10"/>
    <n v="418.5"/>
    <m/>
    <n v="83.7"/>
    <n v="1.5930620999999999E-2"/>
    <n v="83.7"/>
    <n v="1.5930620999999999E-2"/>
    <s v="Microcystis spp._x000a_"/>
  </r>
  <r>
    <s v="5629.1"/>
    <x v="0"/>
    <x v="9"/>
    <x v="0"/>
    <s v="20A"/>
    <s v="160"/>
    <s v="Aphanocapsa delicatissima"/>
    <b v="0"/>
    <n v="10"/>
    <n v="152.5"/>
    <m/>
    <n v="958.18715277777801"/>
    <n v="9.58187152777778E-5"/>
    <n v="0"/>
    <n v="0"/>
    <m/>
  </r>
  <r>
    <s v="5629.2"/>
    <x v="0"/>
    <x v="9"/>
    <x v="0"/>
    <s v="20A"/>
    <s v="160"/>
    <s v="Aphanocapsa holsatica"/>
    <b v="0"/>
    <n v="10"/>
    <n v="5.95"/>
    <n v="44"/>
    <n v="1196.3202222222201"/>
    <n v="5.9816011111111004E-4"/>
    <n v="0"/>
    <n v="0"/>
    <m/>
  </r>
  <r>
    <s v="5630.1"/>
    <x v="3"/>
    <x v="10"/>
    <x v="0"/>
    <s v="20A"/>
    <s v="Whole Plate"/>
    <s v="Dolichospermum planctonicum "/>
    <b v="1"/>
    <n v="10"/>
    <n v="60.2"/>
    <m/>
    <n v="30.1"/>
    <n v="1.1136999999999999E-2"/>
    <n v="30.1"/>
    <n v="1.1136999999999999E-2"/>
    <m/>
  </r>
  <r>
    <s v="5630.2"/>
    <x v="3"/>
    <x v="10"/>
    <x v="0"/>
    <s v="20A"/>
    <s v="Whole Plate"/>
    <s v="Dolichospermum sp"/>
    <b v="1"/>
    <n v="10"/>
    <n v="41"/>
    <m/>
    <n v="4.0999999999999996"/>
    <n v="7.7899999999999996E-4"/>
    <n v="4.0999999999999996"/>
    <n v="7.7899999999999996E-4"/>
    <m/>
  </r>
  <r>
    <s v="5631.1"/>
    <x v="3"/>
    <x v="11"/>
    <x v="0"/>
    <s v="20A"/>
    <s v="Whole Plate"/>
    <s v="Dolichospermum planctonicum "/>
    <b v="1"/>
    <n v="10"/>
    <n v="43.2"/>
    <m/>
    <n v="43.2"/>
    <n v="1.5984000000000002E-2"/>
    <n v="43.2"/>
    <n v="1.5984000000000002E-2"/>
    <m/>
  </r>
  <r>
    <s v="5631.2"/>
    <x v="3"/>
    <x v="11"/>
    <x v="0"/>
    <s v="20A"/>
    <s v="Whole Plate"/>
    <s v="Dolichospermum circinale"/>
    <b v="1"/>
    <n v="10"/>
    <n v="20"/>
    <m/>
    <n v="2"/>
    <n v="1.15128E-3"/>
    <n v="2"/>
    <n v="1.15128E-3"/>
    <m/>
  </r>
  <r>
    <s v="5631.3"/>
    <x v="3"/>
    <x v="11"/>
    <x v="0"/>
    <s v="20A"/>
    <s v="Whole Plate"/>
    <s v="Microcystis wesenbergii"/>
    <b v="1"/>
    <n v="10"/>
    <n v="83"/>
    <m/>
    <n v="8.3000000000000007"/>
    <n v="1.5797389999999999E-3"/>
    <n v="8.3000000000000007"/>
    <n v="1.5797389999999999E-3"/>
    <s v="Microcystis spp._x000a_"/>
  </r>
  <r>
    <s v="5632.1"/>
    <x v="4"/>
    <x v="12"/>
    <x v="0"/>
    <s v="20A"/>
    <s v="Whole Plate"/>
    <s v="Microcystis aeruginosa"/>
    <b v="1"/>
    <n v="10"/>
    <n v="51.5"/>
    <m/>
    <n v="10.3"/>
    <n v="8.9610000000000004E-4"/>
    <n v="10.3"/>
    <n v="8.9610000000000004E-4"/>
    <s v="Microcystis spp._x000a_"/>
  </r>
  <r>
    <s v="5632.2"/>
    <x v="4"/>
    <x v="12"/>
    <x v="0"/>
    <s v="20A"/>
    <s v="Whole Plate"/>
    <s v="Aphanocapsa holsatica"/>
    <b v="0"/>
    <n v="10"/>
    <n v="13.3"/>
    <n v="572"/>
    <n v="787.36"/>
    <n v="3.9367999999999998E-4"/>
    <n v="0"/>
    <n v="0"/>
    <m/>
  </r>
  <r>
    <s v="5632.3"/>
    <x v="4"/>
    <x v="12"/>
    <x v="0"/>
    <s v="20A"/>
    <s v="Whole Plate"/>
    <s v="Aphanocapsa delicatissima"/>
    <b v="0"/>
    <n v="10"/>
    <n v="42.95"/>
    <n v="42"/>
    <n v="266.29000000000002"/>
    <n v="2.6628999999999999E-5"/>
    <n v="0"/>
    <n v="0"/>
    <m/>
  </r>
  <r>
    <s v="5632.4"/>
    <x v="4"/>
    <x v="12"/>
    <x v="0"/>
    <s v="20A"/>
    <s v="Whole Plate"/>
    <s v="Pseudanabaena limnetica (cylinder)"/>
    <b v="1"/>
    <n v="10"/>
    <n v="17"/>
    <m/>
    <n v="8.5"/>
    <n v="6.715E-4"/>
    <n v="8.5"/>
    <n v="6.715E-4"/>
    <m/>
  </r>
  <r>
    <s v="5632.5"/>
    <x v="4"/>
    <x v="12"/>
    <x v="0"/>
    <s v="20A"/>
    <s v="Whole Plate"/>
    <s v="Phormidium sp"/>
    <b v="1"/>
    <n v="10"/>
    <n v="26"/>
    <m/>
    <n v="2.6"/>
    <n v="2.4268400000000001E-4"/>
    <n v="2.6"/>
    <n v="2.4268400000000001E-4"/>
    <m/>
  </r>
  <r>
    <s v="5632.6"/>
    <x v="4"/>
    <x v="12"/>
    <x v="0"/>
    <s v="20A"/>
    <s v="Whole Plate"/>
    <s v="Dolichospermum lemmermannii"/>
    <b v="1"/>
    <n v="10"/>
    <n v="9"/>
    <m/>
    <n v="0.9"/>
    <n v="9.8999999999999994E-5"/>
    <n v="0.9"/>
    <n v="9.8999999999999994E-5"/>
    <m/>
  </r>
  <r>
    <s v="5632.7"/>
    <x v="4"/>
    <x v="12"/>
    <x v="0"/>
    <s v="20A"/>
    <s v="Whole Plate"/>
    <s v="Dolichospermum planctonicum "/>
    <b v="1"/>
    <n v="10"/>
    <n v="24.3333333333333"/>
    <m/>
    <n v="7.3"/>
    <n v="2.7009999999999998E-3"/>
    <n v="7.3"/>
    <n v="2.7009999999999998E-3"/>
    <m/>
  </r>
  <r>
    <s v="5632.8"/>
    <x v="4"/>
    <x v="12"/>
    <x v="0"/>
    <s v="20A"/>
    <s v="Whole Plate"/>
    <s v="Dolichospermum circinale"/>
    <b v="1"/>
    <n v="10"/>
    <n v="26"/>
    <m/>
    <n v="5.2"/>
    <n v="2.993328E-3"/>
    <n v="5.2"/>
    <n v="2.993328E-3"/>
    <m/>
  </r>
  <r>
    <s v="5632.9"/>
    <x v="4"/>
    <x v="12"/>
    <x v="0"/>
    <s v="20A"/>
    <s v="Whole Plate"/>
    <s v="Dolichospermum sp"/>
    <b v="1"/>
    <n v="10"/>
    <n v="26.5"/>
    <m/>
    <n v="5.3"/>
    <n v="1.0070000000000001E-3"/>
    <n v="5.3"/>
    <n v="1.0070000000000001E-3"/>
    <m/>
  </r>
  <r>
    <s v="5632.10"/>
    <x v="4"/>
    <x v="12"/>
    <x v="0"/>
    <s v="20A"/>
    <s v="Whole Plate"/>
    <s v="Microcystis wesenbergii"/>
    <b v="1"/>
    <n v="10"/>
    <n v="323"/>
    <m/>
    <n v="64.599999999999994"/>
    <n v="1.2295318E-2"/>
    <n v="64.599999999999994"/>
    <n v="1.2295318E-2"/>
    <s v="Microcystis spp._x000a_"/>
  </r>
  <r>
    <s v="5632.11"/>
    <x v="4"/>
    <x v="12"/>
    <x v="0"/>
    <s v="20A"/>
    <s v="Whole Plate"/>
    <s v="Pseudanabaena mucicola (rod)"/>
    <b v="0"/>
    <n v="10"/>
    <n v="24"/>
    <m/>
    <n v="2.4"/>
    <n v="1.104E-4"/>
    <n v="0"/>
    <n v="0"/>
    <m/>
  </r>
  <r>
    <s v="5632.12"/>
    <x v="4"/>
    <x v="12"/>
    <x v="0"/>
    <s v="20A"/>
    <s v="Whole Plate"/>
    <s v="Woronichinia naegeliana"/>
    <b v="1"/>
    <n v="10"/>
    <n v="26"/>
    <m/>
    <n v="2.6"/>
    <n v="0"/>
    <n v="2.6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5621.1"/>
    <x v="0"/>
    <x v="0"/>
    <x v="0"/>
    <s v="20A"/>
    <s v="160"/>
    <s v="Microcystis aeruginosa"/>
    <b v="1"/>
    <n v="10"/>
    <n v="14.7"/>
    <n v="77"/>
    <n v="4479.6034791666698"/>
    <n v="0.3897255026875"/>
    <n v="4479.6034791666698"/>
    <n v="0.3897255026875"/>
    <x v="0"/>
  </r>
  <r>
    <s v="5622.1"/>
    <x v="0"/>
    <x v="1"/>
    <x v="0"/>
    <s v="20A"/>
    <s v="160"/>
    <s v="Microcystis aeruginosa"/>
    <b v="1"/>
    <n v="10"/>
    <n v="30.8333333333333"/>
    <m/>
    <n v="1162.3909722222199"/>
    <n v="0.101128014583333"/>
    <n v="1162.3909722222199"/>
    <n v="0.101128014583333"/>
    <x v="0"/>
  </r>
  <r>
    <s v="5623.8"/>
    <x v="1"/>
    <x v="2"/>
    <x v="0"/>
    <s v="20A"/>
    <s v="Whole Plate"/>
    <s v="Cuspidothrix issatschenkoi"/>
    <b v="1"/>
    <n v="10"/>
    <n v="10.5"/>
    <m/>
    <n v="2.1"/>
    <n v="1.197E-4"/>
    <n v="2.1"/>
    <n v="1.197E-4"/>
    <x v="1"/>
  </r>
  <r>
    <s v="5625.3"/>
    <x v="2"/>
    <x v="3"/>
    <x v="0"/>
    <s v="20A"/>
    <s v="Whole Plate"/>
    <s v="Microcystis wesenbergii"/>
    <b v="1"/>
    <n v="10"/>
    <n v="135.75"/>
    <m/>
    <n v="54.3"/>
    <n v="1.0334919E-2"/>
    <n v="54.3"/>
    <n v="1.0334919E-2"/>
    <x v="0"/>
  </r>
  <r>
    <s v="5626.11"/>
    <x v="1"/>
    <x v="4"/>
    <x v="0"/>
    <s v="20A"/>
    <s v="Whole Plate"/>
    <s v="Microcystis wesenbergii"/>
    <b v="1"/>
    <n v="10"/>
    <n v="123"/>
    <m/>
    <n v="12.3"/>
    <n v="2.3410589999999999E-3"/>
    <n v="12.3"/>
    <n v="2.3410589999999999E-3"/>
    <x v="0"/>
  </r>
  <r>
    <s v="5627.4"/>
    <x v="1"/>
    <x v="5"/>
    <x v="0"/>
    <s v="20A"/>
    <s v="160"/>
    <s v="Microcystis sp. (large)"/>
    <b v="1"/>
    <n v="10"/>
    <n v="54"/>
    <m/>
    <n v="169.64625000000001"/>
    <n v="1.5787280024999999E-2"/>
    <n v="169.64625000000001"/>
    <n v="1.5787280024999999E-2"/>
    <x v="0"/>
  </r>
  <r>
    <s v="5628.4"/>
    <x v="2"/>
    <x v="6"/>
    <x v="0"/>
    <s v="20A"/>
    <s v="Whole Plate"/>
    <s v="Microcystis wesenbergii"/>
    <b v="1"/>
    <n v="10"/>
    <n v="418.5"/>
    <m/>
    <n v="83.7"/>
    <n v="1.5930620999999999E-2"/>
    <n v="83.7"/>
    <n v="1.5930620999999999E-2"/>
    <x v="0"/>
  </r>
  <r>
    <s v="5631.3"/>
    <x v="2"/>
    <x v="7"/>
    <x v="0"/>
    <s v="20A"/>
    <s v="Whole Plate"/>
    <s v="Microcystis wesenbergii"/>
    <b v="1"/>
    <n v="10"/>
    <n v="83"/>
    <m/>
    <n v="8.3000000000000007"/>
    <n v="1.5797389999999999E-3"/>
    <n v="8.3000000000000007"/>
    <n v="1.5797389999999999E-3"/>
    <x v="0"/>
  </r>
  <r>
    <s v="5632.1"/>
    <x v="3"/>
    <x v="8"/>
    <x v="0"/>
    <s v="20A"/>
    <s v="Whole Plate"/>
    <s v="Microcystis aeruginosa"/>
    <b v="1"/>
    <n v="10"/>
    <n v="51.5"/>
    <m/>
    <n v="10.3"/>
    <n v="8.9610000000000004E-4"/>
    <n v="10.3"/>
    <n v="8.9610000000000004E-4"/>
    <x v="0"/>
  </r>
  <r>
    <s v="5632.10"/>
    <x v="3"/>
    <x v="8"/>
    <x v="0"/>
    <s v="20A"/>
    <s v="Whole Plate"/>
    <s v="Microcystis wesenbergii"/>
    <b v="1"/>
    <n v="10"/>
    <n v="323"/>
    <m/>
    <n v="64.599999999999994"/>
    <n v="1.2295318E-2"/>
    <n v="64.599999999999994"/>
    <n v="1.2295318E-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5620.1"/>
    <x v="0"/>
    <x v="0"/>
    <x v="0"/>
    <s v="20A"/>
    <s v="160"/>
    <s v="Aphanocapsa holsatica"/>
    <b v="0"/>
    <n v="10"/>
    <n v="18.600000000000001"/>
    <n v="157"/>
    <n v="10342.766374999999"/>
    <n v="5.1713831874999998E-3"/>
    <n v="0"/>
    <n v="0"/>
    <m/>
  </r>
  <r>
    <s v="5620.2"/>
    <x v="0"/>
    <x v="0"/>
    <x v="0"/>
    <s v="20A"/>
    <s v="160"/>
    <s v="Aphanocapsa delicatissima"/>
    <b v="0"/>
    <n v="10"/>
    <n v="225"/>
    <m/>
    <n v="706.859375"/>
    <n v="7.06859375E-5"/>
    <n v="0"/>
    <n v="0"/>
    <m/>
  </r>
  <r>
    <s v="5621.1"/>
    <x v="1"/>
    <x v="1"/>
    <x v="0"/>
    <s v="20A"/>
    <s v="160"/>
    <s v="Microcystis aeruginosa"/>
    <b v="1"/>
    <n v="10"/>
    <n v="14.7"/>
    <n v="77"/>
    <n v="4479.6034791666698"/>
    <n v="0.3897255026875"/>
    <n v="4479.6034791666698"/>
    <n v="0.3897255026875"/>
    <s v="Microcystis spp._x000a_"/>
  </r>
  <r>
    <s v="5621.2"/>
    <x v="1"/>
    <x v="1"/>
    <x v="0"/>
    <s v="20A"/>
    <s v="160"/>
    <s v="Limnothrix cf planktonica"/>
    <b v="0"/>
    <n v="10"/>
    <n v="25"/>
    <m/>
    <n v="78.5399305555555"/>
    <n v="1.2330769097222199E-2"/>
    <n v="0"/>
    <n v="0"/>
    <m/>
  </r>
  <r>
    <s v="5622.1"/>
    <x v="1"/>
    <x v="2"/>
    <x v="0"/>
    <s v="20A"/>
    <s v="160"/>
    <s v="Microcystis aeruginosa"/>
    <b v="1"/>
    <n v="10"/>
    <n v="30.8333333333333"/>
    <m/>
    <n v="1162.3909722222199"/>
    <n v="0.101128014583333"/>
    <n v="1162.3909722222199"/>
    <n v="0.101128014583333"/>
    <s v="Microcystis spp._x000a_"/>
  </r>
  <r>
    <s v="5622.2"/>
    <x v="1"/>
    <x v="2"/>
    <x v="0"/>
    <s v="20A"/>
    <s v="160"/>
    <s v="Phormidium sp"/>
    <b v="1"/>
    <n v="10"/>
    <n v="7"/>
    <m/>
    <n v="21.991180555555601"/>
    <n v="2.0526567930555599E-3"/>
    <n v="21.991180555555601"/>
    <n v="2.0526567930555599E-3"/>
    <m/>
  </r>
  <r>
    <s v="5623.1"/>
    <x v="0"/>
    <x v="3"/>
    <x v="0"/>
    <s v="20A"/>
    <s v="Whole Plate"/>
    <s v="Dolichospermum planctonicum "/>
    <b v="1"/>
    <n v="10"/>
    <n v="26"/>
    <m/>
    <n v="18.2"/>
    <n v="6.7340000000000004E-3"/>
    <n v="18.2"/>
    <n v="6.7340000000000004E-3"/>
    <m/>
  </r>
  <r>
    <s v="5623.2"/>
    <x v="0"/>
    <x v="3"/>
    <x v="0"/>
    <s v="20A"/>
    <s v="Whole Plate"/>
    <s v="Woronichinia naegeliana"/>
    <b v="1"/>
    <n v="10"/>
    <n v="250.07692307692301"/>
    <m/>
    <n v="325.10000000000002"/>
    <n v="0"/>
    <n v="325.10000000000002"/>
    <n v="0"/>
    <m/>
  </r>
  <r>
    <s v="5623.3"/>
    <x v="0"/>
    <x v="3"/>
    <x v="0"/>
    <s v="20A"/>
    <s v="Whole Plate"/>
    <s v="Aphanocapsa delicatissima"/>
    <b v="0"/>
    <n v="10"/>
    <n v="125.666666666667"/>
    <m/>
    <n v="188.5"/>
    <n v="1.8850000000000001E-5"/>
    <n v="0"/>
    <n v="0"/>
    <m/>
  </r>
  <r>
    <s v="5623.4"/>
    <x v="0"/>
    <x v="3"/>
    <x v="0"/>
    <s v="20A"/>
    <s v="Whole Plate"/>
    <s v="Coelosphaerium kuetzingianum"/>
    <b v="0"/>
    <n v="10"/>
    <n v="50.4"/>
    <m/>
    <n v="25.2"/>
    <n v="2.24028E-4"/>
    <n v="0"/>
    <n v="0"/>
    <m/>
  </r>
  <r>
    <s v="5623.5"/>
    <x v="0"/>
    <x v="3"/>
    <x v="0"/>
    <s v="20A"/>
    <s v="Whole Plate"/>
    <s v="Oscillatoria sp"/>
    <b v="1"/>
    <n v="10"/>
    <n v="98"/>
    <m/>
    <n v="9.8000000000000007"/>
    <n v="2.6504099999999999E-2"/>
    <n v="9.8000000000000007"/>
    <n v="2.6504099999999999E-2"/>
    <m/>
  </r>
  <r>
    <s v="5623.6"/>
    <x v="0"/>
    <x v="3"/>
    <x v="0"/>
    <s v="20A"/>
    <s v="Whole Plate"/>
    <s v="Aphanocapsa holsatica"/>
    <b v="0"/>
    <n v="10"/>
    <n v="30"/>
    <m/>
    <n v="3"/>
    <n v="1.5E-6"/>
    <n v="0"/>
    <n v="0"/>
    <m/>
  </r>
  <r>
    <s v="5623.7"/>
    <x v="0"/>
    <x v="3"/>
    <x v="0"/>
    <s v="20A"/>
    <s v="Whole Plate"/>
    <s v="Dolichospermum spiroides"/>
    <b v="1"/>
    <n v="10"/>
    <n v="19"/>
    <m/>
    <n v="1.9"/>
    <n v="4.9399999999999997E-4"/>
    <n v="1.9"/>
    <n v="4.9399999999999997E-4"/>
    <m/>
  </r>
  <r>
    <s v="5623.8"/>
    <x v="0"/>
    <x v="3"/>
    <x v="0"/>
    <s v="20A"/>
    <s v="Whole Plate"/>
    <s v="Cuspidothrix issatschenkoi"/>
    <b v="1"/>
    <n v="10"/>
    <n v="10.5"/>
    <m/>
    <n v="2.1"/>
    <n v="1.197E-4"/>
    <n v="2.1"/>
    <n v="1.197E-4"/>
    <s v="Cuspidothrix issatschenkoi_x000a_"/>
  </r>
  <r>
    <s v="5623.9"/>
    <x v="0"/>
    <x v="3"/>
    <x v="0"/>
    <s v="20A"/>
    <s v="Whole Plate"/>
    <s v="Pseudanabaena limnetica (cylinder)"/>
    <b v="1"/>
    <n v="10"/>
    <n v="20"/>
    <m/>
    <n v="2"/>
    <n v="1.5799999999999999E-4"/>
    <n v="2"/>
    <n v="1.5799999999999999E-4"/>
    <m/>
  </r>
  <r>
    <s v="5623.10"/>
    <x v="0"/>
    <x v="3"/>
    <x v="0"/>
    <s v="20A"/>
    <s v="Whole Plate"/>
    <s v="Phormidium sp"/>
    <b v="1"/>
    <n v="10"/>
    <n v="77"/>
    <m/>
    <n v="7.7"/>
    <n v="7.1871800000000003E-4"/>
    <n v="7.7"/>
    <n v="7.1871800000000003E-4"/>
    <m/>
  </r>
  <r>
    <s v="5624.1"/>
    <x v="2"/>
    <x v="4"/>
    <x v="0"/>
    <s v="20A"/>
    <s v="Whole Plate"/>
    <s v="Aphanocapsa delicatissima"/>
    <b v="0"/>
    <n v="10"/>
    <n v="157.75"/>
    <n v="13"/>
    <n v="520.57500000000005"/>
    <n v="5.2057500000000001E-5"/>
    <n v="0"/>
    <n v="0"/>
    <m/>
  </r>
  <r>
    <s v="5624.2"/>
    <x v="2"/>
    <x v="4"/>
    <x v="0"/>
    <s v="20A"/>
    <s v="Whole Plate"/>
    <s v="Dolichospermum circinale"/>
    <b v="1"/>
    <n v="10"/>
    <n v="28.3"/>
    <n v="40"/>
    <n v="169.8"/>
    <n v="9.7743672000000004E-2"/>
    <n v="169.8"/>
    <n v="9.7743672000000004E-2"/>
    <m/>
  </r>
  <r>
    <s v="5624.3"/>
    <x v="2"/>
    <x v="4"/>
    <x v="0"/>
    <s v="20A"/>
    <s v="Whole Plate"/>
    <s v="Woronichinia naegeliana"/>
    <b v="1"/>
    <n v="10"/>
    <n v="321.55"/>
    <n v="5"/>
    <n v="803.875"/>
    <n v="0"/>
    <n v="803.875"/>
    <n v="0"/>
    <m/>
  </r>
  <r>
    <s v="5624.4"/>
    <x v="2"/>
    <x v="4"/>
    <x v="0"/>
    <s v="20A"/>
    <s v="Whole Plate"/>
    <s v="Phormidium sp"/>
    <b v="1"/>
    <n v="10"/>
    <n v="65"/>
    <m/>
    <n v="6.5"/>
    <n v="6.0671E-4"/>
    <n v="6.5"/>
    <n v="6.0671E-4"/>
    <m/>
  </r>
  <r>
    <s v="5624.5"/>
    <x v="2"/>
    <x v="4"/>
    <x v="0"/>
    <s v="20A"/>
    <s v="Whole Plate"/>
    <s v="Dolichospermum spiroides"/>
    <b v="1"/>
    <n v="10"/>
    <n v="36"/>
    <m/>
    <n v="14.4"/>
    <n v="3.7439999999999999E-3"/>
    <n v="14.4"/>
    <n v="3.7439999999999999E-3"/>
    <m/>
  </r>
  <r>
    <s v="5624.6"/>
    <x v="2"/>
    <x v="4"/>
    <x v="0"/>
    <s v="20A"/>
    <s v="Whole Plate"/>
    <s v="Dolichospermum planctonicum "/>
    <b v="1"/>
    <n v="10"/>
    <n v="36"/>
    <m/>
    <n v="10.8"/>
    <n v="3.9960000000000004E-3"/>
    <n v="10.8"/>
    <n v="3.9960000000000004E-3"/>
    <m/>
  </r>
  <r>
    <s v="5624.7"/>
    <x v="2"/>
    <x v="4"/>
    <x v="0"/>
    <s v="20A"/>
    <s v="Whole Plate"/>
    <s v="Pseudanabaena limnetica (cylinder)"/>
    <b v="1"/>
    <n v="10"/>
    <n v="10"/>
    <m/>
    <n v="1"/>
    <n v="7.8999999999999996E-5"/>
    <n v="1"/>
    <n v="7.8999999999999996E-5"/>
    <m/>
  </r>
  <r>
    <s v="5625.1"/>
    <x v="3"/>
    <x v="5"/>
    <x v="0"/>
    <s v="20A"/>
    <s v="Whole Plate"/>
    <s v="Dolichospermum planctonicum "/>
    <b v="1"/>
    <n v="10"/>
    <n v="47.285714285714299"/>
    <m/>
    <n v="33.1"/>
    <n v="1.2246999999999999E-2"/>
    <n v="33.1"/>
    <n v="1.2246999999999999E-2"/>
    <m/>
  </r>
  <r>
    <s v="5625.2"/>
    <x v="3"/>
    <x v="5"/>
    <x v="0"/>
    <s v="20A"/>
    <s v="Whole Plate"/>
    <s v="Dolichospermum circinale"/>
    <b v="1"/>
    <n v="10"/>
    <n v="74.6666666666667"/>
    <m/>
    <n v="67.2"/>
    <n v="3.8683007999999998E-2"/>
    <n v="67.2"/>
    <n v="3.8683007999999998E-2"/>
    <m/>
  </r>
  <r>
    <s v="5625.3"/>
    <x v="3"/>
    <x v="5"/>
    <x v="0"/>
    <s v="20A"/>
    <s v="Whole Plate"/>
    <s v="Microcystis wesenbergii"/>
    <b v="1"/>
    <n v="10"/>
    <n v="135.75"/>
    <m/>
    <n v="54.3"/>
    <n v="1.0334919E-2"/>
    <n v="54.3"/>
    <n v="1.0334919E-2"/>
    <s v="Microcystis spp._x000a_"/>
  </r>
  <r>
    <s v="5625.4"/>
    <x v="3"/>
    <x v="5"/>
    <x v="0"/>
    <s v="20A"/>
    <s v="Whole Plate"/>
    <s v="Pseudanabaena mucicola (rod)"/>
    <b v="0"/>
    <n v="10"/>
    <n v="21.5"/>
    <m/>
    <n v="4.3"/>
    <n v="1.9780000000000001E-4"/>
    <n v="0"/>
    <n v="0"/>
    <m/>
  </r>
  <r>
    <s v="5625.5"/>
    <x v="3"/>
    <x v="5"/>
    <x v="0"/>
    <s v="20A"/>
    <s v="Whole Plate"/>
    <s v="Phormidium sp"/>
    <b v="1"/>
    <n v="10"/>
    <n v="28"/>
    <m/>
    <n v="2.8"/>
    <n v="2.6135200000000001E-4"/>
    <n v="2.8"/>
    <n v="2.6135200000000001E-4"/>
    <m/>
  </r>
  <r>
    <s v="5626.1"/>
    <x v="0"/>
    <x v="6"/>
    <x v="0"/>
    <s v="20A"/>
    <s v="Whole Plate"/>
    <s v="Aphanocapsa holsatica"/>
    <b v="0"/>
    <n v="10"/>
    <n v="25.8"/>
    <n v="144"/>
    <n v="423.12"/>
    <n v="2.1155999999999999E-4"/>
    <n v="0"/>
    <n v="0"/>
    <m/>
  </r>
  <r>
    <s v="5626.2"/>
    <x v="0"/>
    <x v="6"/>
    <x v="0"/>
    <s v="20A"/>
    <s v="Whole Plate"/>
    <s v="Dolichospermum planctonicum "/>
    <b v="1"/>
    <n v="10"/>
    <n v="23"/>
    <m/>
    <n v="29.9"/>
    <n v="1.1063E-2"/>
    <n v="29.9"/>
    <n v="1.1063E-2"/>
    <m/>
  </r>
  <r>
    <s v="5626.3"/>
    <x v="0"/>
    <x v="6"/>
    <x v="0"/>
    <s v="20A"/>
    <s v="Whole Plate"/>
    <s v="Aphanocapsa delicatissima"/>
    <b v="0"/>
    <n v="10"/>
    <n v="107.05"/>
    <n v="96"/>
    <n v="1241.78"/>
    <n v="1.2417799999999999E-4"/>
    <n v="0"/>
    <n v="0"/>
    <m/>
  </r>
  <r>
    <s v="5626.4"/>
    <x v="0"/>
    <x v="6"/>
    <x v="0"/>
    <s v="20A"/>
    <s v="Whole Plate"/>
    <s v="Dolichospermum lemmermannii"/>
    <b v="1"/>
    <n v="10"/>
    <n v="44.3333333333333"/>
    <m/>
    <n v="13.3"/>
    <n v="1.4630000000000001E-3"/>
    <n v="13.3"/>
    <n v="1.4630000000000001E-3"/>
    <m/>
  </r>
  <r>
    <s v="5626.5"/>
    <x v="0"/>
    <x v="6"/>
    <x v="0"/>
    <s v="20A"/>
    <s v="Whole Plate"/>
    <s v="Phormidium sp"/>
    <b v="1"/>
    <n v="10"/>
    <n v="25.6666666666667"/>
    <m/>
    <n v="7.7"/>
    <n v="7.1871800000000003E-4"/>
    <n v="7.7"/>
    <n v="7.1871800000000003E-4"/>
    <m/>
  </r>
  <r>
    <s v="5626.6"/>
    <x v="0"/>
    <x v="6"/>
    <x v="0"/>
    <s v="20A"/>
    <s v="Whole Plate"/>
    <s v="Pseudanabaena limnetica (cylinder)"/>
    <b v="1"/>
    <n v="10"/>
    <n v="14"/>
    <m/>
    <n v="4.2"/>
    <n v="3.3179999999999999E-4"/>
    <n v="4.2"/>
    <n v="3.3179999999999999E-4"/>
    <m/>
  </r>
  <r>
    <s v="5626.7"/>
    <x v="0"/>
    <x v="6"/>
    <x v="0"/>
    <s v="20A"/>
    <s v="Whole Plate"/>
    <s v="Dolichospermum sp"/>
    <b v="1"/>
    <n v="10"/>
    <n v="12"/>
    <m/>
    <n v="1.2"/>
    <n v="2.2800000000000001E-4"/>
    <n v="1.2"/>
    <n v="2.2800000000000001E-4"/>
    <m/>
  </r>
  <r>
    <s v="5626.8"/>
    <x v="0"/>
    <x v="6"/>
    <x v="0"/>
    <s v="20A"/>
    <s v="Whole Plate"/>
    <s v="Dolichospermum circinale"/>
    <b v="1"/>
    <n v="10"/>
    <n v="66"/>
    <m/>
    <n v="6.6"/>
    <n v="3.7992239999999999E-3"/>
    <n v="6.6"/>
    <n v="3.7992239999999999E-3"/>
    <m/>
  </r>
  <r>
    <s v="5626.9"/>
    <x v="0"/>
    <x v="6"/>
    <x v="0"/>
    <s v="20A"/>
    <s v="Whole Plate"/>
    <s v="Limnothrix cf planktonica"/>
    <b v="0"/>
    <n v="10"/>
    <n v="9"/>
    <m/>
    <n v="0.9"/>
    <n v="1.4129999999999999E-4"/>
    <n v="0"/>
    <n v="0"/>
    <m/>
  </r>
  <r>
    <s v="5626.10"/>
    <x v="0"/>
    <x v="6"/>
    <x v="0"/>
    <s v="20A"/>
    <s v="Whole Plate"/>
    <s v="Coelosphaerium kuetzingianum"/>
    <b v="0"/>
    <n v="10"/>
    <n v="141"/>
    <m/>
    <n v="14.1"/>
    <n v="1.25349E-4"/>
    <n v="0"/>
    <n v="0"/>
    <m/>
  </r>
  <r>
    <s v="5626.11"/>
    <x v="0"/>
    <x v="6"/>
    <x v="0"/>
    <s v="20A"/>
    <s v="Whole Plate"/>
    <s v="Microcystis wesenbergii"/>
    <b v="1"/>
    <n v="10"/>
    <n v="123"/>
    <m/>
    <n v="12.3"/>
    <n v="2.3410589999999999E-3"/>
    <n v="12.3"/>
    <n v="2.3410589999999999E-3"/>
    <s v="Microcystis spp._x000a_"/>
  </r>
  <r>
    <s v="5627.1"/>
    <x v="0"/>
    <x v="7"/>
    <x v="0"/>
    <s v="20A"/>
    <s v="160"/>
    <s v="Aphanocapsa holsatica"/>
    <b v="0"/>
    <n v="10"/>
    <n v="12.05"/>
    <n v="131"/>
    <n v="5716.2932256944396"/>
    <n v="2.8581466128472198E-3"/>
    <n v="0"/>
    <n v="0"/>
    <m/>
  </r>
  <r>
    <s v="5627.2"/>
    <x v="0"/>
    <x v="7"/>
    <x v="0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627.3"/>
    <x v="0"/>
    <x v="7"/>
    <x v="0"/>
    <s v="20A"/>
    <s v="160"/>
    <s v="Pseudanabaena limnetica (cylinder)"/>
    <b v="1"/>
    <n v="10"/>
    <n v="17"/>
    <m/>
    <n v="53.407152777777803"/>
    <n v="4.2191650694444497E-3"/>
    <n v="53.407152777777803"/>
    <n v="4.2191650694444497E-3"/>
    <m/>
  </r>
  <r>
    <s v="5627.4"/>
    <x v="0"/>
    <x v="7"/>
    <x v="0"/>
    <s v="20A"/>
    <s v="160"/>
    <s v="Microcystis sp. (large)"/>
    <b v="1"/>
    <n v="10"/>
    <n v="54"/>
    <m/>
    <n v="169.64625000000001"/>
    <n v="1.5787280024999999E-2"/>
    <n v="169.64625000000001"/>
    <n v="1.5787280024999999E-2"/>
    <s v="Microcystis spp._x000a_"/>
  </r>
  <r>
    <s v="5628.1"/>
    <x v="3"/>
    <x v="8"/>
    <x v="0"/>
    <s v="20A"/>
    <s v="Whole Plate"/>
    <s v="Dolichospermum planctonicum "/>
    <b v="1"/>
    <n v="10"/>
    <n v="40.625"/>
    <m/>
    <n v="65"/>
    <n v="2.4049999999999998E-2"/>
    <n v="65"/>
    <n v="2.4049999999999998E-2"/>
    <m/>
  </r>
  <r>
    <s v="5628.2"/>
    <x v="3"/>
    <x v="8"/>
    <x v="0"/>
    <s v="20A"/>
    <s v="Whole Plate"/>
    <s v="Geitlerinema sp"/>
    <b v="0"/>
    <n v="10"/>
    <n v="10"/>
    <m/>
    <n v="1"/>
    <n v="2.1999999999999999E-5"/>
    <n v="0"/>
    <n v="0"/>
    <m/>
  </r>
  <r>
    <s v="5628.3"/>
    <x v="3"/>
    <x v="8"/>
    <x v="0"/>
    <s v="20A"/>
    <s v="Whole Plate"/>
    <s v="Pseudanabaena limnetica (cylinder)"/>
    <b v="1"/>
    <n v="10"/>
    <n v="19.75"/>
    <m/>
    <n v="7.9"/>
    <n v="6.2410000000000005E-4"/>
    <n v="7.9"/>
    <n v="6.2410000000000005E-4"/>
    <m/>
  </r>
  <r>
    <s v="5628.4"/>
    <x v="3"/>
    <x v="8"/>
    <x v="0"/>
    <s v="20A"/>
    <s v="Whole Plate"/>
    <s v="Microcystis wesenbergii"/>
    <b v="1"/>
    <n v="10"/>
    <n v="418.5"/>
    <m/>
    <n v="83.7"/>
    <n v="1.5930620999999999E-2"/>
    <n v="83.7"/>
    <n v="1.5930620999999999E-2"/>
    <s v="Microcystis spp._x000a_"/>
  </r>
  <r>
    <s v="5629.1"/>
    <x v="0"/>
    <x v="9"/>
    <x v="0"/>
    <s v="20A"/>
    <s v="160"/>
    <s v="Aphanocapsa delicatissima"/>
    <b v="0"/>
    <n v="10"/>
    <n v="152.5"/>
    <m/>
    <n v="958.18715277777801"/>
    <n v="9.58187152777778E-5"/>
    <n v="0"/>
    <n v="0"/>
    <m/>
  </r>
  <r>
    <s v="5629.2"/>
    <x v="0"/>
    <x v="9"/>
    <x v="0"/>
    <s v="20A"/>
    <s v="160"/>
    <s v="Aphanocapsa holsatica"/>
    <b v="0"/>
    <n v="10"/>
    <n v="5.95"/>
    <n v="44"/>
    <n v="1196.3202222222201"/>
    <n v="5.9816011111111004E-4"/>
    <n v="0"/>
    <n v="0"/>
    <m/>
  </r>
  <r>
    <s v="5630.1"/>
    <x v="3"/>
    <x v="10"/>
    <x v="0"/>
    <s v="20A"/>
    <s v="Whole Plate"/>
    <s v="Dolichospermum planctonicum "/>
    <b v="1"/>
    <n v="10"/>
    <n v="60.2"/>
    <m/>
    <n v="30.1"/>
    <n v="1.1136999999999999E-2"/>
    <n v="30.1"/>
    <n v="1.1136999999999999E-2"/>
    <m/>
  </r>
  <r>
    <s v="5630.2"/>
    <x v="3"/>
    <x v="10"/>
    <x v="0"/>
    <s v="20A"/>
    <s v="Whole Plate"/>
    <s v="Dolichospermum sp"/>
    <b v="1"/>
    <n v="10"/>
    <n v="41"/>
    <m/>
    <n v="4.0999999999999996"/>
    <n v="7.7899999999999996E-4"/>
    <n v="4.0999999999999996"/>
    <n v="7.7899999999999996E-4"/>
    <m/>
  </r>
  <r>
    <s v="5631.1"/>
    <x v="3"/>
    <x v="11"/>
    <x v="0"/>
    <s v="20A"/>
    <s v="Whole Plate"/>
    <s v="Dolichospermum planctonicum "/>
    <b v="1"/>
    <n v="10"/>
    <n v="43.2"/>
    <m/>
    <n v="43.2"/>
    <n v="1.5984000000000002E-2"/>
    <n v="43.2"/>
    <n v="1.5984000000000002E-2"/>
    <m/>
  </r>
  <r>
    <s v="5631.2"/>
    <x v="3"/>
    <x v="11"/>
    <x v="0"/>
    <s v="20A"/>
    <s v="Whole Plate"/>
    <s v="Dolichospermum circinale"/>
    <b v="1"/>
    <n v="10"/>
    <n v="20"/>
    <m/>
    <n v="2"/>
    <n v="1.15128E-3"/>
    <n v="2"/>
    <n v="1.15128E-3"/>
    <m/>
  </r>
  <r>
    <s v="5631.3"/>
    <x v="3"/>
    <x v="11"/>
    <x v="0"/>
    <s v="20A"/>
    <s v="Whole Plate"/>
    <s v="Microcystis wesenbergii"/>
    <b v="1"/>
    <n v="10"/>
    <n v="83"/>
    <m/>
    <n v="8.3000000000000007"/>
    <n v="1.5797389999999999E-3"/>
    <n v="8.3000000000000007"/>
    <n v="1.5797389999999999E-3"/>
    <s v="Microcystis spp._x000a_"/>
  </r>
  <r>
    <s v="5632.1"/>
    <x v="4"/>
    <x v="12"/>
    <x v="0"/>
    <s v="20A"/>
    <s v="Whole Plate"/>
    <s v="Microcystis aeruginosa"/>
    <b v="1"/>
    <n v="10"/>
    <n v="51.5"/>
    <m/>
    <n v="10.3"/>
    <n v="8.9610000000000004E-4"/>
    <n v="10.3"/>
    <n v="8.9610000000000004E-4"/>
    <s v="Microcystis spp._x000a_"/>
  </r>
  <r>
    <s v="5632.2"/>
    <x v="4"/>
    <x v="12"/>
    <x v="0"/>
    <s v="20A"/>
    <s v="Whole Plate"/>
    <s v="Aphanocapsa holsatica"/>
    <b v="0"/>
    <n v="10"/>
    <n v="13.3"/>
    <n v="572"/>
    <n v="787.36"/>
    <n v="3.9367999999999998E-4"/>
    <n v="0"/>
    <n v="0"/>
    <m/>
  </r>
  <r>
    <s v="5632.3"/>
    <x v="4"/>
    <x v="12"/>
    <x v="0"/>
    <s v="20A"/>
    <s v="Whole Plate"/>
    <s v="Aphanocapsa delicatissima"/>
    <b v="0"/>
    <n v="10"/>
    <n v="42.95"/>
    <n v="42"/>
    <n v="266.29000000000002"/>
    <n v="2.6628999999999999E-5"/>
    <n v="0"/>
    <n v="0"/>
    <m/>
  </r>
  <r>
    <s v="5632.4"/>
    <x v="4"/>
    <x v="12"/>
    <x v="0"/>
    <s v="20A"/>
    <s v="Whole Plate"/>
    <s v="Pseudanabaena limnetica (cylinder)"/>
    <b v="1"/>
    <n v="10"/>
    <n v="17"/>
    <m/>
    <n v="8.5"/>
    <n v="6.715E-4"/>
    <n v="8.5"/>
    <n v="6.715E-4"/>
    <m/>
  </r>
  <r>
    <s v="5632.5"/>
    <x v="4"/>
    <x v="12"/>
    <x v="0"/>
    <s v="20A"/>
    <s v="Whole Plate"/>
    <s v="Phormidium sp"/>
    <b v="1"/>
    <n v="10"/>
    <n v="26"/>
    <m/>
    <n v="2.6"/>
    <n v="2.4268400000000001E-4"/>
    <n v="2.6"/>
    <n v="2.4268400000000001E-4"/>
    <m/>
  </r>
  <r>
    <s v="5632.6"/>
    <x v="4"/>
    <x v="12"/>
    <x v="0"/>
    <s v="20A"/>
    <s v="Whole Plate"/>
    <s v="Dolichospermum lemmermannii"/>
    <b v="1"/>
    <n v="10"/>
    <n v="9"/>
    <m/>
    <n v="0.9"/>
    <n v="9.8999999999999994E-5"/>
    <n v="0.9"/>
    <n v="9.8999999999999994E-5"/>
    <m/>
  </r>
  <r>
    <s v="5632.7"/>
    <x v="4"/>
    <x v="12"/>
    <x v="0"/>
    <s v="20A"/>
    <s v="Whole Plate"/>
    <s v="Dolichospermum planctonicum "/>
    <b v="1"/>
    <n v="10"/>
    <n v="24.3333333333333"/>
    <m/>
    <n v="7.3"/>
    <n v="2.7009999999999998E-3"/>
    <n v="7.3"/>
    <n v="2.7009999999999998E-3"/>
    <m/>
  </r>
  <r>
    <s v="5632.8"/>
    <x v="4"/>
    <x v="12"/>
    <x v="0"/>
    <s v="20A"/>
    <s v="Whole Plate"/>
    <s v="Dolichospermum circinale"/>
    <b v="1"/>
    <n v="10"/>
    <n v="26"/>
    <m/>
    <n v="5.2"/>
    <n v="2.993328E-3"/>
    <n v="5.2"/>
    <n v="2.993328E-3"/>
    <m/>
  </r>
  <r>
    <s v="5632.9"/>
    <x v="4"/>
    <x v="12"/>
    <x v="0"/>
    <s v="20A"/>
    <s v="Whole Plate"/>
    <s v="Dolichospermum sp"/>
    <b v="1"/>
    <n v="10"/>
    <n v="26.5"/>
    <m/>
    <n v="5.3"/>
    <n v="1.0070000000000001E-3"/>
    <n v="5.3"/>
    <n v="1.0070000000000001E-3"/>
    <m/>
  </r>
  <r>
    <s v="5632.10"/>
    <x v="4"/>
    <x v="12"/>
    <x v="0"/>
    <s v="20A"/>
    <s v="Whole Plate"/>
    <s v="Microcystis wesenbergii"/>
    <b v="1"/>
    <n v="10"/>
    <n v="323"/>
    <m/>
    <n v="64.599999999999994"/>
    <n v="1.2295318E-2"/>
    <n v="64.599999999999994"/>
    <n v="1.2295318E-2"/>
    <s v="Microcystis spp._x000a_"/>
  </r>
  <r>
    <s v="5632.11"/>
    <x v="4"/>
    <x v="12"/>
    <x v="0"/>
    <s v="20A"/>
    <s v="Whole Plate"/>
    <s v="Pseudanabaena mucicola (rod)"/>
    <b v="0"/>
    <n v="10"/>
    <n v="24"/>
    <m/>
    <n v="2.4"/>
    <n v="1.104E-4"/>
    <n v="0"/>
    <n v="0"/>
    <m/>
  </r>
  <r>
    <s v="5632.12"/>
    <x v="4"/>
    <x v="12"/>
    <x v="0"/>
    <s v="20A"/>
    <s v="Whole Plate"/>
    <s v="Woronichinia naegeliana"/>
    <b v="1"/>
    <n v="10"/>
    <n v="26"/>
    <m/>
    <n v="2.6"/>
    <n v="0"/>
    <n v="2.6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6"/>
    </i>
    <i r="1">
      <x v="7"/>
    </i>
    <i r="1">
      <x v="9"/>
    </i>
    <i>
      <x v="1"/>
      <x v="1"/>
    </i>
    <i r="1">
      <x v="2"/>
    </i>
    <i>
      <x v="2"/>
      <x v="4"/>
    </i>
    <i>
      <x v="3"/>
      <x v="5"/>
    </i>
    <i r="1">
      <x v="8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3"/>
    </i>
    <i r="1">
      <x v="6"/>
    </i>
    <i r="1">
      <x v="7"/>
    </i>
    <i r="1">
      <x v="9"/>
    </i>
    <i>
      <x v="1"/>
      <x v="1"/>
    </i>
    <i r="1">
      <x v="2"/>
    </i>
    <i>
      <x v="2"/>
      <x v="4"/>
    </i>
    <i>
      <x v="3"/>
      <x v="5"/>
    </i>
    <i r="1">
      <x v="8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9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4">
        <item m="1" x="2"/>
        <item m="1" x="3"/>
        <item x="0"/>
        <item x="1"/>
      </items>
    </pivotField>
  </pivotFields>
  <rowFields count="2">
    <field x="1"/>
    <field x="2"/>
  </rowFields>
  <rowItems count="9">
    <i>
      <x/>
      <x/>
    </i>
    <i r="1">
      <x v="1"/>
    </i>
    <i>
      <x v="1"/>
      <x v="2"/>
    </i>
    <i r="1">
      <x v="4"/>
    </i>
    <i r="1">
      <x v="5"/>
    </i>
    <i>
      <x v="2"/>
      <x v="3"/>
    </i>
    <i r="1">
      <x v="6"/>
    </i>
    <i r="1">
      <x v="7"/>
    </i>
    <i>
      <x v="3"/>
      <x v="8"/>
    </i>
  </rowItems>
  <colFields count="2">
    <field x="3"/>
    <field x="15"/>
  </colFields>
  <colItems count="2">
    <i>
      <x/>
      <x v="2"/>
    </i>
    <i r="1">
      <x v="3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7" totalsRowShown="0">
  <autoFilter ref="A1:P67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1" totalsRowShown="0">
  <autoFilter ref="A1:P11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3.85546875" customWidth="1"/>
    <col min="4" max="4" width="14.85546875" customWidth="1"/>
    <col min="5" max="5" width="18.5703125" customWidth="1"/>
    <col min="6" max="6" width="14.42578125" customWidth="1"/>
    <col min="7" max="7" width="32.1406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21.42578125" customWidth="1"/>
    <col min="14" max="14" width="23.42578125" customWidth="1"/>
    <col min="15" max="15" width="27.42578125" customWidth="1"/>
    <col min="16" max="16" width="2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18.600000000000001</v>
      </c>
      <c r="K2">
        <v>157</v>
      </c>
      <c r="L2">
        <v>10342.766374999999</v>
      </c>
      <c r="M2">
        <v>5.1713831874999998E-3</v>
      </c>
      <c r="N2">
        <v>0</v>
      </c>
      <c r="O2">
        <v>0</v>
      </c>
    </row>
    <row r="3" spans="1:16" x14ac:dyDescent="0.2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0</v>
      </c>
      <c r="I3">
        <v>10</v>
      </c>
      <c r="J3">
        <v>225</v>
      </c>
      <c r="L3">
        <v>706.859375</v>
      </c>
      <c r="M3">
        <v>7.06859375E-5</v>
      </c>
      <c r="N3">
        <v>0</v>
      </c>
      <c r="O3">
        <v>0</v>
      </c>
    </row>
    <row r="4" spans="1:16" ht="30" x14ac:dyDescent="0.25">
      <c r="A4" t="s">
        <v>25</v>
      </c>
      <c r="B4" t="s">
        <v>26</v>
      </c>
      <c r="C4" t="s">
        <v>27</v>
      </c>
      <c r="D4" t="s">
        <v>19</v>
      </c>
      <c r="E4" t="s">
        <v>20</v>
      </c>
      <c r="F4" t="s">
        <v>21</v>
      </c>
      <c r="G4" t="s">
        <v>28</v>
      </c>
      <c r="H4" t="b">
        <v>1</v>
      </c>
      <c r="I4">
        <v>10</v>
      </c>
      <c r="J4">
        <v>14.7</v>
      </c>
      <c r="K4">
        <v>77</v>
      </c>
      <c r="L4">
        <v>4479.6034791666698</v>
      </c>
      <c r="M4">
        <v>0.3897255026875</v>
      </c>
      <c r="N4">
        <v>4479.6034791666698</v>
      </c>
      <c r="O4">
        <v>0.3897255026875</v>
      </c>
      <c r="P4" s="1" t="s">
        <v>29</v>
      </c>
    </row>
    <row r="5" spans="1:16" x14ac:dyDescent="0.25">
      <c r="A5" t="s">
        <v>30</v>
      </c>
      <c r="B5" t="s">
        <v>26</v>
      </c>
      <c r="C5" t="s">
        <v>27</v>
      </c>
      <c r="D5" t="s">
        <v>19</v>
      </c>
      <c r="E5" t="s">
        <v>20</v>
      </c>
      <c r="F5" t="s">
        <v>21</v>
      </c>
      <c r="G5" t="s">
        <v>31</v>
      </c>
      <c r="H5" t="b">
        <v>0</v>
      </c>
      <c r="I5">
        <v>10</v>
      </c>
      <c r="J5">
        <v>25</v>
      </c>
      <c r="L5">
        <v>78.5399305555555</v>
      </c>
      <c r="M5">
        <v>1.2330769097222199E-2</v>
      </c>
      <c r="N5">
        <v>0</v>
      </c>
      <c r="O5">
        <v>0</v>
      </c>
    </row>
    <row r="6" spans="1:16" ht="30" x14ac:dyDescent="0.25">
      <c r="A6" t="s">
        <v>32</v>
      </c>
      <c r="B6" t="s">
        <v>26</v>
      </c>
      <c r="C6" t="s">
        <v>33</v>
      </c>
      <c r="D6" t="s">
        <v>19</v>
      </c>
      <c r="E6" t="s">
        <v>20</v>
      </c>
      <c r="F6" t="s">
        <v>21</v>
      </c>
      <c r="G6" t="s">
        <v>28</v>
      </c>
      <c r="H6" t="b">
        <v>1</v>
      </c>
      <c r="I6">
        <v>10</v>
      </c>
      <c r="J6">
        <v>30.8333333333333</v>
      </c>
      <c r="L6">
        <v>1162.3909722222199</v>
      </c>
      <c r="M6">
        <v>0.101128014583333</v>
      </c>
      <c r="N6">
        <v>1162.3909722222199</v>
      </c>
      <c r="O6">
        <v>0.101128014583333</v>
      </c>
      <c r="P6" s="1" t="s">
        <v>29</v>
      </c>
    </row>
    <row r="7" spans="1:16" x14ac:dyDescent="0.25">
      <c r="A7" t="s">
        <v>34</v>
      </c>
      <c r="B7" t="s">
        <v>26</v>
      </c>
      <c r="C7" t="s">
        <v>33</v>
      </c>
      <c r="D7" t="s">
        <v>19</v>
      </c>
      <c r="E7" t="s">
        <v>20</v>
      </c>
      <c r="F7" t="s">
        <v>21</v>
      </c>
      <c r="G7" t="s">
        <v>35</v>
      </c>
      <c r="H7" t="b">
        <v>1</v>
      </c>
      <c r="I7">
        <v>10</v>
      </c>
      <c r="J7">
        <v>7</v>
      </c>
      <c r="L7">
        <v>21.991180555555601</v>
      </c>
      <c r="M7">
        <v>2.0526567930555599E-3</v>
      </c>
      <c r="N7">
        <v>21.991180555555601</v>
      </c>
      <c r="O7">
        <v>2.0526567930555599E-3</v>
      </c>
    </row>
    <row r="8" spans="1:16" x14ac:dyDescent="0.25">
      <c r="A8" t="s">
        <v>36</v>
      </c>
      <c r="B8" t="s">
        <v>17</v>
      </c>
      <c r="C8" t="s">
        <v>37</v>
      </c>
      <c r="D8" t="s">
        <v>19</v>
      </c>
      <c r="E8" t="s">
        <v>20</v>
      </c>
      <c r="F8" t="s">
        <v>38</v>
      </c>
      <c r="G8" t="s">
        <v>39</v>
      </c>
      <c r="H8" t="b">
        <v>1</v>
      </c>
      <c r="I8">
        <v>10</v>
      </c>
      <c r="J8">
        <v>26</v>
      </c>
      <c r="L8">
        <v>18.2</v>
      </c>
      <c r="M8">
        <v>6.7340000000000004E-3</v>
      </c>
      <c r="N8">
        <v>18.2</v>
      </c>
      <c r="O8">
        <v>6.7340000000000004E-3</v>
      </c>
    </row>
    <row r="9" spans="1:16" x14ac:dyDescent="0.25">
      <c r="A9" t="s">
        <v>40</v>
      </c>
      <c r="B9" t="s">
        <v>17</v>
      </c>
      <c r="C9" t="s">
        <v>37</v>
      </c>
      <c r="D9" t="s">
        <v>19</v>
      </c>
      <c r="E9" t="s">
        <v>20</v>
      </c>
      <c r="F9" t="s">
        <v>38</v>
      </c>
      <c r="G9" t="s">
        <v>41</v>
      </c>
      <c r="H9" t="b">
        <v>1</v>
      </c>
      <c r="I9">
        <v>10</v>
      </c>
      <c r="J9">
        <v>250.07692307692301</v>
      </c>
      <c r="L9">
        <v>325.10000000000002</v>
      </c>
      <c r="M9">
        <v>0</v>
      </c>
      <c r="N9">
        <v>325.10000000000002</v>
      </c>
      <c r="O9">
        <v>0</v>
      </c>
    </row>
    <row r="10" spans="1:16" x14ac:dyDescent="0.25">
      <c r="A10" t="s">
        <v>42</v>
      </c>
      <c r="B10" t="s">
        <v>17</v>
      </c>
      <c r="C10" t="s">
        <v>37</v>
      </c>
      <c r="D10" t="s">
        <v>19</v>
      </c>
      <c r="E10" t="s">
        <v>20</v>
      </c>
      <c r="F10" t="s">
        <v>38</v>
      </c>
      <c r="G10" t="s">
        <v>24</v>
      </c>
      <c r="H10" t="b">
        <v>0</v>
      </c>
      <c r="I10">
        <v>10</v>
      </c>
      <c r="J10">
        <v>125.666666666667</v>
      </c>
      <c r="L10">
        <v>188.5</v>
      </c>
      <c r="M10">
        <v>1.8850000000000001E-5</v>
      </c>
      <c r="N10">
        <v>0</v>
      </c>
      <c r="O10">
        <v>0</v>
      </c>
    </row>
    <row r="11" spans="1:16" x14ac:dyDescent="0.25">
      <c r="A11" t="s">
        <v>43</v>
      </c>
      <c r="B11" t="s">
        <v>17</v>
      </c>
      <c r="C11" t="s">
        <v>37</v>
      </c>
      <c r="D11" t="s">
        <v>19</v>
      </c>
      <c r="E11" t="s">
        <v>20</v>
      </c>
      <c r="F11" t="s">
        <v>38</v>
      </c>
      <c r="G11" t="s">
        <v>44</v>
      </c>
      <c r="H11" t="b">
        <v>0</v>
      </c>
      <c r="I11">
        <v>10</v>
      </c>
      <c r="J11">
        <v>50.4</v>
      </c>
      <c r="L11">
        <v>25.2</v>
      </c>
      <c r="M11">
        <v>2.24028E-4</v>
      </c>
      <c r="N11">
        <v>0</v>
      </c>
      <c r="O11">
        <v>0</v>
      </c>
    </row>
    <row r="12" spans="1:16" x14ac:dyDescent="0.25">
      <c r="A12" t="s">
        <v>45</v>
      </c>
      <c r="B12" t="s">
        <v>17</v>
      </c>
      <c r="C12" t="s">
        <v>37</v>
      </c>
      <c r="D12" t="s">
        <v>19</v>
      </c>
      <c r="E12" t="s">
        <v>20</v>
      </c>
      <c r="F12" t="s">
        <v>38</v>
      </c>
      <c r="G12" t="s">
        <v>46</v>
      </c>
      <c r="H12" t="b">
        <v>1</v>
      </c>
      <c r="I12">
        <v>10</v>
      </c>
      <c r="J12">
        <v>98</v>
      </c>
      <c r="L12">
        <v>9.8000000000000007</v>
      </c>
      <c r="M12">
        <v>2.6504099999999999E-2</v>
      </c>
      <c r="N12">
        <v>9.8000000000000007</v>
      </c>
      <c r="O12">
        <v>2.6504099999999999E-2</v>
      </c>
    </row>
    <row r="13" spans="1:16" x14ac:dyDescent="0.25">
      <c r="A13" t="s">
        <v>47</v>
      </c>
      <c r="B13" t="s">
        <v>17</v>
      </c>
      <c r="C13" t="s">
        <v>37</v>
      </c>
      <c r="D13" t="s">
        <v>19</v>
      </c>
      <c r="E13" t="s">
        <v>20</v>
      </c>
      <c r="F13" t="s">
        <v>38</v>
      </c>
      <c r="G13" t="s">
        <v>22</v>
      </c>
      <c r="H13" t="b">
        <v>0</v>
      </c>
      <c r="I13">
        <v>10</v>
      </c>
      <c r="J13">
        <v>30</v>
      </c>
      <c r="L13">
        <v>3</v>
      </c>
      <c r="M13">
        <v>1.5E-6</v>
      </c>
      <c r="N13">
        <v>0</v>
      </c>
      <c r="O13">
        <v>0</v>
      </c>
    </row>
    <row r="14" spans="1:16" x14ac:dyDescent="0.25">
      <c r="A14" t="s">
        <v>48</v>
      </c>
      <c r="B14" t="s">
        <v>17</v>
      </c>
      <c r="C14" t="s">
        <v>37</v>
      </c>
      <c r="D14" t="s">
        <v>19</v>
      </c>
      <c r="E14" t="s">
        <v>20</v>
      </c>
      <c r="F14" t="s">
        <v>38</v>
      </c>
      <c r="G14" t="s">
        <v>49</v>
      </c>
      <c r="H14" t="b">
        <v>1</v>
      </c>
      <c r="I14">
        <v>10</v>
      </c>
      <c r="J14">
        <v>19</v>
      </c>
      <c r="L14">
        <v>1.9</v>
      </c>
      <c r="M14">
        <v>4.9399999999999997E-4</v>
      </c>
      <c r="N14">
        <v>1.9</v>
      </c>
      <c r="O14">
        <v>4.9399999999999997E-4</v>
      </c>
    </row>
    <row r="15" spans="1:16" ht="45" x14ac:dyDescent="0.25">
      <c r="A15" t="s">
        <v>50</v>
      </c>
      <c r="B15" t="s">
        <v>17</v>
      </c>
      <c r="C15" t="s">
        <v>37</v>
      </c>
      <c r="D15" t="s">
        <v>19</v>
      </c>
      <c r="E15" t="s">
        <v>20</v>
      </c>
      <c r="F15" t="s">
        <v>38</v>
      </c>
      <c r="G15" t="s">
        <v>51</v>
      </c>
      <c r="H15" t="b">
        <v>1</v>
      </c>
      <c r="I15">
        <v>10</v>
      </c>
      <c r="J15">
        <v>10.5</v>
      </c>
      <c r="L15">
        <v>2.1</v>
      </c>
      <c r="M15">
        <v>1.197E-4</v>
      </c>
      <c r="N15">
        <v>2.1</v>
      </c>
      <c r="O15">
        <v>1.197E-4</v>
      </c>
      <c r="P15" s="1" t="s">
        <v>52</v>
      </c>
    </row>
    <row r="16" spans="1:16" x14ac:dyDescent="0.25">
      <c r="A16" t="s">
        <v>53</v>
      </c>
      <c r="B16" t="s">
        <v>17</v>
      </c>
      <c r="C16" t="s">
        <v>37</v>
      </c>
      <c r="D16" t="s">
        <v>19</v>
      </c>
      <c r="E16" t="s">
        <v>20</v>
      </c>
      <c r="F16" t="s">
        <v>38</v>
      </c>
      <c r="G16" t="s">
        <v>54</v>
      </c>
      <c r="H16" t="b">
        <v>1</v>
      </c>
      <c r="I16">
        <v>10</v>
      </c>
      <c r="J16">
        <v>20</v>
      </c>
      <c r="L16">
        <v>2</v>
      </c>
      <c r="M16">
        <v>1.5799999999999999E-4</v>
      </c>
      <c r="N16">
        <v>2</v>
      </c>
      <c r="O16">
        <v>1.5799999999999999E-4</v>
      </c>
    </row>
    <row r="17" spans="1:16" x14ac:dyDescent="0.25">
      <c r="A17" t="s">
        <v>55</v>
      </c>
      <c r="B17" t="s">
        <v>17</v>
      </c>
      <c r="C17" t="s">
        <v>37</v>
      </c>
      <c r="D17" t="s">
        <v>19</v>
      </c>
      <c r="E17" t="s">
        <v>20</v>
      </c>
      <c r="F17" t="s">
        <v>38</v>
      </c>
      <c r="G17" t="s">
        <v>35</v>
      </c>
      <c r="H17" t="b">
        <v>1</v>
      </c>
      <c r="I17">
        <v>10</v>
      </c>
      <c r="J17">
        <v>77</v>
      </c>
      <c r="L17">
        <v>7.7</v>
      </c>
      <c r="M17">
        <v>7.1871800000000003E-4</v>
      </c>
      <c r="N17">
        <v>7.7</v>
      </c>
      <c r="O17">
        <v>7.1871800000000003E-4</v>
      </c>
    </row>
    <row r="18" spans="1:16" x14ac:dyDescent="0.25">
      <c r="A18" t="s">
        <v>56</v>
      </c>
      <c r="B18" t="s">
        <v>57</v>
      </c>
      <c r="C18" t="s">
        <v>58</v>
      </c>
      <c r="D18" t="s">
        <v>19</v>
      </c>
      <c r="E18" t="s">
        <v>20</v>
      </c>
      <c r="F18" t="s">
        <v>38</v>
      </c>
      <c r="G18" t="s">
        <v>24</v>
      </c>
      <c r="H18" t="b">
        <v>0</v>
      </c>
      <c r="I18">
        <v>10</v>
      </c>
      <c r="J18">
        <v>157.75</v>
      </c>
      <c r="K18">
        <v>13</v>
      </c>
      <c r="L18">
        <v>520.57500000000005</v>
      </c>
      <c r="M18">
        <v>5.2057500000000001E-5</v>
      </c>
      <c r="N18">
        <v>0</v>
      </c>
      <c r="O18">
        <v>0</v>
      </c>
    </row>
    <row r="19" spans="1:16" x14ac:dyDescent="0.25">
      <c r="A19" t="s">
        <v>59</v>
      </c>
      <c r="B19" t="s">
        <v>57</v>
      </c>
      <c r="C19" t="s">
        <v>58</v>
      </c>
      <c r="D19" t="s">
        <v>19</v>
      </c>
      <c r="E19" t="s">
        <v>20</v>
      </c>
      <c r="F19" t="s">
        <v>38</v>
      </c>
      <c r="G19" t="s">
        <v>60</v>
      </c>
      <c r="H19" t="b">
        <v>1</v>
      </c>
      <c r="I19">
        <v>10</v>
      </c>
      <c r="J19">
        <v>28.3</v>
      </c>
      <c r="K19">
        <v>40</v>
      </c>
      <c r="L19">
        <v>169.8</v>
      </c>
      <c r="M19">
        <v>9.7743672000000004E-2</v>
      </c>
      <c r="N19">
        <v>169.8</v>
      </c>
      <c r="O19">
        <v>9.7743672000000004E-2</v>
      </c>
    </row>
    <row r="20" spans="1:16" x14ac:dyDescent="0.25">
      <c r="A20" t="s">
        <v>61</v>
      </c>
      <c r="B20" t="s">
        <v>57</v>
      </c>
      <c r="C20" t="s">
        <v>58</v>
      </c>
      <c r="D20" t="s">
        <v>19</v>
      </c>
      <c r="E20" t="s">
        <v>20</v>
      </c>
      <c r="F20" t="s">
        <v>38</v>
      </c>
      <c r="G20" t="s">
        <v>41</v>
      </c>
      <c r="H20" t="b">
        <v>1</v>
      </c>
      <c r="I20">
        <v>10</v>
      </c>
      <c r="J20">
        <v>321.55</v>
      </c>
      <c r="K20">
        <v>5</v>
      </c>
      <c r="L20">
        <v>803.875</v>
      </c>
      <c r="M20">
        <v>0</v>
      </c>
      <c r="N20">
        <v>803.875</v>
      </c>
      <c r="O20">
        <v>0</v>
      </c>
    </row>
    <row r="21" spans="1:16" x14ac:dyDescent="0.25">
      <c r="A21" t="s">
        <v>62</v>
      </c>
      <c r="B21" t="s">
        <v>57</v>
      </c>
      <c r="C21" t="s">
        <v>58</v>
      </c>
      <c r="D21" t="s">
        <v>19</v>
      </c>
      <c r="E21" t="s">
        <v>20</v>
      </c>
      <c r="F21" t="s">
        <v>38</v>
      </c>
      <c r="G21" t="s">
        <v>35</v>
      </c>
      <c r="H21" t="b">
        <v>1</v>
      </c>
      <c r="I21">
        <v>10</v>
      </c>
      <c r="J21">
        <v>65</v>
      </c>
      <c r="L21">
        <v>6.5</v>
      </c>
      <c r="M21">
        <v>6.0671E-4</v>
      </c>
      <c r="N21">
        <v>6.5</v>
      </c>
      <c r="O21">
        <v>6.0671E-4</v>
      </c>
    </row>
    <row r="22" spans="1:16" x14ac:dyDescent="0.25">
      <c r="A22" t="s">
        <v>63</v>
      </c>
      <c r="B22" t="s">
        <v>57</v>
      </c>
      <c r="C22" t="s">
        <v>58</v>
      </c>
      <c r="D22" t="s">
        <v>19</v>
      </c>
      <c r="E22" t="s">
        <v>20</v>
      </c>
      <c r="F22" t="s">
        <v>38</v>
      </c>
      <c r="G22" t="s">
        <v>49</v>
      </c>
      <c r="H22" t="b">
        <v>1</v>
      </c>
      <c r="I22">
        <v>10</v>
      </c>
      <c r="J22">
        <v>36</v>
      </c>
      <c r="L22">
        <v>14.4</v>
      </c>
      <c r="M22">
        <v>3.7439999999999999E-3</v>
      </c>
      <c r="N22">
        <v>14.4</v>
      </c>
      <c r="O22">
        <v>3.7439999999999999E-3</v>
      </c>
    </row>
    <row r="23" spans="1:16" x14ac:dyDescent="0.25">
      <c r="A23" t="s">
        <v>64</v>
      </c>
      <c r="B23" t="s">
        <v>57</v>
      </c>
      <c r="C23" t="s">
        <v>58</v>
      </c>
      <c r="D23" t="s">
        <v>19</v>
      </c>
      <c r="E23" t="s">
        <v>20</v>
      </c>
      <c r="F23" t="s">
        <v>38</v>
      </c>
      <c r="G23" t="s">
        <v>39</v>
      </c>
      <c r="H23" t="b">
        <v>1</v>
      </c>
      <c r="I23">
        <v>10</v>
      </c>
      <c r="J23">
        <v>36</v>
      </c>
      <c r="L23">
        <v>10.8</v>
      </c>
      <c r="M23">
        <v>3.9960000000000004E-3</v>
      </c>
      <c r="N23">
        <v>10.8</v>
      </c>
      <c r="O23">
        <v>3.9960000000000004E-3</v>
      </c>
    </row>
    <row r="24" spans="1:16" x14ac:dyDescent="0.25">
      <c r="A24" t="s">
        <v>65</v>
      </c>
      <c r="B24" t="s">
        <v>57</v>
      </c>
      <c r="C24" t="s">
        <v>58</v>
      </c>
      <c r="D24" t="s">
        <v>19</v>
      </c>
      <c r="E24" t="s">
        <v>20</v>
      </c>
      <c r="F24" t="s">
        <v>38</v>
      </c>
      <c r="G24" t="s">
        <v>54</v>
      </c>
      <c r="H24" t="b">
        <v>1</v>
      </c>
      <c r="I24">
        <v>10</v>
      </c>
      <c r="J24">
        <v>10</v>
      </c>
      <c r="L24">
        <v>1</v>
      </c>
      <c r="M24">
        <v>7.8999999999999996E-5</v>
      </c>
      <c r="N24">
        <v>1</v>
      </c>
      <c r="O24">
        <v>7.8999999999999996E-5</v>
      </c>
    </row>
    <row r="25" spans="1:16" x14ac:dyDescent="0.25">
      <c r="A25" t="s">
        <v>66</v>
      </c>
      <c r="B25" t="s">
        <v>67</v>
      </c>
      <c r="C25" t="s">
        <v>68</v>
      </c>
      <c r="D25" t="s">
        <v>19</v>
      </c>
      <c r="E25" t="s">
        <v>20</v>
      </c>
      <c r="F25" t="s">
        <v>38</v>
      </c>
      <c r="G25" t="s">
        <v>39</v>
      </c>
      <c r="H25" t="b">
        <v>1</v>
      </c>
      <c r="I25">
        <v>10</v>
      </c>
      <c r="J25">
        <v>47.285714285714299</v>
      </c>
      <c r="L25">
        <v>33.1</v>
      </c>
      <c r="M25">
        <v>1.2246999999999999E-2</v>
      </c>
      <c r="N25">
        <v>33.1</v>
      </c>
      <c r="O25">
        <v>1.2246999999999999E-2</v>
      </c>
    </row>
    <row r="26" spans="1:16" x14ac:dyDescent="0.25">
      <c r="A26" t="s">
        <v>69</v>
      </c>
      <c r="B26" t="s">
        <v>67</v>
      </c>
      <c r="C26" t="s">
        <v>68</v>
      </c>
      <c r="D26" t="s">
        <v>19</v>
      </c>
      <c r="E26" t="s">
        <v>20</v>
      </c>
      <c r="F26" t="s">
        <v>38</v>
      </c>
      <c r="G26" t="s">
        <v>60</v>
      </c>
      <c r="H26" t="b">
        <v>1</v>
      </c>
      <c r="I26">
        <v>10</v>
      </c>
      <c r="J26">
        <v>74.6666666666667</v>
      </c>
      <c r="L26">
        <v>67.2</v>
      </c>
      <c r="M26">
        <v>3.8683007999999998E-2</v>
      </c>
      <c r="N26">
        <v>67.2</v>
      </c>
      <c r="O26">
        <v>3.8683007999999998E-2</v>
      </c>
    </row>
    <row r="27" spans="1:16" ht="30" x14ac:dyDescent="0.25">
      <c r="A27" t="s">
        <v>70</v>
      </c>
      <c r="B27" t="s">
        <v>67</v>
      </c>
      <c r="C27" t="s">
        <v>68</v>
      </c>
      <c r="D27" t="s">
        <v>19</v>
      </c>
      <c r="E27" t="s">
        <v>20</v>
      </c>
      <c r="F27" t="s">
        <v>38</v>
      </c>
      <c r="G27" t="s">
        <v>71</v>
      </c>
      <c r="H27" t="b">
        <v>1</v>
      </c>
      <c r="I27">
        <v>10</v>
      </c>
      <c r="J27">
        <v>135.75</v>
      </c>
      <c r="L27">
        <v>54.3</v>
      </c>
      <c r="M27">
        <v>1.0334919E-2</v>
      </c>
      <c r="N27">
        <v>54.3</v>
      </c>
      <c r="O27">
        <v>1.0334919E-2</v>
      </c>
      <c r="P27" s="1" t="s">
        <v>29</v>
      </c>
    </row>
    <row r="28" spans="1:16" x14ac:dyDescent="0.25">
      <c r="A28" t="s">
        <v>72</v>
      </c>
      <c r="B28" t="s">
        <v>67</v>
      </c>
      <c r="C28" t="s">
        <v>68</v>
      </c>
      <c r="D28" t="s">
        <v>19</v>
      </c>
      <c r="E28" t="s">
        <v>20</v>
      </c>
      <c r="F28" t="s">
        <v>38</v>
      </c>
      <c r="G28" t="s">
        <v>73</v>
      </c>
      <c r="H28" t="b">
        <v>0</v>
      </c>
      <c r="I28">
        <v>10</v>
      </c>
      <c r="J28">
        <v>21.5</v>
      </c>
      <c r="L28">
        <v>4.3</v>
      </c>
      <c r="M28">
        <v>1.9780000000000001E-4</v>
      </c>
      <c r="N28">
        <v>0</v>
      </c>
      <c r="O28">
        <v>0</v>
      </c>
    </row>
    <row r="29" spans="1:16" x14ac:dyDescent="0.25">
      <c r="A29" t="s">
        <v>74</v>
      </c>
      <c r="B29" t="s">
        <v>67</v>
      </c>
      <c r="C29" t="s">
        <v>68</v>
      </c>
      <c r="D29" t="s">
        <v>19</v>
      </c>
      <c r="E29" t="s">
        <v>20</v>
      </c>
      <c r="F29" t="s">
        <v>38</v>
      </c>
      <c r="G29" t="s">
        <v>35</v>
      </c>
      <c r="H29" t="b">
        <v>1</v>
      </c>
      <c r="I29">
        <v>10</v>
      </c>
      <c r="J29">
        <v>28</v>
      </c>
      <c r="L29">
        <v>2.8</v>
      </c>
      <c r="M29">
        <v>2.6135200000000001E-4</v>
      </c>
      <c r="N29">
        <v>2.8</v>
      </c>
      <c r="O29">
        <v>2.6135200000000001E-4</v>
      </c>
    </row>
    <row r="30" spans="1:16" x14ac:dyDescent="0.25">
      <c r="A30" t="s">
        <v>75</v>
      </c>
      <c r="B30" t="s">
        <v>17</v>
      </c>
      <c r="C30" t="s">
        <v>76</v>
      </c>
      <c r="D30" t="s">
        <v>19</v>
      </c>
      <c r="E30" t="s">
        <v>20</v>
      </c>
      <c r="F30" t="s">
        <v>38</v>
      </c>
      <c r="G30" t="s">
        <v>22</v>
      </c>
      <c r="H30" t="b">
        <v>0</v>
      </c>
      <c r="I30">
        <v>10</v>
      </c>
      <c r="J30">
        <v>25.8</v>
      </c>
      <c r="K30">
        <v>144</v>
      </c>
      <c r="L30">
        <v>423.12</v>
      </c>
      <c r="M30">
        <v>2.1155999999999999E-4</v>
      </c>
      <c r="N30">
        <v>0</v>
      </c>
      <c r="O30">
        <v>0</v>
      </c>
    </row>
    <row r="31" spans="1:16" x14ac:dyDescent="0.25">
      <c r="A31" t="s">
        <v>77</v>
      </c>
      <c r="B31" t="s">
        <v>17</v>
      </c>
      <c r="C31" t="s">
        <v>76</v>
      </c>
      <c r="D31" t="s">
        <v>19</v>
      </c>
      <c r="E31" t="s">
        <v>20</v>
      </c>
      <c r="F31" t="s">
        <v>38</v>
      </c>
      <c r="G31" t="s">
        <v>39</v>
      </c>
      <c r="H31" t="b">
        <v>1</v>
      </c>
      <c r="I31">
        <v>10</v>
      </c>
      <c r="J31">
        <v>23</v>
      </c>
      <c r="L31">
        <v>29.9</v>
      </c>
      <c r="M31">
        <v>1.1063E-2</v>
      </c>
      <c r="N31">
        <v>29.9</v>
      </c>
      <c r="O31">
        <v>1.1063E-2</v>
      </c>
    </row>
    <row r="32" spans="1:16" x14ac:dyDescent="0.25">
      <c r="A32" t="s">
        <v>78</v>
      </c>
      <c r="B32" t="s">
        <v>17</v>
      </c>
      <c r="C32" t="s">
        <v>76</v>
      </c>
      <c r="D32" t="s">
        <v>19</v>
      </c>
      <c r="E32" t="s">
        <v>20</v>
      </c>
      <c r="F32" t="s">
        <v>38</v>
      </c>
      <c r="G32" t="s">
        <v>24</v>
      </c>
      <c r="H32" t="b">
        <v>0</v>
      </c>
      <c r="I32">
        <v>10</v>
      </c>
      <c r="J32">
        <v>107.05</v>
      </c>
      <c r="K32">
        <v>96</v>
      </c>
      <c r="L32">
        <v>1241.78</v>
      </c>
      <c r="M32">
        <v>1.2417799999999999E-4</v>
      </c>
      <c r="N32">
        <v>0</v>
      </c>
      <c r="O32">
        <v>0</v>
      </c>
    </row>
    <row r="33" spans="1:16" x14ac:dyDescent="0.25">
      <c r="A33" t="s">
        <v>79</v>
      </c>
      <c r="B33" t="s">
        <v>17</v>
      </c>
      <c r="C33" t="s">
        <v>76</v>
      </c>
      <c r="D33" t="s">
        <v>19</v>
      </c>
      <c r="E33" t="s">
        <v>20</v>
      </c>
      <c r="F33" t="s">
        <v>38</v>
      </c>
      <c r="G33" t="s">
        <v>80</v>
      </c>
      <c r="H33" t="b">
        <v>1</v>
      </c>
      <c r="I33">
        <v>10</v>
      </c>
      <c r="J33">
        <v>44.3333333333333</v>
      </c>
      <c r="L33">
        <v>13.3</v>
      </c>
      <c r="M33">
        <v>1.4630000000000001E-3</v>
      </c>
      <c r="N33">
        <v>13.3</v>
      </c>
      <c r="O33">
        <v>1.4630000000000001E-3</v>
      </c>
    </row>
    <row r="34" spans="1:16" x14ac:dyDescent="0.25">
      <c r="A34" t="s">
        <v>81</v>
      </c>
      <c r="B34" t="s">
        <v>17</v>
      </c>
      <c r="C34" t="s">
        <v>76</v>
      </c>
      <c r="D34" t="s">
        <v>19</v>
      </c>
      <c r="E34" t="s">
        <v>20</v>
      </c>
      <c r="F34" t="s">
        <v>38</v>
      </c>
      <c r="G34" t="s">
        <v>35</v>
      </c>
      <c r="H34" t="b">
        <v>1</v>
      </c>
      <c r="I34">
        <v>10</v>
      </c>
      <c r="J34">
        <v>25.6666666666667</v>
      </c>
      <c r="L34">
        <v>7.7</v>
      </c>
      <c r="M34">
        <v>7.1871800000000003E-4</v>
      </c>
      <c r="N34">
        <v>7.7</v>
      </c>
      <c r="O34">
        <v>7.1871800000000003E-4</v>
      </c>
    </row>
    <row r="35" spans="1:16" x14ac:dyDescent="0.25">
      <c r="A35" t="s">
        <v>82</v>
      </c>
      <c r="B35" t="s">
        <v>17</v>
      </c>
      <c r="C35" t="s">
        <v>76</v>
      </c>
      <c r="D35" t="s">
        <v>19</v>
      </c>
      <c r="E35" t="s">
        <v>20</v>
      </c>
      <c r="F35" t="s">
        <v>38</v>
      </c>
      <c r="G35" t="s">
        <v>54</v>
      </c>
      <c r="H35" t="b">
        <v>1</v>
      </c>
      <c r="I35">
        <v>10</v>
      </c>
      <c r="J35">
        <v>14</v>
      </c>
      <c r="L35">
        <v>4.2</v>
      </c>
      <c r="M35">
        <v>3.3179999999999999E-4</v>
      </c>
      <c r="N35">
        <v>4.2</v>
      </c>
      <c r="O35">
        <v>3.3179999999999999E-4</v>
      </c>
    </row>
    <row r="36" spans="1:16" x14ac:dyDescent="0.25">
      <c r="A36" t="s">
        <v>83</v>
      </c>
      <c r="B36" t="s">
        <v>17</v>
      </c>
      <c r="C36" t="s">
        <v>76</v>
      </c>
      <c r="D36" t="s">
        <v>19</v>
      </c>
      <c r="E36" t="s">
        <v>20</v>
      </c>
      <c r="F36" t="s">
        <v>38</v>
      </c>
      <c r="G36" t="s">
        <v>84</v>
      </c>
      <c r="H36" t="b">
        <v>1</v>
      </c>
      <c r="I36">
        <v>10</v>
      </c>
      <c r="J36">
        <v>12</v>
      </c>
      <c r="L36">
        <v>1.2</v>
      </c>
      <c r="M36">
        <v>2.2800000000000001E-4</v>
      </c>
      <c r="N36">
        <v>1.2</v>
      </c>
      <c r="O36">
        <v>2.2800000000000001E-4</v>
      </c>
    </row>
    <row r="37" spans="1:16" x14ac:dyDescent="0.25">
      <c r="A37" t="s">
        <v>85</v>
      </c>
      <c r="B37" t="s">
        <v>17</v>
      </c>
      <c r="C37" t="s">
        <v>76</v>
      </c>
      <c r="D37" t="s">
        <v>19</v>
      </c>
      <c r="E37" t="s">
        <v>20</v>
      </c>
      <c r="F37" t="s">
        <v>38</v>
      </c>
      <c r="G37" t="s">
        <v>60</v>
      </c>
      <c r="H37" t="b">
        <v>1</v>
      </c>
      <c r="I37">
        <v>10</v>
      </c>
      <c r="J37">
        <v>66</v>
      </c>
      <c r="L37">
        <v>6.6</v>
      </c>
      <c r="M37">
        <v>3.7992239999999999E-3</v>
      </c>
      <c r="N37">
        <v>6.6</v>
      </c>
      <c r="O37">
        <v>3.7992239999999999E-3</v>
      </c>
    </row>
    <row r="38" spans="1:16" x14ac:dyDescent="0.25">
      <c r="A38" t="s">
        <v>86</v>
      </c>
      <c r="B38" t="s">
        <v>17</v>
      </c>
      <c r="C38" t="s">
        <v>76</v>
      </c>
      <c r="D38" t="s">
        <v>19</v>
      </c>
      <c r="E38" t="s">
        <v>20</v>
      </c>
      <c r="F38" t="s">
        <v>38</v>
      </c>
      <c r="G38" t="s">
        <v>31</v>
      </c>
      <c r="H38" t="b">
        <v>0</v>
      </c>
      <c r="I38">
        <v>10</v>
      </c>
      <c r="J38">
        <v>9</v>
      </c>
      <c r="L38">
        <v>0.9</v>
      </c>
      <c r="M38">
        <v>1.4129999999999999E-4</v>
      </c>
      <c r="N38">
        <v>0</v>
      </c>
      <c r="O38">
        <v>0</v>
      </c>
    </row>
    <row r="39" spans="1:16" x14ac:dyDescent="0.25">
      <c r="A39" t="s">
        <v>87</v>
      </c>
      <c r="B39" t="s">
        <v>17</v>
      </c>
      <c r="C39" t="s">
        <v>76</v>
      </c>
      <c r="D39" t="s">
        <v>19</v>
      </c>
      <c r="E39" t="s">
        <v>20</v>
      </c>
      <c r="F39" t="s">
        <v>38</v>
      </c>
      <c r="G39" t="s">
        <v>44</v>
      </c>
      <c r="H39" t="b">
        <v>0</v>
      </c>
      <c r="I39">
        <v>10</v>
      </c>
      <c r="J39">
        <v>141</v>
      </c>
      <c r="L39">
        <v>14.1</v>
      </c>
      <c r="M39">
        <v>1.25349E-4</v>
      </c>
      <c r="N39">
        <v>0</v>
      </c>
      <c r="O39">
        <v>0</v>
      </c>
    </row>
    <row r="40" spans="1:16" ht="30" x14ac:dyDescent="0.25">
      <c r="A40" t="s">
        <v>88</v>
      </c>
      <c r="B40" t="s">
        <v>17</v>
      </c>
      <c r="C40" t="s">
        <v>76</v>
      </c>
      <c r="D40" t="s">
        <v>19</v>
      </c>
      <c r="E40" t="s">
        <v>20</v>
      </c>
      <c r="F40" t="s">
        <v>38</v>
      </c>
      <c r="G40" t="s">
        <v>71</v>
      </c>
      <c r="H40" t="b">
        <v>1</v>
      </c>
      <c r="I40">
        <v>10</v>
      </c>
      <c r="J40">
        <v>123</v>
      </c>
      <c r="L40">
        <v>12.3</v>
      </c>
      <c r="M40">
        <v>2.3410589999999999E-3</v>
      </c>
      <c r="N40">
        <v>12.3</v>
      </c>
      <c r="O40">
        <v>2.3410589999999999E-3</v>
      </c>
      <c r="P40" s="1" t="s">
        <v>29</v>
      </c>
    </row>
    <row r="41" spans="1:16" x14ac:dyDescent="0.25">
      <c r="A41" t="s">
        <v>89</v>
      </c>
      <c r="B41" t="s">
        <v>17</v>
      </c>
      <c r="C41" t="s">
        <v>90</v>
      </c>
      <c r="D41" t="s">
        <v>19</v>
      </c>
      <c r="E41" t="s">
        <v>20</v>
      </c>
      <c r="F41" t="s">
        <v>21</v>
      </c>
      <c r="G41" t="s">
        <v>22</v>
      </c>
      <c r="H41" t="b">
        <v>0</v>
      </c>
      <c r="I41">
        <v>10</v>
      </c>
      <c r="J41">
        <v>12.05</v>
      </c>
      <c r="K41">
        <v>131</v>
      </c>
      <c r="L41">
        <v>5716.2932256944396</v>
      </c>
      <c r="M41">
        <v>2.8581466128472198E-3</v>
      </c>
      <c r="N41">
        <v>0</v>
      </c>
      <c r="O41">
        <v>0</v>
      </c>
    </row>
    <row r="42" spans="1:16" x14ac:dyDescent="0.25">
      <c r="A42" t="s">
        <v>91</v>
      </c>
      <c r="B42" t="s">
        <v>17</v>
      </c>
      <c r="C42" t="s">
        <v>90</v>
      </c>
      <c r="D42" t="s">
        <v>19</v>
      </c>
      <c r="E42" t="s">
        <v>20</v>
      </c>
      <c r="F42" t="s">
        <v>21</v>
      </c>
      <c r="G42" t="s">
        <v>39</v>
      </c>
      <c r="H42" t="b">
        <v>1</v>
      </c>
      <c r="I42">
        <v>10</v>
      </c>
      <c r="J42">
        <v>14</v>
      </c>
      <c r="L42">
        <v>43.982361111111103</v>
      </c>
      <c r="M42">
        <v>1.6273473611111099E-2</v>
      </c>
      <c r="N42">
        <v>43.982361111111103</v>
      </c>
      <c r="O42">
        <v>1.6273473611111099E-2</v>
      </c>
    </row>
    <row r="43" spans="1:16" x14ac:dyDescent="0.25">
      <c r="A43" t="s">
        <v>92</v>
      </c>
      <c r="B43" t="s">
        <v>17</v>
      </c>
      <c r="C43" t="s">
        <v>90</v>
      </c>
      <c r="D43" t="s">
        <v>19</v>
      </c>
      <c r="E43" t="s">
        <v>20</v>
      </c>
      <c r="F43" t="s">
        <v>21</v>
      </c>
      <c r="G43" t="s">
        <v>54</v>
      </c>
      <c r="H43" t="b">
        <v>1</v>
      </c>
      <c r="I43">
        <v>10</v>
      </c>
      <c r="J43">
        <v>17</v>
      </c>
      <c r="L43">
        <v>53.407152777777803</v>
      </c>
      <c r="M43">
        <v>4.2191650694444497E-3</v>
      </c>
      <c r="N43">
        <v>53.407152777777803</v>
      </c>
      <c r="O43">
        <v>4.2191650694444497E-3</v>
      </c>
    </row>
    <row r="44" spans="1:16" ht="30" x14ac:dyDescent="0.25">
      <c r="A44" t="s">
        <v>93</v>
      </c>
      <c r="B44" t="s">
        <v>17</v>
      </c>
      <c r="C44" t="s">
        <v>90</v>
      </c>
      <c r="D44" t="s">
        <v>19</v>
      </c>
      <c r="E44" t="s">
        <v>20</v>
      </c>
      <c r="F44" t="s">
        <v>21</v>
      </c>
      <c r="G44" t="s">
        <v>94</v>
      </c>
      <c r="H44" t="b">
        <v>1</v>
      </c>
      <c r="I44">
        <v>10</v>
      </c>
      <c r="J44">
        <v>54</v>
      </c>
      <c r="L44">
        <v>169.64625000000001</v>
      </c>
      <c r="M44">
        <v>1.5787280024999999E-2</v>
      </c>
      <c r="N44">
        <v>169.64625000000001</v>
      </c>
      <c r="O44">
        <v>1.5787280024999999E-2</v>
      </c>
      <c r="P44" s="1" t="s">
        <v>29</v>
      </c>
    </row>
    <row r="45" spans="1:16" x14ac:dyDescent="0.25">
      <c r="A45" t="s">
        <v>95</v>
      </c>
      <c r="B45" t="s">
        <v>67</v>
      </c>
      <c r="C45" t="s">
        <v>96</v>
      </c>
      <c r="D45" t="s">
        <v>19</v>
      </c>
      <c r="E45" t="s">
        <v>20</v>
      </c>
      <c r="F45" t="s">
        <v>38</v>
      </c>
      <c r="G45" t="s">
        <v>39</v>
      </c>
      <c r="H45" t="b">
        <v>1</v>
      </c>
      <c r="I45">
        <v>10</v>
      </c>
      <c r="J45">
        <v>40.625</v>
      </c>
      <c r="L45">
        <v>65</v>
      </c>
      <c r="M45">
        <v>2.4049999999999998E-2</v>
      </c>
      <c r="N45">
        <v>65</v>
      </c>
      <c r="O45">
        <v>2.4049999999999998E-2</v>
      </c>
    </row>
    <row r="46" spans="1:16" x14ac:dyDescent="0.25">
      <c r="A46" t="s">
        <v>97</v>
      </c>
      <c r="B46" t="s">
        <v>67</v>
      </c>
      <c r="C46" t="s">
        <v>96</v>
      </c>
      <c r="D46" t="s">
        <v>19</v>
      </c>
      <c r="E46" t="s">
        <v>20</v>
      </c>
      <c r="F46" t="s">
        <v>38</v>
      </c>
      <c r="G46" t="s">
        <v>98</v>
      </c>
      <c r="H46" t="b">
        <v>0</v>
      </c>
      <c r="I46">
        <v>10</v>
      </c>
      <c r="J46">
        <v>10</v>
      </c>
      <c r="L46">
        <v>1</v>
      </c>
      <c r="M46">
        <v>2.1999999999999999E-5</v>
      </c>
      <c r="N46">
        <v>0</v>
      </c>
      <c r="O46">
        <v>0</v>
      </c>
    </row>
    <row r="47" spans="1:16" x14ac:dyDescent="0.25">
      <c r="A47" t="s">
        <v>99</v>
      </c>
      <c r="B47" t="s">
        <v>67</v>
      </c>
      <c r="C47" t="s">
        <v>96</v>
      </c>
      <c r="D47" t="s">
        <v>19</v>
      </c>
      <c r="E47" t="s">
        <v>20</v>
      </c>
      <c r="F47" t="s">
        <v>38</v>
      </c>
      <c r="G47" t="s">
        <v>54</v>
      </c>
      <c r="H47" t="b">
        <v>1</v>
      </c>
      <c r="I47">
        <v>10</v>
      </c>
      <c r="J47">
        <v>19.75</v>
      </c>
      <c r="L47">
        <v>7.9</v>
      </c>
      <c r="M47">
        <v>6.2410000000000005E-4</v>
      </c>
      <c r="N47">
        <v>7.9</v>
      </c>
      <c r="O47">
        <v>6.2410000000000005E-4</v>
      </c>
    </row>
    <row r="48" spans="1:16" ht="30" x14ac:dyDescent="0.25">
      <c r="A48" t="s">
        <v>100</v>
      </c>
      <c r="B48" t="s">
        <v>67</v>
      </c>
      <c r="C48" t="s">
        <v>96</v>
      </c>
      <c r="D48" t="s">
        <v>19</v>
      </c>
      <c r="E48" t="s">
        <v>20</v>
      </c>
      <c r="F48" t="s">
        <v>38</v>
      </c>
      <c r="G48" t="s">
        <v>71</v>
      </c>
      <c r="H48" t="b">
        <v>1</v>
      </c>
      <c r="I48">
        <v>10</v>
      </c>
      <c r="J48">
        <v>418.5</v>
      </c>
      <c r="L48">
        <v>83.7</v>
      </c>
      <c r="M48">
        <v>1.5930620999999999E-2</v>
      </c>
      <c r="N48">
        <v>83.7</v>
      </c>
      <c r="O48">
        <v>1.5930620999999999E-2</v>
      </c>
      <c r="P48" s="1" t="s">
        <v>29</v>
      </c>
    </row>
    <row r="49" spans="1:16" x14ac:dyDescent="0.25">
      <c r="A49" t="s">
        <v>101</v>
      </c>
      <c r="B49" t="s">
        <v>17</v>
      </c>
      <c r="C49" t="s">
        <v>102</v>
      </c>
      <c r="D49" t="s">
        <v>19</v>
      </c>
      <c r="E49" t="s">
        <v>20</v>
      </c>
      <c r="F49" t="s">
        <v>21</v>
      </c>
      <c r="G49" t="s">
        <v>24</v>
      </c>
      <c r="H49" t="b">
        <v>0</v>
      </c>
      <c r="I49">
        <v>10</v>
      </c>
      <c r="J49">
        <v>152.5</v>
      </c>
      <c r="L49">
        <v>958.18715277777801</v>
      </c>
      <c r="M49">
        <v>9.58187152777778E-5</v>
      </c>
      <c r="N49">
        <v>0</v>
      </c>
      <c r="O49">
        <v>0</v>
      </c>
    </row>
    <row r="50" spans="1:16" x14ac:dyDescent="0.25">
      <c r="A50" t="s">
        <v>103</v>
      </c>
      <c r="B50" t="s">
        <v>17</v>
      </c>
      <c r="C50" t="s">
        <v>102</v>
      </c>
      <c r="D50" t="s">
        <v>19</v>
      </c>
      <c r="E50" t="s">
        <v>20</v>
      </c>
      <c r="F50" t="s">
        <v>21</v>
      </c>
      <c r="G50" t="s">
        <v>22</v>
      </c>
      <c r="H50" t="b">
        <v>0</v>
      </c>
      <c r="I50">
        <v>10</v>
      </c>
      <c r="J50">
        <v>5.95</v>
      </c>
      <c r="K50">
        <v>44</v>
      </c>
      <c r="L50">
        <v>1196.3202222222201</v>
      </c>
      <c r="M50">
        <v>5.9816011111111004E-4</v>
      </c>
      <c r="N50">
        <v>0</v>
      </c>
      <c r="O50">
        <v>0</v>
      </c>
    </row>
    <row r="51" spans="1:16" x14ac:dyDescent="0.25">
      <c r="A51" t="s">
        <v>104</v>
      </c>
      <c r="B51" t="s">
        <v>67</v>
      </c>
      <c r="C51" t="s">
        <v>105</v>
      </c>
      <c r="D51" t="s">
        <v>19</v>
      </c>
      <c r="E51" t="s">
        <v>20</v>
      </c>
      <c r="F51" t="s">
        <v>38</v>
      </c>
      <c r="G51" t="s">
        <v>39</v>
      </c>
      <c r="H51" t="b">
        <v>1</v>
      </c>
      <c r="I51">
        <v>10</v>
      </c>
      <c r="J51">
        <v>60.2</v>
      </c>
      <c r="L51">
        <v>30.1</v>
      </c>
      <c r="M51">
        <v>1.1136999999999999E-2</v>
      </c>
      <c r="N51">
        <v>30.1</v>
      </c>
      <c r="O51">
        <v>1.1136999999999999E-2</v>
      </c>
    </row>
    <row r="52" spans="1:16" x14ac:dyDescent="0.25">
      <c r="A52" t="s">
        <v>106</v>
      </c>
      <c r="B52" t="s">
        <v>67</v>
      </c>
      <c r="C52" t="s">
        <v>105</v>
      </c>
      <c r="D52" t="s">
        <v>19</v>
      </c>
      <c r="E52" t="s">
        <v>20</v>
      </c>
      <c r="F52" t="s">
        <v>38</v>
      </c>
      <c r="G52" t="s">
        <v>84</v>
      </c>
      <c r="H52" t="b">
        <v>1</v>
      </c>
      <c r="I52">
        <v>10</v>
      </c>
      <c r="J52">
        <v>41</v>
      </c>
      <c r="L52">
        <v>4.0999999999999996</v>
      </c>
      <c r="M52">
        <v>7.7899999999999996E-4</v>
      </c>
      <c r="N52">
        <v>4.0999999999999996</v>
      </c>
      <c r="O52">
        <v>7.7899999999999996E-4</v>
      </c>
    </row>
    <row r="53" spans="1:16" x14ac:dyDescent="0.25">
      <c r="A53" t="s">
        <v>107</v>
      </c>
      <c r="B53" t="s">
        <v>67</v>
      </c>
      <c r="C53" t="s">
        <v>108</v>
      </c>
      <c r="D53" t="s">
        <v>19</v>
      </c>
      <c r="E53" t="s">
        <v>20</v>
      </c>
      <c r="F53" t="s">
        <v>38</v>
      </c>
      <c r="G53" t="s">
        <v>39</v>
      </c>
      <c r="H53" t="b">
        <v>1</v>
      </c>
      <c r="I53">
        <v>10</v>
      </c>
      <c r="J53">
        <v>43.2</v>
      </c>
      <c r="L53">
        <v>43.2</v>
      </c>
      <c r="M53">
        <v>1.5984000000000002E-2</v>
      </c>
      <c r="N53">
        <v>43.2</v>
      </c>
      <c r="O53">
        <v>1.5984000000000002E-2</v>
      </c>
    </row>
    <row r="54" spans="1:16" x14ac:dyDescent="0.25">
      <c r="A54" t="s">
        <v>109</v>
      </c>
      <c r="B54" t="s">
        <v>67</v>
      </c>
      <c r="C54" t="s">
        <v>108</v>
      </c>
      <c r="D54" t="s">
        <v>19</v>
      </c>
      <c r="E54" t="s">
        <v>20</v>
      </c>
      <c r="F54" t="s">
        <v>38</v>
      </c>
      <c r="G54" t="s">
        <v>60</v>
      </c>
      <c r="H54" t="b">
        <v>1</v>
      </c>
      <c r="I54">
        <v>10</v>
      </c>
      <c r="J54">
        <v>20</v>
      </c>
      <c r="L54">
        <v>2</v>
      </c>
      <c r="M54">
        <v>1.15128E-3</v>
      </c>
      <c r="N54">
        <v>2</v>
      </c>
      <c r="O54">
        <v>1.15128E-3</v>
      </c>
    </row>
    <row r="55" spans="1:16" ht="30" x14ac:dyDescent="0.25">
      <c r="A55" t="s">
        <v>110</v>
      </c>
      <c r="B55" t="s">
        <v>67</v>
      </c>
      <c r="C55" t="s">
        <v>108</v>
      </c>
      <c r="D55" t="s">
        <v>19</v>
      </c>
      <c r="E55" t="s">
        <v>20</v>
      </c>
      <c r="F55" t="s">
        <v>38</v>
      </c>
      <c r="G55" t="s">
        <v>71</v>
      </c>
      <c r="H55" t="b">
        <v>1</v>
      </c>
      <c r="I55">
        <v>10</v>
      </c>
      <c r="J55">
        <v>83</v>
      </c>
      <c r="L55">
        <v>8.3000000000000007</v>
      </c>
      <c r="M55">
        <v>1.5797389999999999E-3</v>
      </c>
      <c r="N55">
        <v>8.3000000000000007</v>
      </c>
      <c r="O55">
        <v>1.5797389999999999E-3</v>
      </c>
      <c r="P55" s="1" t="s">
        <v>29</v>
      </c>
    </row>
    <row r="56" spans="1:16" ht="30" x14ac:dyDescent="0.25">
      <c r="A56" t="s">
        <v>111</v>
      </c>
      <c r="B56" t="s">
        <v>112</v>
      </c>
      <c r="C56" t="s">
        <v>113</v>
      </c>
      <c r="D56" t="s">
        <v>19</v>
      </c>
      <c r="E56" t="s">
        <v>20</v>
      </c>
      <c r="F56" t="s">
        <v>38</v>
      </c>
      <c r="G56" t="s">
        <v>28</v>
      </c>
      <c r="H56" t="b">
        <v>1</v>
      </c>
      <c r="I56">
        <v>10</v>
      </c>
      <c r="J56">
        <v>51.5</v>
      </c>
      <c r="L56">
        <v>10.3</v>
      </c>
      <c r="M56">
        <v>8.9610000000000004E-4</v>
      </c>
      <c r="N56">
        <v>10.3</v>
      </c>
      <c r="O56">
        <v>8.9610000000000004E-4</v>
      </c>
      <c r="P56" s="1" t="s">
        <v>29</v>
      </c>
    </row>
    <row r="57" spans="1:16" x14ac:dyDescent="0.25">
      <c r="A57" t="s">
        <v>114</v>
      </c>
      <c r="B57" t="s">
        <v>112</v>
      </c>
      <c r="C57" t="s">
        <v>113</v>
      </c>
      <c r="D57" t="s">
        <v>19</v>
      </c>
      <c r="E57" t="s">
        <v>20</v>
      </c>
      <c r="F57" t="s">
        <v>38</v>
      </c>
      <c r="G57" t="s">
        <v>22</v>
      </c>
      <c r="H57" t="b">
        <v>0</v>
      </c>
      <c r="I57">
        <v>10</v>
      </c>
      <c r="J57">
        <v>13.3</v>
      </c>
      <c r="K57">
        <v>572</v>
      </c>
      <c r="L57">
        <v>787.36</v>
      </c>
      <c r="M57">
        <v>3.9367999999999998E-4</v>
      </c>
      <c r="N57">
        <v>0</v>
      </c>
      <c r="O57">
        <v>0</v>
      </c>
    </row>
    <row r="58" spans="1:16" x14ac:dyDescent="0.25">
      <c r="A58" t="s">
        <v>115</v>
      </c>
      <c r="B58" t="s">
        <v>112</v>
      </c>
      <c r="C58" t="s">
        <v>113</v>
      </c>
      <c r="D58" t="s">
        <v>19</v>
      </c>
      <c r="E58" t="s">
        <v>20</v>
      </c>
      <c r="F58" t="s">
        <v>38</v>
      </c>
      <c r="G58" t="s">
        <v>24</v>
      </c>
      <c r="H58" t="b">
        <v>0</v>
      </c>
      <c r="I58">
        <v>10</v>
      </c>
      <c r="J58">
        <v>42.95</v>
      </c>
      <c r="K58">
        <v>42</v>
      </c>
      <c r="L58">
        <v>266.29000000000002</v>
      </c>
      <c r="M58">
        <v>2.6628999999999999E-5</v>
      </c>
      <c r="N58">
        <v>0</v>
      </c>
      <c r="O58">
        <v>0</v>
      </c>
    </row>
    <row r="59" spans="1:16" x14ac:dyDescent="0.25">
      <c r="A59" t="s">
        <v>116</v>
      </c>
      <c r="B59" t="s">
        <v>112</v>
      </c>
      <c r="C59" t="s">
        <v>113</v>
      </c>
      <c r="D59" t="s">
        <v>19</v>
      </c>
      <c r="E59" t="s">
        <v>20</v>
      </c>
      <c r="F59" t="s">
        <v>38</v>
      </c>
      <c r="G59" t="s">
        <v>54</v>
      </c>
      <c r="H59" t="b">
        <v>1</v>
      </c>
      <c r="I59">
        <v>10</v>
      </c>
      <c r="J59">
        <v>17</v>
      </c>
      <c r="L59">
        <v>8.5</v>
      </c>
      <c r="M59">
        <v>6.715E-4</v>
      </c>
      <c r="N59">
        <v>8.5</v>
      </c>
      <c r="O59">
        <v>6.715E-4</v>
      </c>
    </row>
    <row r="60" spans="1:16" x14ac:dyDescent="0.25">
      <c r="A60" t="s">
        <v>117</v>
      </c>
      <c r="B60" t="s">
        <v>112</v>
      </c>
      <c r="C60" t="s">
        <v>113</v>
      </c>
      <c r="D60" t="s">
        <v>19</v>
      </c>
      <c r="E60" t="s">
        <v>20</v>
      </c>
      <c r="F60" t="s">
        <v>38</v>
      </c>
      <c r="G60" t="s">
        <v>35</v>
      </c>
      <c r="H60" t="b">
        <v>1</v>
      </c>
      <c r="I60">
        <v>10</v>
      </c>
      <c r="J60">
        <v>26</v>
      </c>
      <c r="L60">
        <v>2.6</v>
      </c>
      <c r="M60">
        <v>2.4268400000000001E-4</v>
      </c>
      <c r="N60">
        <v>2.6</v>
      </c>
      <c r="O60">
        <v>2.4268400000000001E-4</v>
      </c>
    </row>
    <row r="61" spans="1:16" x14ac:dyDescent="0.25">
      <c r="A61" t="s">
        <v>118</v>
      </c>
      <c r="B61" t="s">
        <v>112</v>
      </c>
      <c r="C61" t="s">
        <v>113</v>
      </c>
      <c r="D61" t="s">
        <v>19</v>
      </c>
      <c r="E61" t="s">
        <v>20</v>
      </c>
      <c r="F61" t="s">
        <v>38</v>
      </c>
      <c r="G61" t="s">
        <v>80</v>
      </c>
      <c r="H61" t="b">
        <v>1</v>
      </c>
      <c r="I61">
        <v>10</v>
      </c>
      <c r="J61">
        <v>9</v>
      </c>
      <c r="L61">
        <v>0.9</v>
      </c>
      <c r="M61">
        <v>9.8999999999999994E-5</v>
      </c>
      <c r="N61">
        <v>0.9</v>
      </c>
      <c r="O61">
        <v>9.8999999999999994E-5</v>
      </c>
    </row>
    <row r="62" spans="1:16" x14ac:dyDescent="0.25">
      <c r="A62" t="s">
        <v>119</v>
      </c>
      <c r="B62" t="s">
        <v>112</v>
      </c>
      <c r="C62" t="s">
        <v>113</v>
      </c>
      <c r="D62" t="s">
        <v>19</v>
      </c>
      <c r="E62" t="s">
        <v>20</v>
      </c>
      <c r="F62" t="s">
        <v>38</v>
      </c>
      <c r="G62" t="s">
        <v>39</v>
      </c>
      <c r="H62" t="b">
        <v>1</v>
      </c>
      <c r="I62">
        <v>10</v>
      </c>
      <c r="J62">
        <v>24.3333333333333</v>
      </c>
      <c r="L62">
        <v>7.3</v>
      </c>
      <c r="M62">
        <v>2.7009999999999998E-3</v>
      </c>
      <c r="N62">
        <v>7.3</v>
      </c>
      <c r="O62">
        <v>2.7009999999999998E-3</v>
      </c>
    </row>
    <row r="63" spans="1:16" x14ac:dyDescent="0.25">
      <c r="A63" t="s">
        <v>120</v>
      </c>
      <c r="B63" t="s">
        <v>112</v>
      </c>
      <c r="C63" t="s">
        <v>113</v>
      </c>
      <c r="D63" t="s">
        <v>19</v>
      </c>
      <c r="E63" t="s">
        <v>20</v>
      </c>
      <c r="F63" t="s">
        <v>38</v>
      </c>
      <c r="G63" t="s">
        <v>60</v>
      </c>
      <c r="H63" t="b">
        <v>1</v>
      </c>
      <c r="I63">
        <v>10</v>
      </c>
      <c r="J63">
        <v>26</v>
      </c>
      <c r="L63">
        <v>5.2</v>
      </c>
      <c r="M63">
        <v>2.993328E-3</v>
      </c>
      <c r="N63">
        <v>5.2</v>
      </c>
      <c r="O63">
        <v>2.993328E-3</v>
      </c>
    </row>
    <row r="64" spans="1:16" x14ac:dyDescent="0.25">
      <c r="A64" t="s">
        <v>121</v>
      </c>
      <c r="B64" t="s">
        <v>112</v>
      </c>
      <c r="C64" t="s">
        <v>113</v>
      </c>
      <c r="D64" t="s">
        <v>19</v>
      </c>
      <c r="E64" t="s">
        <v>20</v>
      </c>
      <c r="F64" t="s">
        <v>38</v>
      </c>
      <c r="G64" t="s">
        <v>84</v>
      </c>
      <c r="H64" t="b">
        <v>1</v>
      </c>
      <c r="I64">
        <v>10</v>
      </c>
      <c r="J64">
        <v>26.5</v>
      </c>
      <c r="L64">
        <v>5.3</v>
      </c>
      <c r="M64">
        <v>1.0070000000000001E-3</v>
      </c>
      <c r="N64">
        <v>5.3</v>
      </c>
      <c r="O64">
        <v>1.0070000000000001E-3</v>
      </c>
    </row>
    <row r="65" spans="1:16" ht="30" x14ac:dyDescent="0.25">
      <c r="A65" t="s">
        <v>122</v>
      </c>
      <c r="B65" t="s">
        <v>112</v>
      </c>
      <c r="C65" t="s">
        <v>113</v>
      </c>
      <c r="D65" t="s">
        <v>19</v>
      </c>
      <c r="E65" t="s">
        <v>20</v>
      </c>
      <c r="F65" t="s">
        <v>38</v>
      </c>
      <c r="G65" t="s">
        <v>71</v>
      </c>
      <c r="H65" t="b">
        <v>1</v>
      </c>
      <c r="I65">
        <v>10</v>
      </c>
      <c r="J65">
        <v>323</v>
      </c>
      <c r="L65">
        <v>64.599999999999994</v>
      </c>
      <c r="M65">
        <v>1.2295318E-2</v>
      </c>
      <c r="N65">
        <v>64.599999999999994</v>
      </c>
      <c r="O65">
        <v>1.2295318E-2</v>
      </c>
      <c r="P65" s="1" t="s">
        <v>29</v>
      </c>
    </row>
    <row r="66" spans="1:16" x14ac:dyDescent="0.25">
      <c r="A66" t="s">
        <v>123</v>
      </c>
      <c r="B66" t="s">
        <v>112</v>
      </c>
      <c r="C66" t="s">
        <v>113</v>
      </c>
      <c r="D66" t="s">
        <v>19</v>
      </c>
      <c r="E66" t="s">
        <v>20</v>
      </c>
      <c r="F66" t="s">
        <v>38</v>
      </c>
      <c r="G66" t="s">
        <v>73</v>
      </c>
      <c r="H66" t="b">
        <v>0</v>
      </c>
      <c r="I66">
        <v>10</v>
      </c>
      <c r="J66">
        <v>24</v>
      </c>
      <c r="L66">
        <v>2.4</v>
      </c>
      <c r="M66">
        <v>1.104E-4</v>
      </c>
      <c r="N66">
        <v>0</v>
      </c>
      <c r="O66">
        <v>0</v>
      </c>
    </row>
    <row r="67" spans="1:16" x14ac:dyDescent="0.25">
      <c r="A67" t="s">
        <v>124</v>
      </c>
      <c r="B67" t="s">
        <v>112</v>
      </c>
      <c r="C67" t="s">
        <v>113</v>
      </c>
      <c r="D67" t="s">
        <v>19</v>
      </c>
      <c r="E67" t="s">
        <v>20</v>
      </c>
      <c r="F67" t="s">
        <v>38</v>
      </c>
      <c r="G67" t="s">
        <v>41</v>
      </c>
      <c r="H67" t="b">
        <v>1</v>
      </c>
      <c r="I67">
        <v>10</v>
      </c>
      <c r="J67">
        <v>26</v>
      </c>
      <c r="L67">
        <v>2.6</v>
      </c>
      <c r="M67">
        <v>0</v>
      </c>
      <c r="N67">
        <v>2.6</v>
      </c>
      <c r="O67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/>
  </sheetViews>
  <sheetFormatPr defaultRowHeight="15" x14ac:dyDescent="0.25"/>
  <cols>
    <col min="1" max="1" width="12.42578125" customWidth="1"/>
    <col min="2" max="2" width="11.85546875" customWidth="1"/>
    <col min="3" max="3" width="12.85546875" customWidth="1"/>
    <col min="4" max="4" width="14.85546875" customWidth="1"/>
    <col min="5" max="5" width="18.5703125" customWidth="1"/>
    <col min="6" max="6" width="14.42578125" customWidth="1"/>
    <col min="7" max="7" width="24.42578125" customWidth="1"/>
    <col min="8" max="8" width="16.5703125" customWidth="1"/>
    <col min="9" max="9" width="20.7109375" customWidth="1"/>
    <col min="10" max="10" width="18.28515625" customWidth="1"/>
    <col min="11" max="11" width="20.85546875" customWidth="1"/>
    <col min="12" max="12" width="18.28515625" customWidth="1"/>
    <col min="13" max="13" width="19.42578125" customWidth="1"/>
    <col min="14" max="14" width="23.42578125" customWidth="1"/>
    <col min="15" max="15" width="27.42578125" customWidth="1"/>
    <col min="16" max="16" width="2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0" x14ac:dyDescent="0.25">
      <c r="A2" t="s">
        <v>25</v>
      </c>
      <c r="B2" t="s">
        <v>26</v>
      </c>
      <c r="C2" t="s">
        <v>27</v>
      </c>
      <c r="D2" t="s">
        <v>19</v>
      </c>
      <c r="E2" t="s">
        <v>20</v>
      </c>
      <c r="F2" t="s">
        <v>21</v>
      </c>
      <c r="G2" t="s">
        <v>28</v>
      </c>
      <c r="H2" t="b">
        <v>1</v>
      </c>
      <c r="I2">
        <v>10</v>
      </c>
      <c r="J2">
        <v>14.7</v>
      </c>
      <c r="K2">
        <v>77</v>
      </c>
      <c r="L2">
        <v>4479.6034791666698</v>
      </c>
      <c r="M2">
        <v>0.3897255026875</v>
      </c>
      <c r="N2">
        <v>4479.6034791666698</v>
      </c>
      <c r="O2">
        <v>0.3897255026875</v>
      </c>
      <c r="P2" s="1" t="s">
        <v>29</v>
      </c>
    </row>
    <row r="3" spans="1:16" ht="30" x14ac:dyDescent="0.25">
      <c r="A3" t="s">
        <v>32</v>
      </c>
      <c r="B3" t="s">
        <v>26</v>
      </c>
      <c r="C3" t="s">
        <v>33</v>
      </c>
      <c r="D3" t="s">
        <v>19</v>
      </c>
      <c r="E3" t="s">
        <v>20</v>
      </c>
      <c r="F3" t="s">
        <v>21</v>
      </c>
      <c r="G3" t="s">
        <v>28</v>
      </c>
      <c r="H3" t="b">
        <v>1</v>
      </c>
      <c r="I3">
        <v>10</v>
      </c>
      <c r="J3">
        <v>30.8333333333333</v>
      </c>
      <c r="L3">
        <v>1162.3909722222199</v>
      </c>
      <c r="M3">
        <v>0.101128014583333</v>
      </c>
      <c r="N3">
        <v>1162.3909722222199</v>
      </c>
      <c r="O3">
        <v>0.101128014583333</v>
      </c>
      <c r="P3" s="1" t="s">
        <v>29</v>
      </c>
    </row>
    <row r="4" spans="1:16" ht="45" x14ac:dyDescent="0.25">
      <c r="A4" t="s">
        <v>50</v>
      </c>
      <c r="B4" t="s">
        <v>17</v>
      </c>
      <c r="C4" t="s">
        <v>37</v>
      </c>
      <c r="D4" t="s">
        <v>19</v>
      </c>
      <c r="E4" t="s">
        <v>20</v>
      </c>
      <c r="F4" t="s">
        <v>38</v>
      </c>
      <c r="G4" t="s">
        <v>51</v>
      </c>
      <c r="H4" t="b">
        <v>1</v>
      </c>
      <c r="I4">
        <v>10</v>
      </c>
      <c r="J4">
        <v>10.5</v>
      </c>
      <c r="L4">
        <v>2.1</v>
      </c>
      <c r="M4">
        <v>1.197E-4</v>
      </c>
      <c r="N4">
        <v>2.1</v>
      </c>
      <c r="O4">
        <v>1.197E-4</v>
      </c>
      <c r="P4" s="1" t="s">
        <v>52</v>
      </c>
    </row>
    <row r="5" spans="1:16" ht="30" x14ac:dyDescent="0.25">
      <c r="A5" t="s">
        <v>70</v>
      </c>
      <c r="B5" t="s">
        <v>67</v>
      </c>
      <c r="C5" t="s">
        <v>68</v>
      </c>
      <c r="D5" t="s">
        <v>19</v>
      </c>
      <c r="E5" t="s">
        <v>20</v>
      </c>
      <c r="F5" t="s">
        <v>38</v>
      </c>
      <c r="G5" t="s">
        <v>71</v>
      </c>
      <c r="H5" t="b">
        <v>1</v>
      </c>
      <c r="I5">
        <v>10</v>
      </c>
      <c r="J5">
        <v>135.75</v>
      </c>
      <c r="L5">
        <v>54.3</v>
      </c>
      <c r="M5">
        <v>1.0334919E-2</v>
      </c>
      <c r="N5">
        <v>54.3</v>
      </c>
      <c r="O5">
        <v>1.0334919E-2</v>
      </c>
      <c r="P5" s="1" t="s">
        <v>29</v>
      </c>
    </row>
    <row r="6" spans="1:16" ht="30" x14ac:dyDescent="0.25">
      <c r="A6" t="s">
        <v>88</v>
      </c>
      <c r="B6" t="s">
        <v>17</v>
      </c>
      <c r="C6" t="s">
        <v>76</v>
      </c>
      <c r="D6" t="s">
        <v>19</v>
      </c>
      <c r="E6" t="s">
        <v>20</v>
      </c>
      <c r="F6" t="s">
        <v>38</v>
      </c>
      <c r="G6" t="s">
        <v>71</v>
      </c>
      <c r="H6" t="b">
        <v>1</v>
      </c>
      <c r="I6">
        <v>10</v>
      </c>
      <c r="J6">
        <v>123</v>
      </c>
      <c r="L6">
        <v>12.3</v>
      </c>
      <c r="M6">
        <v>2.3410589999999999E-3</v>
      </c>
      <c r="N6">
        <v>12.3</v>
      </c>
      <c r="O6">
        <v>2.3410589999999999E-3</v>
      </c>
      <c r="P6" s="1" t="s">
        <v>29</v>
      </c>
    </row>
    <row r="7" spans="1:16" ht="30" x14ac:dyDescent="0.25">
      <c r="A7" t="s">
        <v>93</v>
      </c>
      <c r="B7" t="s">
        <v>17</v>
      </c>
      <c r="C7" t="s">
        <v>90</v>
      </c>
      <c r="D7" t="s">
        <v>19</v>
      </c>
      <c r="E7" t="s">
        <v>20</v>
      </c>
      <c r="F7" t="s">
        <v>21</v>
      </c>
      <c r="G7" t="s">
        <v>94</v>
      </c>
      <c r="H7" t="b">
        <v>1</v>
      </c>
      <c r="I7">
        <v>10</v>
      </c>
      <c r="J7">
        <v>54</v>
      </c>
      <c r="L7">
        <v>169.64625000000001</v>
      </c>
      <c r="M7">
        <v>1.5787280024999999E-2</v>
      </c>
      <c r="N7">
        <v>169.64625000000001</v>
      </c>
      <c r="O7">
        <v>1.5787280024999999E-2</v>
      </c>
      <c r="P7" s="1" t="s">
        <v>29</v>
      </c>
    </row>
    <row r="8" spans="1:16" ht="30" x14ac:dyDescent="0.25">
      <c r="A8" t="s">
        <v>100</v>
      </c>
      <c r="B8" t="s">
        <v>67</v>
      </c>
      <c r="C8" t="s">
        <v>96</v>
      </c>
      <c r="D8" t="s">
        <v>19</v>
      </c>
      <c r="E8" t="s">
        <v>20</v>
      </c>
      <c r="F8" t="s">
        <v>38</v>
      </c>
      <c r="G8" t="s">
        <v>71</v>
      </c>
      <c r="H8" t="b">
        <v>1</v>
      </c>
      <c r="I8">
        <v>10</v>
      </c>
      <c r="J8">
        <v>418.5</v>
      </c>
      <c r="L8">
        <v>83.7</v>
      </c>
      <c r="M8">
        <v>1.5930620999999999E-2</v>
      </c>
      <c r="N8">
        <v>83.7</v>
      </c>
      <c r="O8">
        <v>1.5930620999999999E-2</v>
      </c>
      <c r="P8" s="1" t="s">
        <v>29</v>
      </c>
    </row>
    <row r="9" spans="1:16" ht="30" x14ac:dyDescent="0.25">
      <c r="A9" t="s">
        <v>110</v>
      </c>
      <c r="B9" t="s">
        <v>67</v>
      </c>
      <c r="C9" t="s">
        <v>108</v>
      </c>
      <c r="D9" t="s">
        <v>19</v>
      </c>
      <c r="E9" t="s">
        <v>20</v>
      </c>
      <c r="F9" t="s">
        <v>38</v>
      </c>
      <c r="G9" t="s">
        <v>71</v>
      </c>
      <c r="H9" t="b">
        <v>1</v>
      </c>
      <c r="I9">
        <v>10</v>
      </c>
      <c r="J9">
        <v>83</v>
      </c>
      <c r="L9">
        <v>8.3000000000000007</v>
      </c>
      <c r="M9">
        <v>1.5797389999999999E-3</v>
      </c>
      <c r="N9">
        <v>8.3000000000000007</v>
      </c>
      <c r="O9">
        <v>1.5797389999999999E-3</v>
      </c>
      <c r="P9" s="1" t="s">
        <v>29</v>
      </c>
    </row>
    <row r="10" spans="1:16" ht="30" x14ac:dyDescent="0.25">
      <c r="A10" t="s">
        <v>111</v>
      </c>
      <c r="B10" t="s">
        <v>112</v>
      </c>
      <c r="C10" t="s">
        <v>113</v>
      </c>
      <c r="D10" t="s">
        <v>19</v>
      </c>
      <c r="E10" t="s">
        <v>20</v>
      </c>
      <c r="F10" t="s">
        <v>38</v>
      </c>
      <c r="G10" t="s">
        <v>28</v>
      </c>
      <c r="H10" t="b">
        <v>1</v>
      </c>
      <c r="I10">
        <v>10</v>
      </c>
      <c r="J10">
        <v>51.5</v>
      </c>
      <c r="L10">
        <v>10.3</v>
      </c>
      <c r="M10">
        <v>8.9610000000000004E-4</v>
      </c>
      <c r="N10">
        <v>10.3</v>
      </c>
      <c r="O10">
        <v>8.9610000000000004E-4</v>
      </c>
      <c r="P10" s="1" t="s">
        <v>29</v>
      </c>
    </row>
    <row r="11" spans="1:16" ht="30" x14ac:dyDescent="0.25">
      <c r="A11" t="s">
        <v>122</v>
      </c>
      <c r="B11" t="s">
        <v>112</v>
      </c>
      <c r="C11" t="s">
        <v>113</v>
      </c>
      <c r="D11" t="s">
        <v>19</v>
      </c>
      <c r="E11" t="s">
        <v>20</v>
      </c>
      <c r="F11" t="s">
        <v>38</v>
      </c>
      <c r="G11" t="s">
        <v>71</v>
      </c>
      <c r="H11" t="b">
        <v>1</v>
      </c>
      <c r="I11">
        <v>10</v>
      </c>
      <c r="J11">
        <v>323</v>
      </c>
      <c r="L11">
        <v>64.599999999999994</v>
      </c>
      <c r="M11">
        <v>1.2295318E-2</v>
      </c>
      <c r="N11">
        <v>64.599999999999994</v>
      </c>
      <c r="O11">
        <v>1.2295318E-2</v>
      </c>
      <c r="P11" s="1" t="s">
        <v>29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cols>
    <col min="1" max="1" width="24" customWidth="1"/>
    <col min="2" max="2" width="32.140625" customWidth="1"/>
  </cols>
  <sheetData>
    <row r="1" spans="1:4" x14ac:dyDescent="0.25">
      <c r="A1" s="2" t="s">
        <v>125</v>
      </c>
      <c r="B1" s="2" t="s">
        <v>126</v>
      </c>
    </row>
    <row r="2" spans="1:4" x14ac:dyDescent="0.25">
      <c r="A2" s="3" t="s">
        <v>127</v>
      </c>
      <c r="B2" s="3" t="s">
        <v>127</v>
      </c>
    </row>
    <row r="3" spans="1:4" x14ac:dyDescent="0.25">
      <c r="A3" s="4" t="s">
        <v>128</v>
      </c>
      <c r="B3" s="4" t="s">
        <v>129</v>
      </c>
    </row>
    <row r="4" spans="1:4" x14ac:dyDescent="0.25">
      <c r="A4" s="5" t="s">
        <v>130</v>
      </c>
      <c r="B4" s="5" t="s">
        <v>131</v>
      </c>
    </row>
    <row r="8" spans="1:4" x14ac:dyDescent="0.25">
      <c r="C8" s="6" t="s">
        <v>145</v>
      </c>
      <c r="D8" s="6" t="s">
        <v>146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25">
      <c r="A11" t="s">
        <v>17</v>
      </c>
      <c r="B11" t="s">
        <v>18</v>
      </c>
      <c r="C11">
        <v>5.2420691250000002E-3</v>
      </c>
      <c r="D11">
        <v>0</v>
      </c>
    </row>
    <row r="12" spans="1:4" x14ac:dyDescent="0.25">
      <c r="B12" t="s">
        <v>37</v>
      </c>
      <c r="C12">
        <v>3.4972896000000003E-2</v>
      </c>
      <c r="D12">
        <v>3.4728518E-2</v>
      </c>
    </row>
    <row r="13" spans="1:4" x14ac:dyDescent="0.25">
      <c r="B13" t="s">
        <v>76</v>
      </c>
      <c r="C13">
        <v>2.0547188000000001E-2</v>
      </c>
      <c r="D13">
        <v>1.9944801000000002E-2</v>
      </c>
    </row>
    <row r="14" spans="1:4" x14ac:dyDescent="0.25">
      <c r="B14" t="s">
        <v>90</v>
      </c>
      <c r="C14">
        <v>3.9138065318402769E-2</v>
      </c>
      <c r="D14">
        <v>3.6279918705555553E-2</v>
      </c>
    </row>
    <row r="15" spans="1:4" x14ac:dyDescent="0.25">
      <c r="B15" t="s">
        <v>102</v>
      </c>
      <c r="C15">
        <v>6.9397882638888781E-4</v>
      </c>
      <c r="D15">
        <v>0</v>
      </c>
    </row>
    <row r="16" spans="1:4" x14ac:dyDescent="0.25">
      <c r="A16" t="s">
        <v>26</v>
      </c>
      <c r="B16" t="s">
        <v>27</v>
      </c>
      <c r="C16">
        <v>0.4020562717847222</v>
      </c>
      <c r="D16">
        <v>0.3897255026875</v>
      </c>
    </row>
    <row r="17" spans="1:4" x14ac:dyDescent="0.25">
      <c r="B17" t="s">
        <v>33</v>
      </c>
      <c r="C17">
        <v>0.10318067137638856</v>
      </c>
      <c r="D17">
        <v>0.10318067137638856</v>
      </c>
    </row>
    <row r="18" spans="1:4" x14ac:dyDescent="0.25">
      <c r="A18" t="s">
        <v>57</v>
      </c>
      <c r="B18" t="s">
        <v>58</v>
      </c>
      <c r="C18">
        <v>0.10622143949999999</v>
      </c>
      <c r="D18">
        <v>0.10616938199999999</v>
      </c>
    </row>
    <row r="19" spans="1:4" x14ac:dyDescent="0.25">
      <c r="A19" t="s">
        <v>67</v>
      </c>
      <c r="B19" t="s">
        <v>68</v>
      </c>
      <c r="C19">
        <v>6.1724078999999994E-2</v>
      </c>
      <c r="D19">
        <v>6.1526278999999996E-2</v>
      </c>
    </row>
    <row r="20" spans="1:4" x14ac:dyDescent="0.25">
      <c r="B20" t="s">
        <v>96</v>
      </c>
      <c r="C20">
        <v>4.0626720999999998E-2</v>
      </c>
      <c r="D20">
        <v>4.0604720999999996E-2</v>
      </c>
    </row>
    <row r="21" spans="1:4" x14ac:dyDescent="0.25">
      <c r="B21" t="s">
        <v>105</v>
      </c>
      <c r="C21">
        <v>1.1916E-2</v>
      </c>
      <c r="D21">
        <v>1.1916E-2</v>
      </c>
    </row>
    <row r="22" spans="1:4" x14ac:dyDescent="0.25">
      <c r="B22" t="s">
        <v>108</v>
      </c>
      <c r="C22">
        <v>1.8715019000000003E-2</v>
      </c>
      <c r="D22">
        <v>1.8715019000000003E-2</v>
      </c>
    </row>
    <row r="23" spans="1:4" x14ac:dyDescent="0.25">
      <c r="A23" t="s">
        <v>112</v>
      </c>
      <c r="B23" t="s">
        <v>113</v>
      </c>
      <c r="C23">
        <v>2.1436639E-2</v>
      </c>
      <c r="D23">
        <v>2.090593E-2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5" x14ac:dyDescent="0.25"/>
  <cols>
    <col min="1" max="1" width="24.5703125" customWidth="1"/>
    <col min="2" max="2" width="33.7109375" customWidth="1"/>
    <col min="3" max="3" width="31.42578125" customWidth="1"/>
    <col min="4" max="4" width="29.5703125" customWidth="1"/>
  </cols>
  <sheetData>
    <row r="1" spans="1:4" x14ac:dyDescent="0.25">
      <c r="A1" s="2" t="s">
        <v>132</v>
      </c>
      <c r="B1" s="2" t="s">
        <v>133</v>
      </c>
      <c r="C1" s="2" t="s">
        <v>134</v>
      </c>
      <c r="D1" s="2" t="s">
        <v>135</v>
      </c>
    </row>
    <row r="2" spans="1:4" x14ac:dyDescent="0.25">
      <c r="A2" s="3" t="s">
        <v>136</v>
      </c>
      <c r="B2" s="3" t="s">
        <v>136</v>
      </c>
      <c r="C2" s="3" t="s">
        <v>136</v>
      </c>
      <c r="D2" s="3" t="s">
        <v>136</v>
      </c>
    </row>
    <row r="3" spans="1:4" x14ac:dyDescent="0.25">
      <c r="A3" s="4" t="s">
        <v>137</v>
      </c>
      <c r="B3" s="4" t="s">
        <v>138</v>
      </c>
      <c r="C3" s="4" t="s">
        <v>139</v>
      </c>
      <c r="D3" s="4" t="s">
        <v>140</v>
      </c>
    </row>
    <row r="4" spans="1:4" x14ac:dyDescent="0.25">
      <c r="A4" s="5" t="s">
        <v>141</v>
      </c>
      <c r="B4" s="5" t="s">
        <v>142</v>
      </c>
      <c r="C4" s="5" t="s">
        <v>143</v>
      </c>
      <c r="D4" s="5" t="s">
        <v>144</v>
      </c>
    </row>
    <row r="8" spans="1:4" x14ac:dyDescent="0.25">
      <c r="A8" s="6" t="s">
        <v>11</v>
      </c>
      <c r="C8" s="6" t="s">
        <v>145</v>
      </c>
      <c r="D8" s="6" t="s">
        <v>15</v>
      </c>
    </row>
    <row r="9" spans="1:4" x14ac:dyDescent="0.25">
      <c r="C9" t="s">
        <v>19</v>
      </c>
    </row>
    <row r="10" spans="1:4" x14ac:dyDescent="0.25">
      <c r="A10" s="6" t="s">
        <v>1</v>
      </c>
      <c r="B10" s="6" t="s">
        <v>2</v>
      </c>
      <c r="C10" t="s">
        <v>29</v>
      </c>
      <c r="D10" t="s">
        <v>52</v>
      </c>
    </row>
    <row r="11" spans="1:4" x14ac:dyDescent="0.25">
      <c r="A11" t="s">
        <v>26</v>
      </c>
      <c r="B11" t="s">
        <v>27</v>
      </c>
      <c r="C11">
        <v>4479.6034791666698</v>
      </c>
    </row>
    <row r="12" spans="1:4" x14ac:dyDescent="0.25">
      <c r="B12" t="s">
        <v>33</v>
      </c>
      <c r="C12">
        <v>1162.3909722222199</v>
      </c>
    </row>
    <row r="13" spans="1:4" x14ac:dyDescent="0.25">
      <c r="A13" t="s">
        <v>17</v>
      </c>
      <c r="B13" t="s">
        <v>37</v>
      </c>
      <c r="D13">
        <v>2.1</v>
      </c>
    </row>
    <row r="14" spans="1:4" x14ac:dyDescent="0.25">
      <c r="B14" t="s">
        <v>76</v>
      </c>
      <c r="C14">
        <v>12.3</v>
      </c>
    </row>
    <row r="15" spans="1:4" x14ac:dyDescent="0.25">
      <c r="B15" t="s">
        <v>90</v>
      </c>
      <c r="C15">
        <v>169.64625000000001</v>
      </c>
    </row>
    <row r="16" spans="1:4" x14ac:dyDescent="0.25">
      <c r="A16" t="s">
        <v>67</v>
      </c>
      <c r="B16" t="s">
        <v>68</v>
      </c>
      <c r="C16">
        <v>54.3</v>
      </c>
    </row>
    <row r="17" spans="1:3" x14ac:dyDescent="0.25">
      <c r="B17" t="s">
        <v>96</v>
      </c>
      <c r="C17">
        <v>83.7</v>
      </c>
    </row>
    <row r="18" spans="1:3" x14ac:dyDescent="0.25">
      <c r="B18" t="s">
        <v>108</v>
      </c>
      <c r="C18">
        <v>8.3000000000000007</v>
      </c>
    </row>
    <row r="19" spans="1:3" x14ac:dyDescent="0.25">
      <c r="A19" t="s">
        <v>112</v>
      </c>
      <c r="B19" t="s">
        <v>113</v>
      </c>
      <c r="C19">
        <v>74.899999999999991</v>
      </c>
    </row>
    <row r="30" spans="1:3" x14ac:dyDescent="0.25">
      <c r="A30" s="2" t="s">
        <v>125</v>
      </c>
    </row>
    <row r="31" spans="1:3" x14ac:dyDescent="0.25">
      <c r="A31" s="3" t="s">
        <v>127</v>
      </c>
    </row>
    <row r="32" spans="1:3" x14ac:dyDescent="0.25">
      <c r="A32" s="4" t="s">
        <v>128</v>
      </c>
    </row>
    <row r="33" spans="1:3" x14ac:dyDescent="0.25">
      <c r="A33" s="5" t="s">
        <v>130</v>
      </c>
    </row>
    <row r="37" spans="1:3" x14ac:dyDescent="0.25">
      <c r="A37" s="6" t="s">
        <v>12</v>
      </c>
      <c r="C37" s="6" t="s">
        <v>145</v>
      </c>
    </row>
    <row r="38" spans="1:3" x14ac:dyDescent="0.25">
      <c r="A38" s="6" t="s">
        <v>1</v>
      </c>
      <c r="B38" s="6" t="s">
        <v>2</v>
      </c>
      <c r="C38" t="s">
        <v>19</v>
      </c>
    </row>
    <row r="39" spans="1:3" x14ac:dyDescent="0.25">
      <c r="A39" t="s">
        <v>17</v>
      </c>
      <c r="B39" t="s">
        <v>18</v>
      </c>
      <c r="C39">
        <v>5.2420691250000002E-3</v>
      </c>
    </row>
    <row r="40" spans="1:3" x14ac:dyDescent="0.25">
      <c r="B40" t="s">
        <v>37</v>
      </c>
      <c r="C40">
        <v>3.4972896000000003E-2</v>
      </c>
    </row>
    <row r="41" spans="1:3" x14ac:dyDescent="0.25">
      <c r="B41" t="s">
        <v>76</v>
      </c>
      <c r="C41">
        <v>2.0547188000000001E-2</v>
      </c>
    </row>
    <row r="42" spans="1:3" x14ac:dyDescent="0.25">
      <c r="B42" t="s">
        <v>90</v>
      </c>
      <c r="C42">
        <v>3.9138065318402769E-2</v>
      </c>
    </row>
    <row r="43" spans="1:3" x14ac:dyDescent="0.25">
      <c r="B43" t="s">
        <v>102</v>
      </c>
      <c r="C43">
        <v>6.9397882638888781E-4</v>
      </c>
    </row>
    <row r="44" spans="1:3" x14ac:dyDescent="0.25">
      <c r="A44" t="s">
        <v>26</v>
      </c>
      <c r="B44" t="s">
        <v>27</v>
      </c>
      <c r="C44">
        <v>0.4020562717847222</v>
      </c>
    </row>
    <row r="45" spans="1:3" x14ac:dyDescent="0.25">
      <c r="B45" t="s">
        <v>33</v>
      </c>
      <c r="C45">
        <v>0.10318067137638856</v>
      </c>
    </row>
    <row r="46" spans="1:3" x14ac:dyDescent="0.25">
      <c r="A46" t="s">
        <v>57</v>
      </c>
      <c r="B46" t="s">
        <v>58</v>
      </c>
      <c r="C46">
        <v>0.10622143949999999</v>
      </c>
    </row>
    <row r="47" spans="1:3" x14ac:dyDescent="0.25">
      <c r="A47" t="s">
        <v>67</v>
      </c>
      <c r="B47" t="s">
        <v>68</v>
      </c>
      <c r="C47">
        <v>6.1724078999999994E-2</v>
      </c>
    </row>
    <row r="48" spans="1:3" x14ac:dyDescent="0.25">
      <c r="B48" t="s">
        <v>96</v>
      </c>
      <c r="C48">
        <v>4.0626720999999998E-2</v>
      </c>
    </row>
    <row r="49" spans="1:3" x14ac:dyDescent="0.25">
      <c r="B49" t="s">
        <v>105</v>
      </c>
      <c r="C49">
        <v>1.1916E-2</v>
      </c>
    </row>
    <row r="50" spans="1:3" x14ac:dyDescent="0.25">
      <c r="B50" t="s">
        <v>108</v>
      </c>
      <c r="C50">
        <v>1.8715019000000003E-2</v>
      </c>
    </row>
    <row r="51" spans="1:3" x14ac:dyDescent="0.25">
      <c r="A51" t="s">
        <v>112</v>
      </c>
      <c r="B51" t="s">
        <v>113</v>
      </c>
      <c r="C51">
        <v>2.1436639E-2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2025-05-15T02:21:07Z</dcterms:created>
  <dcterms:modified xsi:type="dcterms:W3CDTF">2025-05-15T02:23:34Z</dcterms:modified>
</cp:coreProperties>
</file>