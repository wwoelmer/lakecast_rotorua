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80D9F7B9-942B-4D85-897C-8ED1682E596D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54" r:id="rId5"/>
    <pivotCache cacheId="61" r:id="rId6"/>
    <pivotCache cacheId="67" r:id="rId7"/>
  </pivotCaches>
</workbook>
</file>

<file path=xl/sharedStrings.xml><?xml version="1.0" encoding="utf-8"?>
<sst xmlns="http://schemas.openxmlformats.org/spreadsheetml/2006/main" count="582" uniqueCount="142">
  <si>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</si>
  <si>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</si>
  <si>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</si>
  <si>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</si>
  <si>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</si>
  <si>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</si>
  <si>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</si>
  <si>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</si>
  <si>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</si>
  <si>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</si>
  <si>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</si>
  <si>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</si>
  <si>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</si>
  <si>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</si>
  <si>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</si>
  <si>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</si>
  <si>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5746.1</t>
  </si>
  <si>
    <t>Rotoiti</t>
  </si>
  <si>
    <t>Okere Arm</t>
  </si>
  <si>
    <t>01/12/2025</t>
  </si>
  <si>
    <t>20A</t>
  </si>
  <si>
    <t>160</t>
  </si>
  <si>
    <t>Dolichospermum circinale</t>
  </si>
  <si>
    <t>5746.2</t>
  </si>
  <si>
    <t>Dolichospermum spiroides</t>
  </si>
  <si>
    <t>5746.3</t>
  </si>
  <si>
    <t>Aphanocapsa delicatissima</t>
  </si>
  <si>
    <t>5746.4</t>
  </si>
  <si>
    <t>Pseudanabaena galeata (cylinder)</t>
  </si>
  <si>
    <t>5746.5</t>
  </si>
  <si>
    <t>Dolichospermum planctonicum </t>
  </si>
  <si>
    <t>5747.1</t>
  </si>
  <si>
    <t>Kaituna</t>
  </si>
  <si>
    <t>Trout Pool</t>
  </si>
  <si>
    <t>5747.2</t>
  </si>
  <si>
    <t>5747.3</t>
  </si>
  <si>
    <t>Woronichinia naegeliana</t>
  </si>
  <si>
    <t>5747.4</t>
  </si>
  <si>
    <t>Microcystis sp</t>
  </si>
  <si>
    <t xml:space="preserve">Microcystis spp.
</t>
  </si>
  <si>
    <t>5747.5</t>
  </si>
  <si>
    <t>Dolichospermum lemmermannii</t>
  </si>
  <si>
    <t>5748.1</t>
  </si>
  <si>
    <t>Rotorua</t>
  </si>
  <si>
    <t>Ngongotaha</t>
  </si>
  <si>
    <t>5748.2</t>
  </si>
  <si>
    <t>5748.3</t>
  </si>
  <si>
    <t>5748.4</t>
  </si>
  <si>
    <t>5748.5</t>
  </si>
  <si>
    <t xml:space="preserve">Dolichospermum flos-aquae
</t>
  </si>
  <si>
    <t>5748.6</t>
  </si>
  <si>
    <t>5749.1</t>
  </si>
  <si>
    <t>Okawa Bay</t>
  </si>
  <si>
    <t>Dolichospermum sp</t>
  </si>
  <si>
    <t>5749.2</t>
  </si>
  <si>
    <t>5749.3</t>
  </si>
  <si>
    <t>5749.4</t>
  </si>
  <si>
    <t>5749.5</t>
  </si>
  <si>
    <t>Coelosphaerium cf natans</t>
  </si>
  <si>
    <t>5749.6</t>
  </si>
  <si>
    <t>Pseudanabaena sp.</t>
  </si>
  <si>
    <t>5750.1</t>
  </si>
  <si>
    <t>Holdens Bay</t>
  </si>
  <si>
    <t>5750.2</t>
  </si>
  <si>
    <t>5750.3</t>
  </si>
  <si>
    <t>5750.4</t>
  </si>
  <si>
    <t>Pseudanabaena limnetica (cylinder)</t>
  </si>
  <si>
    <t>5751.1</t>
  </si>
  <si>
    <t>Ohau Channel</t>
  </si>
  <si>
    <t>5751.2</t>
  </si>
  <si>
    <t>5751.3</t>
  </si>
  <si>
    <t>5751.4</t>
  </si>
  <si>
    <t>5751.5</t>
  </si>
  <si>
    <t>5752.1</t>
  </si>
  <si>
    <t>Hamurana</t>
  </si>
  <si>
    <t>5752.2</t>
  </si>
  <si>
    <t>5752.3</t>
  </si>
  <si>
    <t>5752.4</t>
  </si>
  <si>
    <t>5752.5</t>
  </si>
  <si>
    <t>5752.6</t>
  </si>
  <si>
    <t>5753.1</t>
  </si>
  <si>
    <t>Lake Okaro</t>
  </si>
  <si>
    <t>Boat ramp</t>
  </si>
  <si>
    <t>15</t>
  </si>
  <si>
    <t>5753.2</t>
  </si>
  <si>
    <t>5753.3</t>
  </si>
  <si>
    <t>5753.4</t>
  </si>
  <si>
    <t>5753.5</t>
  </si>
  <si>
    <t>5754.1</t>
  </si>
  <si>
    <t>Rotoehu</t>
  </si>
  <si>
    <t>Kennedy Bay</t>
  </si>
  <si>
    <t>5754.2</t>
  </si>
  <si>
    <t>5754.3</t>
  </si>
  <si>
    <t>5754.4</t>
  </si>
  <si>
    <t>5755.1</t>
  </si>
  <si>
    <t>Otautu</t>
  </si>
  <si>
    <t>5755.2</t>
  </si>
  <si>
    <t>5755.3</t>
  </si>
  <si>
    <t>Microcystis aeruginosa</t>
  </si>
  <si>
    <t>5756.1</t>
  </si>
  <si>
    <t>Hinehopu</t>
  </si>
  <si>
    <t>Whole Plate</t>
  </si>
  <si>
    <t>Oscillatoria sp</t>
  </si>
  <si>
    <t>5756.2</t>
  </si>
  <si>
    <t>Chroococcus dispersus</t>
  </si>
  <si>
    <t>5756.3</t>
  </si>
  <si>
    <t>5756.4</t>
  </si>
  <si>
    <t>5756.5</t>
  </si>
  <si>
    <t>5756.6</t>
  </si>
  <si>
    <t>5757.1</t>
  </si>
  <si>
    <t>Otaramarae</t>
  </si>
  <si>
    <t>5757.2</t>
  </si>
  <si>
    <t>5757.3</t>
  </si>
  <si>
    <t>5757.4</t>
  </si>
  <si>
    <t>5758.1</t>
  </si>
  <si>
    <t>Te Weta</t>
  </si>
  <si>
    <t>5758.2</t>
  </si>
  <si>
    <t>Aphanocapsa sp</t>
  </si>
  <si>
    <t>5758.3</t>
  </si>
  <si>
    <t xml:space="preserve">Limnococcus limneticus
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</si>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</sst>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99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0" fontId="0" fillId="6" borderId="0" xfId="0" applyNumberFormat="1" applyFill="1" applyAlignment="1" applyProtection="1"/>
    <xf numFmtId="171" fontId="0" fillId="7" borderId="0" xfId="0" applyNumberFormat="1" applyFill="1" applyAlignment="1" applyProtection="1"/>
    <xf numFmtId="171" fontId="0" fillId="8" borderId="0" xfId="0" applyNumberFormat="1" applyFill="1" applyAlignment="1" applyProtection="1"/>
    <xf numFmtId="171" fontId="0" fillId="6" borderId="0" xfId="0" applyNumberFormat="1" applyFill="1" applyAlignment="1" applyProtection="1"/>
  </cellXfs>
  <cellStyles count="1">
    <cellStyle name="Normal" xfId="0" builtinId="0"/>
  </cellStyles>
  <dxfs count="2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99FF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numFmt numFmtId="170" formatCode="0.0000"/>
    </dxf>
    <dxf>
      <numFmt numFmtId="171" formatCode="0.000"/>
    </dxf>
    <dxf>
      <numFmt numFmtId="169" formatCode="0.00000"/>
    </dxf>
    <dxf>
      <numFmt numFmtId="168" formatCode="0.000000"/>
    </dxf>
    <dxf>
      <numFmt numFmtId="167" formatCode="0.0000000"/>
    </dxf>
    <dxf>
      <numFmt numFmtId="166" formatCode="0.00000000"/>
    </dxf>
    <dxf>
      <numFmt numFmtId="165" formatCode="0.000000000"/>
    </dxf>
    <dxf>
      <numFmt numFmtId="164" formatCode="0.0000000000"/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5995.433104050928" refreshedVersion="8" recordCount="62" xr:uid="{00000000-000A-0000-FFFF-FFFF02000000}">
  <cacheSource type="worksheet">
    <worksheetSource ref="A1:P63" sheet="Lakes Data"/>
  </cacheSource>
  <cacheFields count="16">
    <cacheField name="SampleId" numFmtId="0">
      <sharedItems/>
    </cacheField>
    <cacheField name="Location" numFmtId="0">
      <sharedItems count="5">
        <s v="Rotoiti"/>
        <s v="Kaituna"/>
        <s v="Rotorua"/>
        <s v="Lake Okaro"/>
        <s v="Rotoehu"/>
      </sharedItems>
    </cacheField>
    <cacheField name="Site" numFmtId="0">
      <sharedItems count="13">
        <s v="Okere Arm"/>
        <s v="Trout Pool"/>
        <s v="Ngongotaha"/>
        <s v="Okawa Bay"/>
        <s v="Holdens Bay"/>
        <s v="Ohau Channel"/>
        <s v="Hamurana"/>
        <s v="Boat ramp"/>
        <s v="Kennedy Bay"/>
        <s v="Otautu"/>
        <s v="Hinehopu"/>
        <s v="Otaramarae"/>
        <s v="Te Weta"/>
      </sharedItems>
    </cacheField>
    <cacheField name="SampleDate" numFmtId="0">
      <sharedItems count="1">
        <s v="01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3" maxValue="340"/>
    </cacheField>
    <cacheField name="NumberOfColonies" numFmtId="0">
      <sharedItems containsString="0" containsBlank="1" containsNumber="1" containsInteger="1" minValue="2" maxValue="167"/>
    </cacheField>
    <cacheField name="CellsPerMl" numFmtId="0">
      <sharedItems containsSemiMixedTypes="0" containsString="0" containsNumber="1" minValue="1.7" maxValue="66900.103407407398"/>
    </cacheField>
    <cacheField name="TotalBioVolume" numFmtId="0">
      <sharedItems containsSemiMixedTypes="0" containsString="0" containsNumber="1" minValue="0" maxValue="38.510375525439997"/>
    </cacheField>
    <cacheField name="PotentiallyToxicCellMl" numFmtId="0">
      <sharedItems containsSemiMixedTypes="0" containsString="0" containsNumber="1" minValue="0" maxValue="66900.103407407398"/>
    </cacheField>
    <cacheField name="PotentiallyToxicBioVolume" numFmtId="0">
      <sharedItems containsSemiMixedTypes="0" containsString="0" containsNumber="1" minValue="0" maxValue="38.510375525439997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5995.433104398151" refreshedVersion="8" recordCount="3" xr:uid="{00000000-000A-0000-FFFF-FFFF01000000}">
  <cacheSource type="worksheet">
    <worksheetSource ref="A1:P4" sheet="Toxin Data"/>
  </cacheSource>
  <cacheFields count="16">
    <cacheField name="SampleId" numFmtId="0">
      <sharedItems/>
    </cacheField>
    <cacheField name="Location" numFmtId="0">
      <sharedItems count="3">
        <s v="Kaituna"/>
        <s v="Rotoehu"/>
        <s v="Rotoiti"/>
      </sharedItems>
    </cacheField>
    <cacheField name="Site" numFmtId="0">
      <sharedItems count="3">
        <s v="Trout Pool"/>
        <s v="Otautu"/>
        <s v="Otaramarae"/>
      </sharedItems>
    </cacheField>
    <cacheField name="SampleDate" numFmtId="0">
      <sharedItems count="1">
        <s v="01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containsInteger="1" minValue="26" maxValue="40"/>
    </cacheField>
    <cacheField name="NumberOfColonies" numFmtId="0">
      <sharedItems containsNonDate="0" containsString="0" containsBlank="1"/>
    </cacheField>
    <cacheField name="CellsPerMl" numFmtId="0">
      <sharedItems containsSemiMixedTypes="0" containsString="0" containsNumber="1" minValue="5.4" maxValue="125.66388888888901"/>
    </cacheField>
    <cacheField name="TotalBioVolume" numFmtId="0">
      <sharedItems containsSemiMixedTypes="0" containsString="0" containsNumber="1" minValue="3.8771228566800001E-4" maxValue="9.0224877013038406E-3"/>
    </cacheField>
    <cacheField name="PotentiallyToxicCellMl" numFmtId="0">
      <sharedItems containsSemiMixedTypes="0" containsString="0" containsNumber="1" minValue="5.4" maxValue="125.66388888888901"/>
    </cacheField>
    <cacheField name="PotentiallyToxicBioVolume" numFmtId="0">
      <sharedItems containsSemiMixedTypes="0" containsString="0" containsNumber="1" minValue="3.8771228566800001E-4" maxValue="9.0224877013038406E-3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5995.433104629628" refreshedVersion="8" recordCount="62" xr:uid="{00000000-000A-0000-FFFF-FFFF00000000}">
  <cacheSource type="worksheet">
    <worksheetSource ref="A1:P63" sheet="Lakes Data"/>
  </cacheSource>
  <cacheFields count="16">
    <cacheField name="SampleId" numFmtId="0">
      <sharedItems/>
    </cacheField>
    <cacheField name="Location" numFmtId="0">
      <sharedItems count="5">
        <s v="Rotoiti"/>
        <s v="Kaituna"/>
        <s v="Rotorua"/>
        <s v="Lake Okaro"/>
        <s v="Rotoehu"/>
      </sharedItems>
    </cacheField>
    <cacheField name="Site" numFmtId="0">
      <sharedItems count="13">
        <s v="Okere Arm"/>
        <s v="Trout Pool"/>
        <s v="Ngongotaha"/>
        <s v="Okawa Bay"/>
        <s v="Holdens Bay"/>
        <s v="Ohau Channel"/>
        <s v="Hamurana"/>
        <s v="Boat ramp"/>
        <s v="Kennedy Bay"/>
        <s v="Otautu"/>
        <s v="Hinehopu"/>
        <s v="Otaramarae"/>
        <s v="Te Weta"/>
      </sharedItems>
    </cacheField>
    <cacheField name="SampleDate" numFmtId="0">
      <sharedItems count="1">
        <s v="01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3" maxValue="340"/>
    </cacheField>
    <cacheField name="NumberOfColonies" numFmtId="0">
      <sharedItems containsString="0" containsBlank="1" containsNumber="1" containsInteger="1" minValue="2" maxValue="167"/>
    </cacheField>
    <cacheField name="CellsPerMl" numFmtId="0">
      <sharedItems containsSemiMixedTypes="0" containsString="0" containsNumber="1" minValue="1.7" maxValue="66900.103407407398"/>
    </cacheField>
    <cacheField name="TotalBioVolume" numFmtId="0">
      <sharedItems containsSemiMixedTypes="0" containsString="0" containsNumber="1" minValue="0" maxValue="38.510375525439997"/>
    </cacheField>
    <cacheField name="PotentiallyToxicCellMl" numFmtId="0">
      <sharedItems containsSemiMixedTypes="0" containsString="0" containsNumber="1" minValue="0" maxValue="66900.103407407398"/>
    </cacheField>
    <cacheField name="PotentiallyToxicBioVolume" numFmtId="0">
      <sharedItems containsSemiMixedTypes="0" containsString="0" containsNumber="1" minValue="0" maxValue="38.510375525439997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5746.1"/>
    <x v="0"/>
    <x v="0"/>
    <x v="0"/>
    <s v="20A"/>
    <s v="160"/>
    <s v="Dolichospermum circinale"/>
    <b v="1"/>
    <n v="10"/>
    <n v="30.5"/>
    <n v="24"/>
    <n v="4216.0234722222203"/>
    <n v="2.4269117515500001"/>
    <n v="4216.0234722222203"/>
    <n v="2.4269117515500001"/>
    <m/>
  </r>
  <r>
    <s v="5746.2"/>
    <x v="0"/>
    <x v="0"/>
    <x v="0"/>
    <s v="20A"/>
    <s v="160"/>
    <s v="Dolichospermum spiroides"/>
    <b v="1"/>
    <n v="10"/>
    <n v="38.8333333333333"/>
    <m/>
    <n v="731.99215277777796"/>
    <n v="0.19031795972222201"/>
    <n v="731.99215277777796"/>
    <n v="0.19031795972222201"/>
    <m/>
  </r>
  <r>
    <s v="5746.3"/>
    <x v="0"/>
    <x v="0"/>
    <x v="0"/>
    <s v="20A"/>
    <s v="160"/>
    <s v="Aphanocapsa delicatissima"/>
    <b v="0"/>
    <n v="10"/>
    <n v="55"/>
    <m/>
    <n v="345.57569444444403"/>
    <n v="3.4557569444444399E-5"/>
    <n v="0"/>
    <n v="0"/>
    <m/>
  </r>
  <r>
    <s v="5746.4"/>
    <x v="0"/>
    <x v="0"/>
    <x v="0"/>
    <s v="20A"/>
    <s v="160"/>
    <s v="Pseudanabaena galeata (cylinder)"/>
    <b v="1"/>
    <n v="10"/>
    <n v="4"/>
    <m/>
    <n v="12.5663888888889"/>
    <n v="7.5398333333333398E-4"/>
    <n v="12.5663888888889"/>
    <n v="7.5398333333333398E-4"/>
    <m/>
  </r>
  <r>
    <s v="5746.5"/>
    <x v="0"/>
    <x v="0"/>
    <x v="0"/>
    <s v="20A"/>
    <s v="160"/>
    <s v="Dolichospermum planctonicum "/>
    <b v="1"/>
    <n v="10"/>
    <n v="32"/>
    <m/>
    <n v="100.531111111111"/>
    <n v="3.7196511111111101E-2"/>
    <n v="100.531111111111"/>
    <n v="3.7196511111111101E-2"/>
    <m/>
  </r>
  <r>
    <s v="5747.1"/>
    <x v="1"/>
    <x v="1"/>
    <x v="0"/>
    <s v="20A"/>
    <s v="160"/>
    <s v="Dolichospermum circinale"/>
    <b v="1"/>
    <n v="10"/>
    <n v="22.4"/>
    <n v="43"/>
    <n v="4433.4219999999996"/>
    <n v="2.5520550400799999"/>
    <n v="4433.4219999999996"/>
    <n v="2.5520550400799999"/>
    <m/>
  </r>
  <r>
    <s v="5747.2"/>
    <x v="1"/>
    <x v="1"/>
    <x v="0"/>
    <s v="20A"/>
    <s v="160"/>
    <s v="Dolichospermum spiroides"/>
    <b v="1"/>
    <n v="10"/>
    <n v="29.7"/>
    <m/>
    <n v="933.05437500000005"/>
    <n v="0.2425941375"/>
    <n v="933.05437500000005"/>
    <n v="0.2425941375"/>
    <m/>
  </r>
  <r>
    <s v="5747.3"/>
    <x v="1"/>
    <x v="1"/>
    <x v="0"/>
    <s v="20A"/>
    <s v="160"/>
    <s v="Woronichinia naegeliana"/>
    <b v="1"/>
    <n v="10"/>
    <n v="172"/>
    <m/>
    <n v="540.35472222222199"/>
    <n v="0"/>
    <n v="540.35472222222199"/>
    <n v="0"/>
    <m/>
  </r>
  <r>
    <s v="5747.4"/>
    <x v="1"/>
    <x v="1"/>
    <x v="0"/>
    <s v="20A"/>
    <s v="160"/>
    <s v="Microcystis sp"/>
    <b v="1"/>
    <n v="10"/>
    <n v="40"/>
    <m/>
    <n v="125.66388888888901"/>
    <n v="9.0224877013038406E-3"/>
    <n v="125.66388888888901"/>
    <n v="9.0224877013038406E-3"/>
    <s v="Microcystis spp._x000a_"/>
  </r>
  <r>
    <s v="5747.5"/>
    <x v="1"/>
    <x v="1"/>
    <x v="0"/>
    <s v="20A"/>
    <s v="160"/>
    <s v="Dolichospermum lemmermannii"/>
    <b v="1"/>
    <n v="10"/>
    <n v="36"/>
    <m/>
    <n v="113.0975"/>
    <n v="1.2440725E-2"/>
    <n v="113.0975"/>
    <n v="1.2440725E-2"/>
    <m/>
  </r>
  <r>
    <s v="5748.1"/>
    <x v="2"/>
    <x v="2"/>
    <x v="0"/>
    <s v="20A"/>
    <s v="160"/>
    <s v="Dolichospermum circinale"/>
    <b v="1"/>
    <n v="10"/>
    <n v="26.2"/>
    <n v="56"/>
    <n v="6255.5483888888903"/>
    <n v="3.60094387458"/>
    <n v="6255.5483888888903"/>
    <n v="3.60094387458"/>
    <m/>
  </r>
  <r>
    <s v="5748.2"/>
    <x v="2"/>
    <x v="2"/>
    <x v="0"/>
    <s v="20A"/>
    <s v="160"/>
    <s v="Dolichospermum spiroides"/>
    <b v="1"/>
    <n v="10"/>
    <n v="38.6666666666667"/>
    <m/>
    <n v="364.42527777777798"/>
    <n v="9.4750572222222301E-2"/>
    <n v="364.42527777777798"/>
    <n v="9.4750572222222301E-2"/>
    <m/>
  </r>
  <r>
    <s v="5748.3"/>
    <x v="2"/>
    <x v="2"/>
    <x v="0"/>
    <s v="20A"/>
    <s v="160"/>
    <s v="Dolichospermum lemmermannii"/>
    <b v="1"/>
    <n v="10"/>
    <n v="53"/>
    <m/>
    <n v="832.52326388888901"/>
    <n v="9.1577559027777797E-2"/>
    <n v="832.52326388888901"/>
    <n v="9.1577559027777797E-2"/>
    <m/>
  </r>
  <r>
    <s v="5748.4"/>
    <x v="2"/>
    <x v="2"/>
    <x v="0"/>
    <s v="20A"/>
    <s v="160"/>
    <s v="Dolichospermum planctonicum "/>
    <b v="1"/>
    <n v="10"/>
    <n v="55"/>
    <m/>
    <n v="172.78784722222201"/>
    <n v="6.3931503472222095E-2"/>
    <n v="172.78784722222201"/>
    <n v="6.3931503472222095E-2"/>
    <m/>
  </r>
  <r>
    <s v="5748.5"/>
    <x v="2"/>
    <x v="2"/>
    <x v="0"/>
    <s v="20A"/>
    <s v="160"/>
    <s v="Dolichospermum flos-aquae_x000a_"/>
    <b v="1"/>
    <n v="10"/>
    <n v="10"/>
    <m/>
    <n v="31.415972222222202"/>
    <n v="1.75929444444444E-3"/>
    <n v="31.415972222222202"/>
    <n v="1.75929444444444E-3"/>
    <m/>
  </r>
  <r>
    <s v="5748.6"/>
    <x v="2"/>
    <x v="2"/>
    <x v="0"/>
    <s v="20A"/>
    <s v="160"/>
    <s v="Pseudanabaena galeata (cylinder)"/>
    <b v="1"/>
    <n v="10"/>
    <n v="3"/>
    <m/>
    <n v="9.4247916666666693"/>
    <n v="5.654875E-4"/>
    <n v="9.4247916666666605"/>
    <n v="5.654875E-4"/>
    <m/>
  </r>
  <r>
    <s v="5749.1"/>
    <x v="0"/>
    <x v="3"/>
    <x v="0"/>
    <s v="20A"/>
    <s v="160"/>
    <s v="Dolichospermum sp"/>
    <b v="1"/>
    <n v="10"/>
    <n v="11.25"/>
    <n v="9"/>
    <n v="1024.94609375"/>
    <n v="0.1947397578125"/>
    <n v="1024.94609375"/>
    <n v="0.1947397578125"/>
    <m/>
  </r>
  <r>
    <s v="5749.2"/>
    <x v="0"/>
    <x v="3"/>
    <x v="0"/>
    <s v="20A"/>
    <s v="160"/>
    <s v="Dolichospermum circinale"/>
    <b v="1"/>
    <n v="10"/>
    <n v="20"/>
    <n v="2"/>
    <n v="1382.30277777778"/>
    <n v="0.79570877100000104"/>
    <n v="1382.30277777778"/>
    <n v="0.79570877100000104"/>
    <m/>
  </r>
  <r>
    <s v="5749.3"/>
    <x v="0"/>
    <x v="3"/>
    <x v="0"/>
    <s v="20A"/>
    <s v="160"/>
    <s v="Dolichospermum planctonicum "/>
    <b v="1"/>
    <n v="10"/>
    <n v="22.875"/>
    <m/>
    <n v="574.91229166666699"/>
    <n v="0.212717547916667"/>
    <n v="574.91229166666699"/>
    <n v="0.212717547916667"/>
    <m/>
  </r>
  <r>
    <s v="5749.4"/>
    <x v="0"/>
    <x v="3"/>
    <x v="0"/>
    <s v="20A"/>
    <s v="160"/>
    <s v="Dolichospermum spiroides"/>
    <b v="1"/>
    <n v="10"/>
    <n v="23"/>
    <m/>
    <n v="505.79715277777802"/>
    <n v="0.13150725972222199"/>
    <n v="505.79715277777802"/>
    <n v="0.13150725972222199"/>
    <m/>
  </r>
  <r>
    <s v="5749.5"/>
    <x v="0"/>
    <x v="3"/>
    <x v="0"/>
    <s v="20A"/>
    <s v="160"/>
    <s v="Coelosphaerium cf natans"/>
    <b v="0"/>
    <n v="10"/>
    <n v="20"/>
    <m/>
    <n v="62.831944444444403"/>
    <n v="1.44513472222222E-4"/>
    <n v="0"/>
    <n v="0"/>
    <m/>
  </r>
  <r>
    <s v="5749.6"/>
    <x v="0"/>
    <x v="3"/>
    <x v="0"/>
    <s v="20A"/>
    <s v="160"/>
    <s v="Pseudanabaena sp."/>
    <b v="1"/>
    <n v="10"/>
    <n v="9"/>
    <m/>
    <n v="56.548749999999998"/>
    <n v="2.2054012499999999E-3"/>
    <n v="56.548749999999998"/>
    <n v="2.2054012499999999E-3"/>
    <m/>
  </r>
  <r>
    <s v="5750.1"/>
    <x v="2"/>
    <x v="4"/>
    <x v="0"/>
    <s v="20A"/>
    <s v="160"/>
    <s v="Dolichospermum circinale"/>
    <b v="1"/>
    <n v="10"/>
    <n v="29.8"/>
    <n v="89"/>
    <n v="10204.536097222201"/>
    <n v="5.8741391590049901"/>
    <n v="10204.536097222201"/>
    <n v="5.8741391590049901"/>
    <m/>
  </r>
  <r>
    <s v="5750.2"/>
    <x v="2"/>
    <x v="4"/>
    <x v="0"/>
    <s v="20A"/>
    <s v="160"/>
    <s v="Dolichospermum sp"/>
    <b v="1"/>
    <n v="10"/>
    <n v="30.785714285714299"/>
    <m/>
    <n v="1354.02840277778"/>
    <n v="0.25726539652777802"/>
    <n v="1354.02840277778"/>
    <n v="0.25726539652777802"/>
    <m/>
  </r>
  <r>
    <s v="5750.3"/>
    <x v="2"/>
    <x v="4"/>
    <x v="0"/>
    <s v="20A"/>
    <s v="160"/>
    <s v="Dolichospermum spiroides"/>
    <b v="1"/>
    <n v="10"/>
    <n v="35.200000000000003"/>
    <m/>
    <n v="552.92111111111103"/>
    <n v="0.14375948888888901"/>
    <n v="552.92111111111103"/>
    <n v="0.14375948888888901"/>
    <m/>
  </r>
  <r>
    <s v="5750.4"/>
    <x v="2"/>
    <x v="4"/>
    <x v="0"/>
    <s v="20A"/>
    <s v="160"/>
    <s v="Pseudanabaena limnetica (cylinder)"/>
    <b v="1"/>
    <n v="10"/>
    <n v="17"/>
    <m/>
    <n v="106.814305555556"/>
    <n v="8.4383301388889203E-3"/>
    <n v="106.814305555556"/>
    <n v="8.4383301388889203E-3"/>
    <m/>
  </r>
  <r>
    <s v="5751.1"/>
    <x v="2"/>
    <x v="5"/>
    <x v="0"/>
    <s v="20A"/>
    <s v="160"/>
    <s v="Dolichospermum circinale"/>
    <b v="1"/>
    <n v="10"/>
    <n v="36.25"/>
    <n v="167"/>
    <n v="21296.1021701389"/>
    <n v="12.258888253218799"/>
    <n v="21296.1021701389"/>
    <n v="12.258888253218799"/>
    <m/>
  </r>
  <r>
    <s v="5751.2"/>
    <x v="2"/>
    <x v="5"/>
    <x v="0"/>
    <s v="20A"/>
    <s v="160"/>
    <s v="Dolichospermum sp"/>
    <b v="1"/>
    <n v="10"/>
    <n v="19.3"/>
    <m/>
    <n v="606.32826388888896"/>
    <n v="0.115202370138889"/>
    <n v="606.32826388888896"/>
    <n v="0.115202370138889"/>
    <m/>
  </r>
  <r>
    <s v="5751.3"/>
    <x v="2"/>
    <x v="5"/>
    <x v="0"/>
    <s v="20A"/>
    <s v="160"/>
    <s v="Dolichospermum spiroides"/>
    <b v="1"/>
    <n v="10"/>
    <n v="28.8"/>
    <m/>
    <n v="452.39"/>
    <n v="0.1176214"/>
    <n v="452.39"/>
    <n v="0.1176214"/>
    <m/>
  </r>
  <r>
    <s v="5751.4"/>
    <x v="2"/>
    <x v="5"/>
    <x v="0"/>
    <s v="20A"/>
    <s v="160"/>
    <s v="Dolichospermum planctonicum "/>
    <b v="1"/>
    <n v="10"/>
    <n v="19.2"/>
    <m/>
    <n v="301.59333333333302"/>
    <n v="0.111589533333333"/>
    <n v="301.59333333333302"/>
    <n v="0.111589533333333"/>
    <m/>
  </r>
  <r>
    <s v="5751.5"/>
    <x v="2"/>
    <x v="5"/>
    <x v="0"/>
    <s v="20A"/>
    <s v="160"/>
    <s v="Pseudanabaena limnetica (cylinder)"/>
    <b v="1"/>
    <n v="10"/>
    <n v="3"/>
    <m/>
    <n v="9.4247916666666693"/>
    <n v="7.4455854166666604E-4"/>
    <n v="9.4247916666666605"/>
    <n v="7.4455854166666604E-4"/>
    <m/>
  </r>
  <r>
    <s v="5752.1"/>
    <x v="2"/>
    <x v="6"/>
    <x v="0"/>
    <s v="20A"/>
    <s v="160"/>
    <s v="Dolichospermum circinale"/>
    <b v="1"/>
    <n v="10"/>
    <n v="36.133333333333297"/>
    <m/>
    <n v="1702.74569444444"/>
    <n v="0.98016853154999695"/>
    <n v="1702.74569444444"/>
    <n v="0.98016853154999695"/>
    <m/>
  </r>
  <r>
    <s v="5752.2"/>
    <x v="2"/>
    <x v="6"/>
    <x v="0"/>
    <s v="20A"/>
    <s v="160"/>
    <s v="Pseudanabaena limnetica (cylinder)"/>
    <b v="1"/>
    <n v="10"/>
    <n v="8.8571428571428594"/>
    <m/>
    <n v="194.779027777778"/>
    <n v="1.53875431944445E-2"/>
    <n v="194.779027777778"/>
    <n v="1.53875431944445E-2"/>
    <m/>
  </r>
  <r>
    <s v="5752.3"/>
    <x v="2"/>
    <x v="6"/>
    <x v="0"/>
    <s v="20A"/>
    <s v="160"/>
    <s v="Dolichospermum planctonicum "/>
    <b v="1"/>
    <n v="10"/>
    <n v="28"/>
    <m/>
    <n v="87.964722222222207"/>
    <n v="3.2546947222222199E-2"/>
    <n v="87.964722222222207"/>
    <n v="3.2546947222222199E-2"/>
    <m/>
  </r>
  <r>
    <s v="5752.4"/>
    <x v="2"/>
    <x v="6"/>
    <x v="0"/>
    <s v="20A"/>
    <s v="160"/>
    <s v="Pseudanabaena galeata (cylinder)"/>
    <b v="1"/>
    <n v="10"/>
    <n v="9"/>
    <m/>
    <n v="113.0975"/>
    <n v="6.7858500000000004E-3"/>
    <n v="113.0975"/>
    <n v="6.7858500000000004E-3"/>
    <m/>
  </r>
  <r>
    <s v="5752.5"/>
    <x v="2"/>
    <x v="6"/>
    <x v="0"/>
    <s v="20A"/>
    <s v="160"/>
    <s v="Dolichospermum lemmermannii"/>
    <b v="1"/>
    <n v="10"/>
    <n v="33.625"/>
    <m/>
    <n v="845.08965277777804"/>
    <n v="9.2959861805555599E-2"/>
    <n v="845.08965277777804"/>
    <n v="9.2959861805555599E-2"/>
    <m/>
  </r>
  <r>
    <s v="5752.6"/>
    <x v="2"/>
    <x v="6"/>
    <x v="0"/>
    <s v="20A"/>
    <s v="160"/>
    <s v="Dolichospermum spiroides"/>
    <b v="1"/>
    <n v="10"/>
    <n v="39.3333333333333"/>
    <m/>
    <n v="370.70847222222199"/>
    <n v="9.6384202777777706E-2"/>
    <n v="370.70847222222199"/>
    <n v="9.6384202777777706E-2"/>
    <m/>
  </r>
  <r>
    <s v="5753.1"/>
    <x v="3"/>
    <x v="7"/>
    <x v="0"/>
    <s v="20A"/>
    <s v="15"/>
    <s v="Dolichospermum circinale"/>
    <b v="1"/>
    <n v="10"/>
    <n v="21.7"/>
    <n v="72"/>
    <n v="66900.103407407398"/>
    <n v="38.510375525439997"/>
    <n v="66900.103407407398"/>
    <n v="38.510375525439997"/>
    <m/>
  </r>
  <r>
    <s v="5753.2"/>
    <x v="3"/>
    <x v="7"/>
    <x v="0"/>
    <s v="20A"/>
    <s v="15"/>
    <s v="Dolichospermum sp"/>
    <b v="1"/>
    <n v="10"/>
    <n v="14"/>
    <m/>
    <n v="938.29037037037006"/>
    <n v="0.17827517037037"/>
    <n v="938.29037037037006"/>
    <n v="0.17827517037037"/>
    <m/>
  </r>
  <r>
    <s v="5753.3"/>
    <x v="3"/>
    <x v="7"/>
    <x v="0"/>
    <s v="20A"/>
    <s v="15"/>
    <s v="Dolichospermum planctonicum "/>
    <b v="1"/>
    <n v="10"/>
    <n v="58"/>
    <m/>
    <n v="5830.8044444444404"/>
    <n v="2.15739764444444"/>
    <n v="5830.8044444444404"/>
    <n v="2.15739764444444"/>
    <m/>
  </r>
  <r>
    <s v="5753.4"/>
    <x v="3"/>
    <x v="7"/>
    <x v="0"/>
    <s v="20A"/>
    <s v="15"/>
    <s v="Dolichospermum spiroides"/>
    <b v="1"/>
    <n v="10"/>
    <n v="29.5"/>
    <m/>
    <n v="1977.1118518518499"/>
    <n v="0.51404908148148099"/>
    <n v="1977.1118518518499"/>
    <n v="0.51404908148148099"/>
    <m/>
  </r>
  <r>
    <s v="5753.5"/>
    <x v="3"/>
    <x v="7"/>
    <x v="0"/>
    <s v="20A"/>
    <s v="15"/>
    <s v="Woronichinia naegeliana"/>
    <b v="1"/>
    <n v="10"/>
    <n v="340"/>
    <m/>
    <n v="11393.5259259259"/>
    <n v="0"/>
    <n v="11393.5259259259"/>
    <n v="0"/>
    <m/>
  </r>
  <r>
    <s v="5754.1"/>
    <x v="4"/>
    <x v="8"/>
    <x v="0"/>
    <s v="20A"/>
    <s v="160"/>
    <s v="Dolichospermum lemmermannii"/>
    <b v="1"/>
    <n v="10"/>
    <n v="12.75"/>
    <n v="53"/>
    <n v="2924.0416145833301"/>
    <n v="0.32164457760416598"/>
    <n v="2924.0416145833301"/>
    <n v="0.32164457760416598"/>
    <m/>
  </r>
  <r>
    <s v="5754.2"/>
    <x v="4"/>
    <x v="8"/>
    <x v="0"/>
    <s v="20A"/>
    <s v="160"/>
    <s v="Dolichospermum flos-aquae_x000a_"/>
    <b v="1"/>
    <n v="10"/>
    <n v="28"/>
    <m/>
    <n v="175.92944444444399"/>
    <n v="9.8520488888888605E-3"/>
    <n v="175.92944444444399"/>
    <n v="9.8520488888888605E-3"/>
    <m/>
  </r>
  <r>
    <s v="5754.3"/>
    <x v="4"/>
    <x v="8"/>
    <x v="0"/>
    <s v="20A"/>
    <s v="160"/>
    <s v="Dolichospermum planctonicum "/>
    <b v="1"/>
    <n v="10"/>
    <n v="13"/>
    <m/>
    <n v="81.681527777777802"/>
    <n v="3.02221652777778E-2"/>
    <n v="81.681527777777802"/>
    <n v="3.02221652777778E-2"/>
    <m/>
  </r>
  <r>
    <s v="5754.4"/>
    <x v="4"/>
    <x v="8"/>
    <x v="0"/>
    <s v="20A"/>
    <s v="160"/>
    <s v="Pseudanabaena limnetica (cylinder)"/>
    <b v="1"/>
    <n v="10"/>
    <n v="6"/>
    <m/>
    <n v="37.699166666666699"/>
    <n v="2.9782341666666698E-3"/>
    <n v="37.699166666666699"/>
    <n v="2.9782341666666698E-3"/>
    <m/>
  </r>
  <r>
    <s v="5755.1"/>
    <x v="4"/>
    <x v="9"/>
    <x v="0"/>
    <s v="20A"/>
    <s v="160"/>
    <s v="Dolichospermum sp"/>
    <b v="1"/>
    <n v="10"/>
    <n v="11.8"/>
    <n v="5"/>
    <n v="926.77118055555502"/>
    <n v="0.17608652430555599"/>
    <n v="926.77118055555604"/>
    <n v="0.17608652430555599"/>
    <m/>
  </r>
  <r>
    <s v="5755.2"/>
    <x v="4"/>
    <x v="9"/>
    <x v="0"/>
    <s v="20A"/>
    <s v="160"/>
    <s v="Dolichospermum planctonicum "/>
    <b v="1"/>
    <n v="10"/>
    <n v="12"/>
    <m/>
    <n v="37.699166666666699"/>
    <n v="1.39486916666667E-2"/>
    <n v="37.699166666666699"/>
    <n v="1.39486916666667E-2"/>
    <m/>
  </r>
  <r>
    <s v="5755.3"/>
    <x v="4"/>
    <x v="9"/>
    <x v="0"/>
    <s v="20A"/>
    <s v="160"/>
    <s v="Microcystis aeruginosa"/>
    <b v="1"/>
    <n v="10"/>
    <n v="26"/>
    <m/>
    <n v="81.681527777777802"/>
    <n v="7.1062929166666698E-3"/>
    <n v="81.681527777777802"/>
    <n v="7.1062929166666698E-3"/>
    <s v="Microcystis spp._x000a_"/>
  </r>
  <r>
    <s v="5756.1"/>
    <x v="0"/>
    <x v="10"/>
    <x v="0"/>
    <s v="20A"/>
    <s v="Whole Plate"/>
    <s v="Oscillatoria sp"/>
    <b v="1"/>
    <n v="10"/>
    <n v="9"/>
    <m/>
    <n v="1.8"/>
    <n v="4.8681000000000002E-3"/>
    <n v="1.8"/>
    <n v="4.8681000000000002E-3"/>
    <m/>
  </r>
  <r>
    <s v="5756.2"/>
    <x v="0"/>
    <x v="10"/>
    <x v="0"/>
    <s v="20A"/>
    <s v="Whole Plate"/>
    <s v="Chroococcus dispersus"/>
    <b v="0"/>
    <n v="10"/>
    <n v="17"/>
    <m/>
    <n v="1.7"/>
    <n v="4.7599999999999998E-5"/>
    <n v="0"/>
    <n v="0"/>
    <m/>
  </r>
  <r>
    <s v="5756.3"/>
    <x v="0"/>
    <x v="10"/>
    <x v="0"/>
    <s v="20A"/>
    <s v="Whole Plate"/>
    <s v="Pseudanabaena galeata (cylinder)"/>
    <b v="1"/>
    <n v="10"/>
    <n v="9"/>
    <m/>
    <n v="7.2"/>
    <n v="4.3199999999999998E-4"/>
    <n v="7.2"/>
    <n v="4.3199999999999998E-4"/>
    <m/>
  </r>
  <r>
    <s v="5756.4"/>
    <x v="0"/>
    <x v="10"/>
    <x v="0"/>
    <s v="20A"/>
    <s v="Whole Plate"/>
    <s v="Dolichospermum lemmermannii"/>
    <b v="1"/>
    <n v="10"/>
    <n v="16.266666666666701"/>
    <m/>
    <n v="24.4"/>
    <n v="2.6840000000000002E-3"/>
    <n v="24.4"/>
    <n v="2.6840000000000002E-3"/>
    <m/>
  </r>
  <r>
    <s v="5756.5"/>
    <x v="0"/>
    <x v="10"/>
    <x v="0"/>
    <s v="20A"/>
    <s v="Whole Plate"/>
    <s v="Pseudanabaena limnetica (cylinder)"/>
    <b v="1"/>
    <n v="10"/>
    <n v="7.4"/>
    <m/>
    <n v="3.7"/>
    <n v="2.923E-4"/>
    <n v="3.7"/>
    <n v="2.923E-4"/>
    <m/>
  </r>
  <r>
    <s v="5756.6"/>
    <x v="0"/>
    <x v="10"/>
    <x v="0"/>
    <s v="20A"/>
    <s v="Whole Plate"/>
    <s v="Dolichospermum planctonicum "/>
    <b v="1"/>
    <n v="10"/>
    <n v="12.5"/>
    <m/>
    <n v="2.5"/>
    <n v="9.2500000000000004E-4"/>
    <n v="2.5"/>
    <n v="9.2500000000000004E-4"/>
    <m/>
  </r>
  <r>
    <s v="5757.1"/>
    <x v="0"/>
    <x v="11"/>
    <x v="0"/>
    <s v="20A"/>
    <s v="Whole Plate"/>
    <s v="Dolichospermum sp"/>
    <b v="1"/>
    <n v="10"/>
    <n v="19.100000000000001"/>
    <n v="18"/>
    <n v="72.58"/>
    <n v="1.3790200000000001E-2"/>
    <n v="72.58"/>
    <n v="1.3790200000000001E-2"/>
    <m/>
  </r>
  <r>
    <s v="5757.2"/>
    <x v="0"/>
    <x v="11"/>
    <x v="0"/>
    <s v="20A"/>
    <s v="Whole Plate"/>
    <s v="Microcystis sp"/>
    <b v="1"/>
    <n v="10"/>
    <n v="27"/>
    <m/>
    <n v="5.4"/>
    <n v="3.8771228566800001E-4"/>
    <n v="5.4"/>
    <n v="3.8771228566800001E-4"/>
    <s v="Microcystis spp._x000a_"/>
  </r>
  <r>
    <s v="5757.3"/>
    <x v="0"/>
    <x v="11"/>
    <x v="0"/>
    <s v="20A"/>
    <s v="Whole Plate"/>
    <s v="Oscillatoria sp"/>
    <b v="1"/>
    <n v="10"/>
    <n v="24"/>
    <m/>
    <n v="2.4"/>
    <n v="6.4907999999999997E-3"/>
    <n v="2.4"/>
    <n v="6.4907999999999997E-3"/>
    <m/>
  </r>
  <r>
    <s v="5757.4"/>
    <x v="0"/>
    <x v="11"/>
    <x v="0"/>
    <s v="20A"/>
    <s v="Whole Plate"/>
    <s v="Pseudanabaena sp."/>
    <b v="1"/>
    <n v="10"/>
    <n v="22"/>
    <m/>
    <n v="2.2000000000000002"/>
    <n v="8.5799999999999998E-5"/>
    <n v="2.2000000000000002"/>
    <n v="8.5799999999999998E-5"/>
    <m/>
  </r>
  <r>
    <s v="5758.1"/>
    <x v="0"/>
    <x v="12"/>
    <x v="0"/>
    <s v="20A"/>
    <s v="160"/>
    <s v="Dolichospermum sp"/>
    <b v="1"/>
    <n v="10"/>
    <n v="17.600000000000001"/>
    <m/>
    <n v="829.381666666667"/>
    <n v="0.15758251666666701"/>
    <n v="829.38166666666598"/>
    <n v="0.15758251666666701"/>
    <m/>
  </r>
  <r>
    <s v="5758.2"/>
    <x v="0"/>
    <x v="12"/>
    <x v="0"/>
    <s v="20A"/>
    <s v="160"/>
    <s v="Aphanocapsa sp"/>
    <b v="0"/>
    <n v="10"/>
    <n v="28"/>
    <m/>
    <n v="87.964722222222207"/>
    <n v="1.97920625E-4"/>
    <n v="0"/>
    <n v="0"/>
    <m/>
  </r>
  <r>
    <s v="5758.3"/>
    <x v="0"/>
    <x v="12"/>
    <x v="0"/>
    <s v="20A"/>
    <s v="160"/>
    <s v="Limnococcus limneticus_x000a_"/>
    <b v="0"/>
    <n v="10"/>
    <n v="38"/>
    <m/>
    <n v="119.380694444444"/>
    <n v="5.3721312499999799E-2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5747.4"/>
    <x v="0"/>
    <x v="0"/>
    <x v="0"/>
    <s v="20A"/>
    <s v="160"/>
    <s v="Microcystis sp"/>
    <b v="1"/>
    <n v="10"/>
    <n v="40"/>
    <m/>
    <n v="125.66388888888901"/>
    <n v="9.0224877013038406E-3"/>
    <n v="125.66388888888901"/>
    <n v="9.0224877013038406E-3"/>
    <x v="0"/>
  </r>
  <r>
    <s v="5755.3"/>
    <x v="1"/>
    <x v="1"/>
    <x v="0"/>
    <s v="20A"/>
    <s v="160"/>
    <s v="Microcystis aeruginosa"/>
    <b v="1"/>
    <n v="10"/>
    <n v="26"/>
    <m/>
    <n v="81.681527777777802"/>
    <n v="7.1062929166666698E-3"/>
    <n v="81.681527777777802"/>
    <n v="7.1062929166666698E-3"/>
    <x v="0"/>
  </r>
  <r>
    <s v="5757.2"/>
    <x v="2"/>
    <x v="2"/>
    <x v="0"/>
    <s v="20A"/>
    <s v="Whole Plate"/>
    <s v="Microcystis sp"/>
    <b v="1"/>
    <n v="10"/>
    <n v="27"/>
    <m/>
    <n v="5.4"/>
    <n v="3.8771228566800001E-4"/>
    <n v="5.4"/>
    <n v="3.8771228566800001E-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5746.1"/>
    <x v="0"/>
    <x v="0"/>
    <x v="0"/>
    <s v="20A"/>
    <s v="160"/>
    <s v="Dolichospermum circinale"/>
    <b v="1"/>
    <n v="10"/>
    <n v="30.5"/>
    <n v="24"/>
    <n v="4216.0234722222203"/>
    <n v="2.4269117515500001"/>
    <n v="4216.0234722222203"/>
    <n v="2.4269117515500001"/>
    <m/>
  </r>
  <r>
    <s v="5746.2"/>
    <x v="0"/>
    <x v="0"/>
    <x v="0"/>
    <s v="20A"/>
    <s v="160"/>
    <s v="Dolichospermum spiroides"/>
    <b v="1"/>
    <n v="10"/>
    <n v="38.8333333333333"/>
    <m/>
    <n v="731.99215277777796"/>
    <n v="0.19031795972222201"/>
    <n v="731.99215277777796"/>
    <n v="0.19031795972222201"/>
    <m/>
  </r>
  <r>
    <s v="5746.3"/>
    <x v="0"/>
    <x v="0"/>
    <x v="0"/>
    <s v="20A"/>
    <s v="160"/>
    <s v="Aphanocapsa delicatissima"/>
    <b v="0"/>
    <n v="10"/>
    <n v="55"/>
    <m/>
    <n v="345.57569444444403"/>
    <n v="3.4557569444444399E-5"/>
    <n v="0"/>
    <n v="0"/>
    <m/>
  </r>
  <r>
    <s v="5746.4"/>
    <x v="0"/>
    <x v="0"/>
    <x v="0"/>
    <s v="20A"/>
    <s v="160"/>
    <s v="Pseudanabaena galeata (cylinder)"/>
    <b v="1"/>
    <n v="10"/>
    <n v="4"/>
    <m/>
    <n v="12.5663888888889"/>
    <n v="7.5398333333333398E-4"/>
    <n v="12.5663888888889"/>
    <n v="7.5398333333333398E-4"/>
    <m/>
  </r>
  <r>
    <s v="5746.5"/>
    <x v="0"/>
    <x v="0"/>
    <x v="0"/>
    <s v="20A"/>
    <s v="160"/>
    <s v="Dolichospermum planctonicum "/>
    <b v="1"/>
    <n v="10"/>
    <n v="32"/>
    <m/>
    <n v="100.531111111111"/>
    <n v="3.7196511111111101E-2"/>
    <n v="100.531111111111"/>
    <n v="3.7196511111111101E-2"/>
    <m/>
  </r>
  <r>
    <s v="5747.1"/>
    <x v="1"/>
    <x v="1"/>
    <x v="0"/>
    <s v="20A"/>
    <s v="160"/>
    <s v="Dolichospermum circinale"/>
    <b v="1"/>
    <n v="10"/>
    <n v="22.4"/>
    <n v="43"/>
    <n v="4433.4219999999996"/>
    <n v="2.5520550400799999"/>
    <n v="4433.4219999999996"/>
    <n v="2.5520550400799999"/>
    <m/>
  </r>
  <r>
    <s v="5747.2"/>
    <x v="1"/>
    <x v="1"/>
    <x v="0"/>
    <s v="20A"/>
    <s v="160"/>
    <s v="Dolichospermum spiroides"/>
    <b v="1"/>
    <n v="10"/>
    <n v="29.7"/>
    <m/>
    <n v="933.05437500000005"/>
    <n v="0.2425941375"/>
    <n v="933.05437500000005"/>
    <n v="0.2425941375"/>
    <m/>
  </r>
  <r>
    <s v="5747.3"/>
    <x v="1"/>
    <x v="1"/>
    <x v="0"/>
    <s v="20A"/>
    <s v="160"/>
    <s v="Woronichinia naegeliana"/>
    <b v="1"/>
    <n v="10"/>
    <n v="172"/>
    <m/>
    <n v="540.35472222222199"/>
    <n v="0"/>
    <n v="540.35472222222199"/>
    <n v="0"/>
    <m/>
  </r>
  <r>
    <s v="5747.4"/>
    <x v="1"/>
    <x v="1"/>
    <x v="0"/>
    <s v="20A"/>
    <s v="160"/>
    <s v="Microcystis sp"/>
    <b v="1"/>
    <n v="10"/>
    <n v="40"/>
    <m/>
    <n v="125.66388888888901"/>
    <n v="9.0224877013038406E-3"/>
    <n v="125.66388888888901"/>
    <n v="9.0224877013038406E-3"/>
    <s v="Microcystis spp._x000a_"/>
  </r>
  <r>
    <s v="5747.5"/>
    <x v="1"/>
    <x v="1"/>
    <x v="0"/>
    <s v="20A"/>
    <s v="160"/>
    <s v="Dolichospermum lemmermannii"/>
    <b v="1"/>
    <n v="10"/>
    <n v="36"/>
    <m/>
    <n v="113.0975"/>
    <n v="1.2440725E-2"/>
    <n v="113.0975"/>
    <n v="1.2440725E-2"/>
    <m/>
  </r>
  <r>
    <s v="5748.1"/>
    <x v="2"/>
    <x v="2"/>
    <x v="0"/>
    <s v="20A"/>
    <s v="160"/>
    <s v="Dolichospermum circinale"/>
    <b v="1"/>
    <n v="10"/>
    <n v="26.2"/>
    <n v="56"/>
    <n v="6255.5483888888903"/>
    <n v="3.60094387458"/>
    <n v="6255.5483888888903"/>
    <n v="3.60094387458"/>
    <m/>
  </r>
  <r>
    <s v="5748.2"/>
    <x v="2"/>
    <x v="2"/>
    <x v="0"/>
    <s v="20A"/>
    <s v="160"/>
    <s v="Dolichospermum spiroides"/>
    <b v="1"/>
    <n v="10"/>
    <n v="38.6666666666667"/>
    <m/>
    <n v="364.42527777777798"/>
    <n v="9.4750572222222301E-2"/>
    <n v="364.42527777777798"/>
    <n v="9.4750572222222301E-2"/>
    <m/>
  </r>
  <r>
    <s v="5748.3"/>
    <x v="2"/>
    <x v="2"/>
    <x v="0"/>
    <s v="20A"/>
    <s v="160"/>
    <s v="Dolichospermum lemmermannii"/>
    <b v="1"/>
    <n v="10"/>
    <n v="53"/>
    <m/>
    <n v="832.52326388888901"/>
    <n v="9.1577559027777797E-2"/>
    <n v="832.52326388888901"/>
    <n v="9.1577559027777797E-2"/>
    <m/>
  </r>
  <r>
    <s v="5748.4"/>
    <x v="2"/>
    <x v="2"/>
    <x v="0"/>
    <s v="20A"/>
    <s v="160"/>
    <s v="Dolichospermum planctonicum "/>
    <b v="1"/>
    <n v="10"/>
    <n v="55"/>
    <m/>
    <n v="172.78784722222201"/>
    <n v="6.3931503472222095E-2"/>
    <n v="172.78784722222201"/>
    <n v="6.3931503472222095E-2"/>
    <m/>
  </r>
  <r>
    <s v="5748.5"/>
    <x v="2"/>
    <x v="2"/>
    <x v="0"/>
    <s v="20A"/>
    <s v="160"/>
    <s v="Dolichospermum flos-aquae_x000a_"/>
    <b v="1"/>
    <n v="10"/>
    <n v="10"/>
    <m/>
    <n v="31.415972222222202"/>
    <n v="1.75929444444444E-3"/>
    <n v="31.415972222222202"/>
    <n v="1.75929444444444E-3"/>
    <m/>
  </r>
  <r>
    <s v="5748.6"/>
    <x v="2"/>
    <x v="2"/>
    <x v="0"/>
    <s v="20A"/>
    <s v="160"/>
    <s v="Pseudanabaena galeata (cylinder)"/>
    <b v="1"/>
    <n v="10"/>
    <n v="3"/>
    <m/>
    <n v="9.4247916666666693"/>
    <n v="5.654875E-4"/>
    <n v="9.4247916666666605"/>
    <n v="5.654875E-4"/>
    <m/>
  </r>
  <r>
    <s v="5749.1"/>
    <x v="0"/>
    <x v="3"/>
    <x v="0"/>
    <s v="20A"/>
    <s v="160"/>
    <s v="Dolichospermum sp"/>
    <b v="1"/>
    <n v="10"/>
    <n v="11.25"/>
    <n v="9"/>
    <n v="1024.94609375"/>
    <n v="0.1947397578125"/>
    <n v="1024.94609375"/>
    <n v="0.1947397578125"/>
    <m/>
  </r>
  <r>
    <s v="5749.2"/>
    <x v="0"/>
    <x v="3"/>
    <x v="0"/>
    <s v="20A"/>
    <s v="160"/>
    <s v="Dolichospermum circinale"/>
    <b v="1"/>
    <n v="10"/>
    <n v="20"/>
    <n v="2"/>
    <n v="1382.30277777778"/>
    <n v="0.79570877100000104"/>
    <n v="1382.30277777778"/>
    <n v="0.79570877100000104"/>
    <m/>
  </r>
  <r>
    <s v="5749.3"/>
    <x v="0"/>
    <x v="3"/>
    <x v="0"/>
    <s v="20A"/>
    <s v="160"/>
    <s v="Dolichospermum planctonicum "/>
    <b v="1"/>
    <n v="10"/>
    <n v="22.875"/>
    <m/>
    <n v="574.91229166666699"/>
    <n v="0.212717547916667"/>
    <n v="574.91229166666699"/>
    <n v="0.212717547916667"/>
    <m/>
  </r>
  <r>
    <s v="5749.4"/>
    <x v="0"/>
    <x v="3"/>
    <x v="0"/>
    <s v="20A"/>
    <s v="160"/>
    <s v="Dolichospermum spiroides"/>
    <b v="1"/>
    <n v="10"/>
    <n v="23"/>
    <m/>
    <n v="505.79715277777802"/>
    <n v="0.13150725972222199"/>
    <n v="505.79715277777802"/>
    <n v="0.13150725972222199"/>
    <m/>
  </r>
  <r>
    <s v="5749.5"/>
    <x v="0"/>
    <x v="3"/>
    <x v="0"/>
    <s v="20A"/>
    <s v="160"/>
    <s v="Coelosphaerium cf natans"/>
    <b v="0"/>
    <n v="10"/>
    <n v="20"/>
    <m/>
    <n v="62.831944444444403"/>
    <n v="1.44513472222222E-4"/>
    <n v="0"/>
    <n v="0"/>
    <m/>
  </r>
  <r>
    <s v="5749.6"/>
    <x v="0"/>
    <x v="3"/>
    <x v="0"/>
    <s v="20A"/>
    <s v="160"/>
    <s v="Pseudanabaena sp."/>
    <b v="1"/>
    <n v="10"/>
    <n v="9"/>
    <m/>
    <n v="56.548749999999998"/>
    <n v="2.2054012499999999E-3"/>
    <n v="56.548749999999998"/>
    <n v="2.2054012499999999E-3"/>
    <m/>
  </r>
  <r>
    <s v="5750.1"/>
    <x v="2"/>
    <x v="4"/>
    <x v="0"/>
    <s v="20A"/>
    <s v="160"/>
    <s v="Dolichospermum circinale"/>
    <b v="1"/>
    <n v="10"/>
    <n v="29.8"/>
    <n v="89"/>
    <n v="10204.536097222201"/>
    <n v="5.8741391590049901"/>
    <n v="10204.536097222201"/>
    <n v="5.8741391590049901"/>
    <m/>
  </r>
  <r>
    <s v="5750.2"/>
    <x v="2"/>
    <x v="4"/>
    <x v="0"/>
    <s v="20A"/>
    <s v="160"/>
    <s v="Dolichospermum sp"/>
    <b v="1"/>
    <n v="10"/>
    <n v="30.785714285714299"/>
    <m/>
    <n v="1354.02840277778"/>
    <n v="0.25726539652777802"/>
    <n v="1354.02840277778"/>
    <n v="0.25726539652777802"/>
    <m/>
  </r>
  <r>
    <s v="5750.3"/>
    <x v="2"/>
    <x v="4"/>
    <x v="0"/>
    <s v="20A"/>
    <s v="160"/>
    <s v="Dolichospermum spiroides"/>
    <b v="1"/>
    <n v="10"/>
    <n v="35.200000000000003"/>
    <m/>
    <n v="552.92111111111103"/>
    <n v="0.14375948888888901"/>
    <n v="552.92111111111103"/>
    <n v="0.14375948888888901"/>
    <m/>
  </r>
  <r>
    <s v="5750.4"/>
    <x v="2"/>
    <x v="4"/>
    <x v="0"/>
    <s v="20A"/>
    <s v="160"/>
    <s v="Pseudanabaena limnetica (cylinder)"/>
    <b v="1"/>
    <n v="10"/>
    <n v="17"/>
    <m/>
    <n v="106.814305555556"/>
    <n v="8.4383301388889203E-3"/>
    <n v="106.814305555556"/>
    <n v="8.4383301388889203E-3"/>
    <m/>
  </r>
  <r>
    <s v="5751.1"/>
    <x v="2"/>
    <x v="5"/>
    <x v="0"/>
    <s v="20A"/>
    <s v="160"/>
    <s v="Dolichospermum circinale"/>
    <b v="1"/>
    <n v="10"/>
    <n v="36.25"/>
    <n v="167"/>
    <n v="21296.1021701389"/>
    <n v="12.258888253218799"/>
    <n v="21296.1021701389"/>
    <n v="12.258888253218799"/>
    <m/>
  </r>
  <r>
    <s v="5751.2"/>
    <x v="2"/>
    <x v="5"/>
    <x v="0"/>
    <s v="20A"/>
    <s v="160"/>
    <s v="Dolichospermum sp"/>
    <b v="1"/>
    <n v="10"/>
    <n v="19.3"/>
    <m/>
    <n v="606.32826388888896"/>
    <n v="0.115202370138889"/>
    <n v="606.32826388888896"/>
    <n v="0.115202370138889"/>
    <m/>
  </r>
  <r>
    <s v="5751.3"/>
    <x v="2"/>
    <x v="5"/>
    <x v="0"/>
    <s v="20A"/>
    <s v="160"/>
    <s v="Dolichospermum spiroides"/>
    <b v="1"/>
    <n v="10"/>
    <n v="28.8"/>
    <m/>
    <n v="452.39"/>
    <n v="0.1176214"/>
    <n v="452.39"/>
    <n v="0.1176214"/>
    <m/>
  </r>
  <r>
    <s v="5751.4"/>
    <x v="2"/>
    <x v="5"/>
    <x v="0"/>
    <s v="20A"/>
    <s v="160"/>
    <s v="Dolichospermum planctonicum "/>
    <b v="1"/>
    <n v="10"/>
    <n v="19.2"/>
    <m/>
    <n v="301.59333333333302"/>
    <n v="0.111589533333333"/>
    <n v="301.59333333333302"/>
    <n v="0.111589533333333"/>
    <m/>
  </r>
  <r>
    <s v="5751.5"/>
    <x v="2"/>
    <x v="5"/>
    <x v="0"/>
    <s v="20A"/>
    <s v="160"/>
    <s v="Pseudanabaena limnetica (cylinder)"/>
    <b v="1"/>
    <n v="10"/>
    <n v="3"/>
    <m/>
    <n v="9.4247916666666693"/>
    <n v="7.4455854166666604E-4"/>
    <n v="9.4247916666666605"/>
    <n v="7.4455854166666604E-4"/>
    <m/>
  </r>
  <r>
    <s v="5752.1"/>
    <x v="2"/>
    <x v="6"/>
    <x v="0"/>
    <s v="20A"/>
    <s v="160"/>
    <s v="Dolichospermum circinale"/>
    <b v="1"/>
    <n v="10"/>
    <n v="36.133333333333297"/>
    <m/>
    <n v="1702.74569444444"/>
    <n v="0.98016853154999695"/>
    <n v="1702.74569444444"/>
    <n v="0.98016853154999695"/>
    <m/>
  </r>
  <r>
    <s v="5752.2"/>
    <x v="2"/>
    <x v="6"/>
    <x v="0"/>
    <s v="20A"/>
    <s v="160"/>
    <s v="Pseudanabaena limnetica (cylinder)"/>
    <b v="1"/>
    <n v="10"/>
    <n v="8.8571428571428594"/>
    <m/>
    <n v="194.779027777778"/>
    <n v="1.53875431944445E-2"/>
    <n v="194.779027777778"/>
    <n v="1.53875431944445E-2"/>
    <m/>
  </r>
  <r>
    <s v="5752.3"/>
    <x v="2"/>
    <x v="6"/>
    <x v="0"/>
    <s v="20A"/>
    <s v="160"/>
    <s v="Dolichospermum planctonicum "/>
    <b v="1"/>
    <n v="10"/>
    <n v="28"/>
    <m/>
    <n v="87.964722222222207"/>
    <n v="3.2546947222222199E-2"/>
    <n v="87.964722222222207"/>
    <n v="3.2546947222222199E-2"/>
    <m/>
  </r>
  <r>
    <s v="5752.4"/>
    <x v="2"/>
    <x v="6"/>
    <x v="0"/>
    <s v="20A"/>
    <s v="160"/>
    <s v="Pseudanabaena galeata (cylinder)"/>
    <b v="1"/>
    <n v="10"/>
    <n v="9"/>
    <m/>
    <n v="113.0975"/>
    <n v="6.7858500000000004E-3"/>
    <n v="113.0975"/>
    <n v="6.7858500000000004E-3"/>
    <m/>
  </r>
  <r>
    <s v="5752.5"/>
    <x v="2"/>
    <x v="6"/>
    <x v="0"/>
    <s v="20A"/>
    <s v="160"/>
    <s v="Dolichospermum lemmermannii"/>
    <b v="1"/>
    <n v="10"/>
    <n v="33.625"/>
    <m/>
    <n v="845.08965277777804"/>
    <n v="9.2959861805555599E-2"/>
    <n v="845.08965277777804"/>
    <n v="9.2959861805555599E-2"/>
    <m/>
  </r>
  <r>
    <s v="5752.6"/>
    <x v="2"/>
    <x v="6"/>
    <x v="0"/>
    <s v="20A"/>
    <s v="160"/>
    <s v="Dolichospermum spiroides"/>
    <b v="1"/>
    <n v="10"/>
    <n v="39.3333333333333"/>
    <m/>
    <n v="370.70847222222199"/>
    <n v="9.6384202777777706E-2"/>
    <n v="370.70847222222199"/>
    <n v="9.6384202777777706E-2"/>
    <m/>
  </r>
  <r>
    <s v="5753.1"/>
    <x v="3"/>
    <x v="7"/>
    <x v="0"/>
    <s v="20A"/>
    <s v="15"/>
    <s v="Dolichospermum circinale"/>
    <b v="1"/>
    <n v="10"/>
    <n v="21.7"/>
    <n v="72"/>
    <n v="66900.103407407398"/>
    <n v="38.510375525439997"/>
    <n v="66900.103407407398"/>
    <n v="38.510375525439997"/>
    <m/>
  </r>
  <r>
    <s v="5753.2"/>
    <x v="3"/>
    <x v="7"/>
    <x v="0"/>
    <s v="20A"/>
    <s v="15"/>
    <s v="Dolichospermum sp"/>
    <b v="1"/>
    <n v="10"/>
    <n v="14"/>
    <m/>
    <n v="938.29037037037006"/>
    <n v="0.17827517037037"/>
    <n v="938.29037037037006"/>
    <n v="0.17827517037037"/>
    <m/>
  </r>
  <r>
    <s v="5753.3"/>
    <x v="3"/>
    <x v="7"/>
    <x v="0"/>
    <s v="20A"/>
    <s v="15"/>
    <s v="Dolichospermum planctonicum "/>
    <b v="1"/>
    <n v="10"/>
    <n v="58"/>
    <m/>
    <n v="5830.8044444444404"/>
    <n v="2.15739764444444"/>
    <n v="5830.8044444444404"/>
    <n v="2.15739764444444"/>
    <m/>
  </r>
  <r>
    <s v="5753.4"/>
    <x v="3"/>
    <x v="7"/>
    <x v="0"/>
    <s v="20A"/>
    <s v="15"/>
    <s v="Dolichospermum spiroides"/>
    <b v="1"/>
    <n v="10"/>
    <n v="29.5"/>
    <m/>
    <n v="1977.1118518518499"/>
    <n v="0.51404908148148099"/>
    <n v="1977.1118518518499"/>
    <n v="0.51404908148148099"/>
    <m/>
  </r>
  <r>
    <s v="5753.5"/>
    <x v="3"/>
    <x v="7"/>
    <x v="0"/>
    <s v="20A"/>
    <s v="15"/>
    <s v="Woronichinia naegeliana"/>
    <b v="1"/>
    <n v="10"/>
    <n v="340"/>
    <m/>
    <n v="11393.5259259259"/>
    <n v="0"/>
    <n v="11393.5259259259"/>
    <n v="0"/>
    <m/>
  </r>
  <r>
    <s v="5754.1"/>
    <x v="4"/>
    <x v="8"/>
    <x v="0"/>
    <s v="20A"/>
    <s v="160"/>
    <s v="Dolichospermum lemmermannii"/>
    <b v="1"/>
    <n v="10"/>
    <n v="12.75"/>
    <n v="53"/>
    <n v="2924.0416145833301"/>
    <n v="0.32164457760416598"/>
    <n v="2924.0416145833301"/>
    <n v="0.32164457760416598"/>
    <m/>
  </r>
  <r>
    <s v="5754.2"/>
    <x v="4"/>
    <x v="8"/>
    <x v="0"/>
    <s v="20A"/>
    <s v="160"/>
    <s v="Dolichospermum flos-aquae_x000a_"/>
    <b v="1"/>
    <n v="10"/>
    <n v="28"/>
    <m/>
    <n v="175.92944444444399"/>
    <n v="9.8520488888888605E-3"/>
    <n v="175.92944444444399"/>
    <n v="9.8520488888888605E-3"/>
    <m/>
  </r>
  <r>
    <s v="5754.3"/>
    <x v="4"/>
    <x v="8"/>
    <x v="0"/>
    <s v="20A"/>
    <s v="160"/>
    <s v="Dolichospermum planctonicum "/>
    <b v="1"/>
    <n v="10"/>
    <n v="13"/>
    <m/>
    <n v="81.681527777777802"/>
    <n v="3.02221652777778E-2"/>
    <n v="81.681527777777802"/>
    <n v="3.02221652777778E-2"/>
    <m/>
  </r>
  <r>
    <s v="5754.4"/>
    <x v="4"/>
    <x v="8"/>
    <x v="0"/>
    <s v="20A"/>
    <s v="160"/>
    <s v="Pseudanabaena limnetica (cylinder)"/>
    <b v="1"/>
    <n v="10"/>
    <n v="6"/>
    <m/>
    <n v="37.699166666666699"/>
    <n v="2.9782341666666698E-3"/>
    <n v="37.699166666666699"/>
    <n v="2.9782341666666698E-3"/>
    <m/>
  </r>
  <r>
    <s v="5755.1"/>
    <x v="4"/>
    <x v="9"/>
    <x v="0"/>
    <s v="20A"/>
    <s v="160"/>
    <s v="Dolichospermum sp"/>
    <b v="1"/>
    <n v="10"/>
    <n v="11.8"/>
    <n v="5"/>
    <n v="926.77118055555502"/>
    <n v="0.17608652430555599"/>
    <n v="926.77118055555604"/>
    <n v="0.17608652430555599"/>
    <m/>
  </r>
  <r>
    <s v="5755.2"/>
    <x v="4"/>
    <x v="9"/>
    <x v="0"/>
    <s v="20A"/>
    <s v="160"/>
    <s v="Dolichospermum planctonicum "/>
    <b v="1"/>
    <n v="10"/>
    <n v="12"/>
    <m/>
    <n v="37.699166666666699"/>
    <n v="1.39486916666667E-2"/>
    <n v="37.699166666666699"/>
    <n v="1.39486916666667E-2"/>
    <m/>
  </r>
  <r>
    <s v="5755.3"/>
    <x v="4"/>
    <x v="9"/>
    <x v="0"/>
    <s v="20A"/>
    <s v="160"/>
    <s v="Microcystis aeruginosa"/>
    <b v="1"/>
    <n v="10"/>
    <n v="26"/>
    <m/>
    <n v="81.681527777777802"/>
    <n v="7.1062929166666698E-3"/>
    <n v="81.681527777777802"/>
    <n v="7.1062929166666698E-3"/>
    <s v="Microcystis spp._x000a_"/>
  </r>
  <r>
    <s v="5756.1"/>
    <x v="0"/>
    <x v="10"/>
    <x v="0"/>
    <s v="20A"/>
    <s v="Whole Plate"/>
    <s v="Oscillatoria sp"/>
    <b v="1"/>
    <n v="10"/>
    <n v="9"/>
    <m/>
    <n v="1.8"/>
    <n v="4.8681000000000002E-3"/>
    <n v="1.8"/>
    <n v="4.8681000000000002E-3"/>
    <m/>
  </r>
  <r>
    <s v="5756.2"/>
    <x v="0"/>
    <x v="10"/>
    <x v="0"/>
    <s v="20A"/>
    <s v="Whole Plate"/>
    <s v="Chroococcus dispersus"/>
    <b v="0"/>
    <n v="10"/>
    <n v="17"/>
    <m/>
    <n v="1.7"/>
    <n v="4.7599999999999998E-5"/>
    <n v="0"/>
    <n v="0"/>
    <m/>
  </r>
  <r>
    <s v="5756.3"/>
    <x v="0"/>
    <x v="10"/>
    <x v="0"/>
    <s v="20A"/>
    <s v="Whole Plate"/>
    <s v="Pseudanabaena galeata (cylinder)"/>
    <b v="1"/>
    <n v="10"/>
    <n v="9"/>
    <m/>
    <n v="7.2"/>
    <n v="4.3199999999999998E-4"/>
    <n v="7.2"/>
    <n v="4.3199999999999998E-4"/>
    <m/>
  </r>
  <r>
    <s v="5756.4"/>
    <x v="0"/>
    <x v="10"/>
    <x v="0"/>
    <s v="20A"/>
    <s v="Whole Plate"/>
    <s v="Dolichospermum lemmermannii"/>
    <b v="1"/>
    <n v="10"/>
    <n v="16.266666666666701"/>
    <m/>
    <n v="24.4"/>
    <n v="2.6840000000000002E-3"/>
    <n v="24.4"/>
    <n v="2.6840000000000002E-3"/>
    <m/>
  </r>
  <r>
    <s v="5756.5"/>
    <x v="0"/>
    <x v="10"/>
    <x v="0"/>
    <s v="20A"/>
    <s v="Whole Plate"/>
    <s v="Pseudanabaena limnetica (cylinder)"/>
    <b v="1"/>
    <n v="10"/>
    <n v="7.4"/>
    <m/>
    <n v="3.7"/>
    <n v="2.923E-4"/>
    <n v="3.7"/>
    <n v="2.923E-4"/>
    <m/>
  </r>
  <r>
    <s v="5756.6"/>
    <x v="0"/>
    <x v="10"/>
    <x v="0"/>
    <s v="20A"/>
    <s v="Whole Plate"/>
    <s v="Dolichospermum planctonicum "/>
    <b v="1"/>
    <n v="10"/>
    <n v="12.5"/>
    <m/>
    <n v="2.5"/>
    <n v="9.2500000000000004E-4"/>
    <n v="2.5"/>
    <n v="9.2500000000000004E-4"/>
    <m/>
  </r>
  <r>
    <s v="5757.1"/>
    <x v="0"/>
    <x v="11"/>
    <x v="0"/>
    <s v="20A"/>
    <s v="Whole Plate"/>
    <s v="Dolichospermum sp"/>
    <b v="1"/>
    <n v="10"/>
    <n v="19.100000000000001"/>
    <n v="18"/>
    <n v="72.58"/>
    <n v="1.3790200000000001E-2"/>
    <n v="72.58"/>
    <n v="1.3790200000000001E-2"/>
    <m/>
  </r>
  <r>
    <s v="5757.2"/>
    <x v="0"/>
    <x v="11"/>
    <x v="0"/>
    <s v="20A"/>
    <s v="Whole Plate"/>
    <s v="Microcystis sp"/>
    <b v="1"/>
    <n v="10"/>
    <n v="27"/>
    <m/>
    <n v="5.4"/>
    <n v="3.8771228566800001E-4"/>
    <n v="5.4"/>
    <n v="3.8771228566800001E-4"/>
    <s v="Microcystis spp._x000a_"/>
  </r>
  <r>
    <s v="5757.3"/>
    <x v="0"/>
    <x v="11"/>
    <x v="0"/>
    <s v="20A"/>
    <s v="Whole Plate"/>
    <s v="Oscillatoria sp"/>
    <b v="1"/>
    <n v="10"/>
    <n v="24"/>
    <m/>
    <n v="2.4"/>
    <n v="6.4907999999999997E-3"/>
    <n v="2.4"/>
    <n v="6.4907999999999997E-3"/>
    <m/>
  </r>
  <r>
    <s v="5757.4"/>
    <x v="0"/>
    <x v="11"/>
    <x v="0"/>
    <s v="20A"/>
    <s v="Whole Plate"/>
    <s v="Pseudanabaena sp."/>
    <b v="1"/>
    <n v="10"/>
    <n v="22"/>
    <m/>
    <n v="2.2000000000000002"/>
    <n v="8.5799999999999998E-5"/>
    <n v="2.2000000000000002"/>
    <n v="8.5799999999999998E-5"/>
    <m/>
  </r>
  <r>
    <s v="5758.1"/>
    <x v="0"/>
    <x v="12"/>
    <x v="0"/>
    <s v="20A"/>
    <s v="160"/>
    <s v="Dolichospermum sp"/>
    <b v="1"/>
    <n v="10"/>
    <n v="17.600000000000001"/>
    <m/>
    <n v="829.381666666667"/>
    <n v="0.15758251666666701"/>
    <n v="829.38166666666598"/>
    <n v="0.15758251666666701"/>
    <m/>
  </r>
  <r>
    <s v="5758.2"/>
    <x v="0"/>
    <x v="12"/>
    <x v="0"/>
    <s v="20A"/>
    <s v="160"/>
    <s v="Aphanocapsa sp"/>
    <b v="0"/>
    <n v="10"/>
    <n v="28"/>
    <m/>
    <n v="87.964722222222207"/>
    <n v="1.97920625E-4"/>
    <n v="0"/>
    <n v="0"/>
    <m/>
  </r>
  <r>
    <s v="5758.3"/>
    <x v="0"/>
    <x v="12"/>
    <x v="0"/>
    <s v="20A"/>
    <s v="160"/>
    <s v="Limnococcus limneticus_x000a_"/>
    <b v="0"/>
    <n v="10"/>
    <n v="38"/>
    <m/>
    <n v="119.380694444444"/>
    <n v="5.3721312499999799E-2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67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3"/>
    </i>
    <i r="1">
      <x v="10"/>
    </i>
    <i r="1">
      <x v="11"/>
    </i>
    <i r="1">
      <x v="12"/>
    </i>
    <i>
      <x v="1"/>
      <x v="1"/>
    </i>
    <i>
      <x v="2"/>
      <x v="2"/>
    </i>
    <i r="1">
      <x v="4"/>
    </i>
    <i r="1">
      <x v="5"/>
    </i>
    <i r="1">
      <x v="6"/>
    </i>
    <i>
      <x v="3"/>
      <x v="7"/>
    </i>
    <i>
      <x v="4"/>
      <x v="8"/>
    </i>
    <i r="1">
      <x v="9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formats count="14">
    <format dxfId="15">
      <pivotArea outline="0" fieldPosition="0"/>
    </format>
    <format dxfId="12">
      <pivotArea outline="0" fieldPosition="0">
        <references count="2">
          <reference field="1" count="1" selected="0">
            <x v="0"/>
          </reference>
          <reference field="2" count="1" selected="0">
            <x v="0"/>
          </reference>
        </references>
      </pivotArea>
    </format>
    <format dxfId="11">
      <pivotArea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0" selected="0"/>
        </references>
      </pivotArea>
    </format>
    <format dxfId="10">
      <pivotArea outline="0" fieldPosition="0">
        <references count="2">
          <reference field="1" count="1" selected="0">
            <x v="0"/>
          </reference>
          <reference field="2" count="1" selected="0">
            <x v="3"/>
          </reference>
        </references>
      </pivotArea>
    </format>
    <format dxfId="9">
      <pivotArea outline="0" fieldPosition="0">
        <references count="1">
          <reference field="1" count="1" selected="0">
            <x v="4"/>
          </reference>
        </references>
      </pivotArea>
    </format>
    <format dxfId="8">
      <pivotArea outline="0" fieldPosition="0">
        <references count="2">
          <reference field="1" count="1" selected="0">
            <x v="2"/>
          </reference>
          <reference field="2" count="1" selected="0">
            <x v="6"/>
          </reference>
        </references>
      </pivotArea>
    </format>
    <format dxfId="7">
      <pivotArea outline="0" fieldPosition="0">
        <references count="2">
          <reference field="1" count="1" selected="0">
            <x v="3"/>
          </reference>
          <reference field="2" count="1" selected="0">
            <x v="7"/>
          </reference>
        </references>
      </pivotArea>
    </format>
    <format dxfId="6">
      <pivotArea outline="0" fieldPosition="0">
        <references count="2">
          <reference field="1" count="1" selected="0">
            <x v="0"/>
          </reference>
          <reference field="2" count="3" selected="0">
            <x v="10"/>
            <x v="11"/>
            <x v="12"/>
          </reference>
        </references>
      </pivotArea>
    </format>
    <format dxfId="5">
      <pivotArea outline="0" fieldPosition="0">
        <references count="2">
          <reference field="1" count="1" selected="0">
            <x v="0"/>
          </reference>
          <reference field="2" count="3" selected="0">
            <x v="10"/>
            <x v="11"/>
            <x v="12"/>
          </reference>
        </references>
      </pivotArea>
    </format>
    <format dxfId="4">
      <pivotArea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0" selected="0"/>
        </references>
      </pivotArea>
    </format>
    <format dxfId="3">
      <pivotArea outline="0" fieldPosition="0">
        <references count="4">
          <reference field="4294967294" count="1" selected="0">
            <x v="0"/>
          </reference>
          <reference field="1" count="1" selected="0">
            <x v="2"/>
          </reference>
          <reference field="2" count="2" selected="0">
            <x v="2"/>
            <x v="4"/>
          </reference>
          <reference field="3" count="0" selected="0"/>
        </references>
      </pivotArea>
    </format>
    <format dxfId="2">
      <pivotArea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0" selected="0"/>
        </references>
      </pivotArea>
    </format>
    <format dxfId="1">
      <pivotArea outline="0" fieldPosition="0">
        <references count="4">
          <reference field="4294967294" count="1" selected="0">
            <x v="1"/>
          </reference>
          <reference field="1" count="1" selected="0">
            <x v="2"/>
          </reference>
          <reference field="2" count="2" selected="0">
            <x v="2"/>
            <x v="4"/>
          </reference>
          <reference field="3" count="0" selected="0"/>
        </references>
      </pivotArea>
    </format>
    <format dxfId="0">
      <pivotArea outline="0" fieldPosition="0">
        <references count="2">
          <reference field="1" count="1" selected="0">
            <x v="2"/>
          </reference>
          <reference field="2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CellsPermL" cacheId="6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1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3">
        <item x="0"/>
        <item x="1"/>
        <item x="2"/>
      </items>
    </pivotField>
    <pivotField name="Site" axis="axisRow" compact="0" outline="0" showAll="0" defaultSubtotal="0">
      <items count="3">
        <item x="0"/>
        <item x="1"/>
        <item x="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3">
    <i>
      <x/>
      <x/>
    </i>
    <i>
      <x v="1"/>
      <x v="1"/>
    </i>
    <i>
      <x v="2"/>
      <x v="2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formats count="1">
    <format dxfId="13">
      <pivotArea outline="0" fieldPosition="0"/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AlertWarning" cacheId="54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3"/>
    </i>
    <i r="1">
      <x v="10"/>
    </i>
    <i r="1">
      <x v="11"/>
    </i>
    <i r="1">
      <x v="12"/>
    </i>
    <i>
      <x v="1"/>
      <x v="1"/>
    </i>
    <i>
      <x v="2"/>
      <x v="2"/>
    </i>
    <i r="1">
      <x v="4"/>
    </i>
    <i r="1">
      <x v="5"/>
    </i>
    <i r="1">
      <x v="6"/>
    </i>
    <i>
      <x v="3"/>
      <x v="7"/>
    </i>
    <i>
      <x v="4"/>
      <x v="8"/>
    </i>
    <i r="1">
      <x v="9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63" totalsRowShown="0">
  <autoFilter ref="A1:P63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4" totalsRowShown="0">
  <autoFilter ref="A1:P4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32.17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2.089843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30.5</v>
      </c>
      <c r="K2">
        <v>24</v>
      </c>
      <c r="L2">
        <v>4216.0234722222203</v>
      </c>
      <c r="M2">
        <v>2.4269117515500001</v>
      </c>
      <c r="N2">
        <v>4216.0234722222203</v>
      </c>
      <c r="O2">
        <v>2.4269117515500001</v>
      </c>
    </row>
    <row r="3" spans="1:16" x14ac:dyDescent="0.3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38.8333333333333</v>
      </c>
      <c r="L3">
        <v>731.99215277777796</v>
      </c>
      <c r="M3">
        <v>0.19031795972222201</v>
      </c>
      <c r="N3">
        <v>731.99215277777796</v>
      </c>
      <c r="O3">
        <v>0.19031795972222201</v>
      </c>
    </row>
    <row r="4" spans="1:16" x14ac:dyDescent="0.35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0</v>
      </c>
      <c r="I4">
        <v>10</v>
      </c>
      <c r="J4">
        <v>55</v>
      </c>
      <c r="L4">
        <v>345.57569444444403</v>
      </c>
      <c r="M4">
        <v>3.4557569444444399E-5</v>
      </c>
      <c r="N4">
        <v>0</v>
      </c>
      <c r="O4">
        <v>0</v>
      </c>
    </row>
    <row r="5" spans="1:16" x14ac:dyDescent="0.35">
      <c r="A5" t="s">
        <v>27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28</v>
      </c>
      <c r="H5" t="b">
        <v>1</v>
      </c>
      <c r="I5">
        <v>10</v>
      </c>
      <c r="J5">
        <v>4</v>
      </c>
      <c r="L5">
        <v>12.5663888888889</v>
      </c>
      <c r="M5">
        <v>7.5398333333333398E-4</v>
      </c>
      <c r="N5">
        <v>12.5663888888889</v>
      </c>
      <c r="O5">
        <v>7.5398333333333398E-4</v>
      </c>
    </row>
    <row r="6" spans="1:16" x14ac:dyDescent="0.35">
      <c r="A6" t="s">
        <v>29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30</v>
      </c>
      <c r="H6" t="b">
        <v>1</v>
      </c>
      <c r="I6">
        <v>10</v>
      </c>
      <c r="J6">
        <v>32</v>
      </c>
      <c r="L6">
        <v>100.531111111111</v>
      </c>
      <c r="M6">
        <v>3.7196511111111101E-2</v>
      </c>
      <c r="N6">
        <v>100.531111111111</v>
      </c>
      <c r="O6">
        <v>3.7196511111111101E-2</v>
      </c>
    </row>
    <row r="7" spans="1:16" x14ac:dyDescent="0.35">
      <c r="A7" t="s">
        <v>31</v>
      </c>
      <c r="B7" t="s">
        <v>32</v>
      </c>
      <c r="C7" t="s">
        <v>33</v>
      </c>
      <c r="D7" t="s">
        <v>19</v>
      </c>
      <c r="E7" t="s">
        <v>20</v>
      </c>
      <c r="F7" t="s">
        <v>21</v>
      </c>
      <c r="G7" t="s">
        <v>22</v>
      </c>
      <c r="H7" t="b">
        <v>1</v>
      </c>
      <c r="I7">
        <v>10</v>
      </c>
      <c r="J7">
        <v>22.4</v>
      </c>
      <c r="K7">
        <v>43</v>
      </c>
      <c r="L7">
        <v>4433.4219999999996</v>
      </c>
      <c r="M7">
        <v>2.5520550400799999</v>
      </c>
      <c r="N7">
        <v>4433.4219999999996</v>
      </c>
      <c r="O7">
        <v>2.5520550400799999</v>
      </c>
    </row>
    <row r="8" spans="1:16" x14ac:dyDescent="0.35">
      <c r="A8" t="s">
        <v>34</v>
      </c>
      <c r="B8" t="s">
        <v>32</v>
      </c>
      <c r="C8" t="s">
        <v>33</v>
      </c>
      <c r="D8" t="s">
        <v>19</v>
      </c>
      <c r="E8" t="s">
        <v>20</v>
      </c>
      <c r="F8" t="s">
        <v>21</v>
      </c>
      <c r="G8" t="s">
        <v>24</v>
      </c>
      <c r="H8" t="b">
        <v>1</v>
      </c>
      <c r="I8">
        <v>10</v>
      </c>
      <c r="J8">
        <v>29.7</v>
      </c>
      <c r="L8">
        <v>933.05437500000005</v>
      </c>
      <c r="M8">
        <v>0.2425941375</v>
      </c>
      <c r="N8">
        <v>933.05437500000005</v>
      </c>
      <c r="O8">
        <v>0.2425941375</v>
      </c>
    </row>
    <row r="9" spans="1:16" x14ac:dyDescent="0.35">
      <c r="A9" t="s">
        <v>35</v>
      </c>
      <c r="B9" t="s">
        <v>32</v>
      </c>
      <c r="C9" t="s">
        <v>33</v>
      </c>
      <c r="D9" t="s">
        <v>19</v>
      </c>
      <c r="E9" t="s">
        <v>20</v>
      </c>
      <c r="F9" t="s">
        <v>21</v>
      </c>
      <c r="G9" t="s">
        <v>36</v>
      </c>
      <c r="H9" t="b">
        <v>1</v>
      </c>
      <c r="I9">
        <v>10</v>
      </c>
      <c r="J9">
        <v>172</v>
      </c>
      <c r="L9">
        <v>540.35472222222199</v>
      </c>
      <c r="M9">
        <v>0</v>
      </c>
      <c r="N9">
        <v>540.35472222222199</v>
      </c>
      <c r="O9">
        <v>0</v>
      </c>
    </row>
    <row r="10" spans="1:16" ht="29" x14ac:dyDescent="0.35">
      <c r="A10" t="s">
        <v>37</v>
      </c>
      <c r="B10" t="s">
        <v>32</v>
      </c>
      <c r="C10" t="s">
        <v>33</v>
      </c>
      <c r="D10" t="s">
        <v>19</v>
      </c>
      <c r="E10" t="s">
        <v>20</v>
      </c>
      <c r="F10" t="s">
        <v>21</v>
      </c>
      <c r="G10" t="s">
        <v>38</v>
      </c>
      <c r="H10" t="b">
        <v>1</v>
      </c>
      <c r="I10">
        <v>10</v>
      </c>
      <c r="J10">
        <v>40</v>
      </c>
      <c r="L10">
        <v>125.66388888888901</v>
      </c>
      <c r="M10">
        <v>9.0224877013038406E-3</v>
      </c>
      <c r="N10">
        <v>125.66388888888901</v>
      </c>
      <c r="O10">
        <v>9.0224877013038406E-3</v>
      </c>
      <c r="P10" s="1" t="s">
        <v>39</v>
      </c>
    </row>
    <row r="11" spans="1:16" x14ac:dyDescent="0.35">
      <c r="A11" t="s">
        <v>40</v>
      </c>
      <c r="B11" t="s">
        <v>32</v>
      </c>
      <c r="C11" t="s">
        <v>33</v>
      </c>
      <c r="D11" t="s">
        <v>19</v>
      </c>
      <c r="E11" t="s">
        <v>20</v>
      </c>
      <c r="F11" t="s">
        <v>21</v>
      </c>
      <c r="G11" t="s">
        <v>41</v>
      </c>
      <c r="H11" t="b">
        <v>1</v>
      </c>
      <c r="I11">
        <v>10</v>
      </c>
      <c r="J11">
        <v>36</v>
      </c>
      <c r="L11">
        <v>113.0975</v>
      </c>
      <c r="M11">
        <v>1.2440725E-2</v>
      </c>
      <c r="N11">
        <v>113.0975</v>
      </c>
      <c r="O11">
        <v>1.2440725E-2</v>
      </c>
    </row>
    <row r="12" spans="1:16" x14ac:dyDescent="0.35">
      <c r="A12" t="s">
        <v>42</v>
      </c>
      <c r="B12" t="s">
        <v>43</v>
      </c>
      <c r="C12" t="s">
        <v>44</v>
      </c>
      <c r="D12" t="s">
        <v>19</v>
      </c>
      <c r="E12" t="s">
        <v>20</v>
      </c>
      <c r="F12" t="s">
        <v>21</v>
      </c>
      <c r="G12" t="s">
        <v>22</v>
      </c>
      <c r="H12" t="b">
        <v>1</v>
      </c>
      <c r="I12">
        <v>10</v>
      </c>
      <c r="J12">
        <v>26.2</v>
      </c>
      <c r="K12">
        <v>56</v>
      </c>
      <c r="L12">
        <v>6255.5483888888903</v>
      </c>
      <c r="M12">
        <v>3.60094387458</v>
      </c>
      <c r="N12">
        <v>6255.5483888888903</v>
      </c>
      <c r="O12">
        <v>3.60094387458</v>
      </c>
    </row>
    <row r="13" spans="1:16" x14ac:dyDescent="0.35">
      <c r="A13" t="s">
        <v>45</v>
      </c>
      <c r="B13" t="s">
        <v>43</v>
      </c>
      <c r="C13" t="s">
        <v>44</v>
      </c>
      <c r="D13" t="s">
        <v>19</v>
      </c>
      <c r="E13" t="s">
        <v>20</v>
      </c>
      <c r="F13" t="s">
        <v>21</v>
      </c>
      <c r="G13" t="s">
        <v>24</v>
      </c>
      <c r="H13" t="b">
        <v>1</v>
      </c>
      <c r="I13">
        <v>10</v>
      </c>
      <c r="J13">
        <v>38.6666666666667</v>
      </c>
      <c r="L13">
        <v>364.42527777777798</v>
      </c>
      <c r="M13">
        <v>9.4750572222222301E-2</v>
      </c>
      <c r="N13">
        <v>364.42527777777798</v>
      </c>
      <c r="O13">
        <v>9.4750572222222301E-2</v>
      </c>
    </row>
    <row r="14" spans="1:16" x14ac:dyDescent="0.35">
      <c r="A14" t="s">
        <v>46</v>
      </c>
      <c r="B14" t="s">
        <v>43</v>
      </c>
      <c r="C14" t="s">
        <v>44</v>
      </c>
      <c r="D14" t="s">
        <v>19</v>
      </c>
      <c r="E14" t="s">
        <v>20</v>
      </c>
      <c r="F14" t="s">
        <v>21</v>
      </c>
      <c r="G14" t="s">
        <v>41</v>
      </c>
      <c r="H14" t="b">
        <v>1</v>
      </c>
      <c r="I14">
        <v>10</v>
      </c>
      <c r="J14">
        <v>53</v>
      </c>
      <c r="L14">
        <v>832.52326388888901</v>
      </c>
      <c r="M14">
        <v>9.1577559027777797E-2</v>
      </c>
      <c r="N14">
        <v>832.52326388888901</v>
      </c>
      <c r="O14">
        <v>9.1577559027777797E-2</v>
      </c>
    </row>
    <row r="15" spans="1:16" x14ac:dyDescent="0.35">
      <c r="A15" t="s">
        <v>47</v>
      </c>
      <c r="B15" t="s">
        <v>43</v>
      </c>
      <c r="C15" t="s">
        <v>44</v>
      </c>
      <c r="D15" t="s">
        <v>19</v>
      </c>
      <c r="E15" t="s">
        <v>20</v>
      </c>
      <c r="F15" t="s">
        <v>21</v>
      </c>
      <c r="G15" t="s">
        <v>30</v>
      </c>
      <c r="H15" t="b">
        <v>1</v>
      </c>
      <c r="I15">
        <v>10</v>
      </c>
      <c r="J15">
        <v>55</v>
      </c>
      <c r="L15">
        <v>172.78784722222201</v>
      </c>
      <c r="M15">
        <v>6.3931503472222095E-2</v>
      </c>
      <c r="N15">
        <v>172.78784722222201</v>
      </c>
      <c r="O15">
        <v>6.3931503472222095E-2</v>
      </c>
    </row>
    <row r="16" spans="1:16" ht="29" x14ac:dyDescent="0.35">
      <c r="A16" t="s">
        <v>48</v>
      </c>
      <c r="B16" t="s">
        <v>43</v>
      </c>
      <c r="C16" t="s">
        <v>44</v>
      </c>
      <c r="D16" t="s">
        <v>19</v>
      </c>
      <c r="E16" t="s">
        <v>20</v>
      </c>
      <c r="F16" t="s">
        <v>21</v>
      </c>
      <c r="G16" s="1" t="s">
        <v>49</v>
      </c>
      <c r="H16" t="b">
        <v>1</v>
      </c>
      <c r="I16">
        <v>10</v>
      </c>
      <c r="J16">
        <v>10</v>
      </c>
      <c r="L16">
        <v>31.415972222222202</v>
      </c>
      <c r="M16">
        <v>1.75929444444444E-3</v>
      </c>
      <c r="N16">
        <v>31.415972222222202</v>
      </c>
      <c r="O16">
        <v>1.75929444444444E-3</v>
      </c>
    </row>
    <row r="17" spans="1:15" x14ac:dyDescent="0.35">
      <c r="A17" t="s">
        <v>50</v>
      </c>
      <c r="B17" t="s">
        <v>43</v>
      </c>
      <c r="C17" t="s">
        <v>44</v>
      </c>
      <c r="D17" t="s">
        <v>19</v>
      </c>
      <c r="E17" t="s">
        <v>20</v>
      </c>
      <c r="F17" t="s">
        <v>21</v>
      </c>
      <c r="G17" t="s">
        <v>28</v>
      </c>
      <c r="H17" t="b">
        <v>1</v>
      </c>
      <c r="I17">
        <v>10</v>
      </c>
      <c r="J17">
        <v>3</v>
      </c>
      <c r="L17">
        <v>9.4247916666666693</v>
      </c>
      <c r="M17">
        <v>5.654875E-4</v>
      </c>
      <c r="N17">
        <v>9.4247916666666605</v>
      </c>
      <c r="O17">
        <v>5.654875E-4</v>
      </c>
    </row>
    <row r="18" spans="1:15" x14ac:dyDescent="0.35">
      <c r="A18" t="s">
        <v>51</v>
      </c>
      <c r="B18" t="s">
        <v>17</v>
      </c>
      <c r="C18" t="s">
        <v>52</v>
      </c>
      <c r="D18" t="s">
        <v>19</v>
      </c>
      <c r="E18" t="s">
        <v>20</v>
      </c>
      <c r="F18" t="s">
        <v>21</v>
      </c>
      <c r="G18" t="s">
        <v>53</v>
      </c>
      <c r="H18" t="b">
        <v>1</v>
      </c>
      <c r="I18">
        <v>10</v>
      </c>
      <c r="J18">
        <v>11.25</v>
      </c>
      <c r="K18">
        <v>9</v>
      </c>
      <c r="L18">
        <v>1024.94609375</v>
      </c>
      <c r="M18">
        <v>0.1947397578125</v>
      </c>
      <c r="N18">
        <v>1024.94609375</v>
      </c>
      <c r="O18">
        <v>0.1947397578125</v>
      </c>
    </row>
    <row r="19" spans="1:15" x14ac:dyDescent="0.35">
      <c r="A19" t="s">
        <v>54</v>
      </c>
      <c r="B19" t="s">
        <v>17</v>
      </c>
      <c r="C19" t="s">
        <v>52</v>
      </c>
      <c r="D19" t="s">
        <v>19</v>
      </c>
      <c r="E19" t="s">
        <v>20</v>
      </c>
      <c r="F19" t="s">
        <v>21</v>
      </c>
      <c r="G19" t="s">
        <v>22</v>
      </c>
      <c r="H19" t="b">
        <v>1</v>
      </c>
      <c r="I19">
        <v>10</v>
      </c>
      <c r="J19">
        <v>20</v>
      </c>
      <c r="K19">
        <v>2</v>
      </c>
      <c r="L19">
        <v>1382.30277777778</v>
      </c>
      <c r="M19">
        <v>0.79570877100000104</v>
      </c>
      <c r="N19">
        <v>1382.30277777778</v>
      </c>
      <c r="O19">
        <v>0.79570877100000104</v>
      </c>
    </row>
    <row r="20" spans="1:15" x14ac:dyDescent="0.35">
      <c r="A20" t="s">
        <v>55</v>
      </c>
      <c r="B20" t="s">
        <v>17</v>
      </c>
      <c r="C20" t="s">
        <v>52</v>
      </c>
      <c r="D20" t="s">
        <v>19</v>
      </c>
      <c r="E20" t="s">
        <v>20</v>
      </c>
      <c r="F20" t="s">
        <v>21</v>
      </c>
      <c r="G20" t="s">
        <v>30</v>
      </c>
      <c r="H20" t="b">
        <v>1</v>
      </c>
      <c r="I20">
        <v>10</v>
      </c>
      <c r="J20">
        <v>22.875</v>
      </c>
      <c r="L20">
        <v>574.91229166666699</v>
      </c>
      <c r="M20">
        <v>0.212717547916667</v>
      </c>
      <c r="N20">
        <v>574.91229166666699</v>
      </c>
      <c r="O20">
        <v>0.212717547916667</v>
      </c>
    </row>
    <row r="21" spans="1:15" x14ac:dyDescent="0.35">
      <c r="A21" t="s">
        <v>56</v>
      </c>
      <c r="B21" t="s">
        <v>17</v>
      </c>
      <c r="C21" t="s">
        <v>52</v>
      </c>
      <c r="D21" t="s">
        <v>19</v>
      </c>
      <c r="E21" t="s">
        <v>20</v>
      </c>
      <c r="F21" t="s">
        <v>21</v>
      </c>
      <c r="G21" t="s">
        <v>24</v>
      </c>
      <c r="H21" t="b">
        <v>1</v>
      </c>
      <c r="I21">
        <v>10</v>
      </c>
      <c r="J21">
        <v>23</v>
      </c>
      <c r="L21">
        <v>505.79715277777802</v>
      </c>
      <c r="M21">
        <v>0.13150725972222199</v>
      </c>
      <c r="N21">
        <v>505.79715277777802</v>
      </c>
      <c r="O21">
        <v>0.13150725972222199</v>
      </c>
    </row>
    <row r="22" spans="1:15" x14ac:dyDescent="0.35">
      <c r="A22" t="s">
        <v>57</v>
      </c>
      <c r="B22" t="s">
        <v>17</v>
      </c>
      <c r="C22" t="s">
        <v>52</v>
      </c>
      <c r="D22" t="s">
        <v>19</v>
      </c>
      <c r="E22" t="s">
        <v>20</v>
      </c>
      <c r="F22" t="s">
        <v>21</v>
      </c>
      <c r="G22" t="s">
        <v>58</v>
      </c>
      <c r="H22" t="b">
        <v>0</v>
      </c>
      <c r="I22">
        <v>10</v>
      </c>
      <c r="J22">
        <v>20</v>
      </c>
      <c r="L22">
        <v>62.831944444444403</v>
      </c>
      <c r="M22">
        <v>1.44513472222222E-4</v>
      </c>
      <c r="N22">
        <v>0</v>
      </c>
      <c r="O22">
        <v>0</v>
      </c>
    </row>
    <row r="23" spans="1:15" x14ac:dyDescent="0.35">
      <c r="A23" t="s">
        <v>59</v>
      </c>
      <c r="B23" t="s">
        <v>17</v>
      </c>
      <c r="C23" t="s">
        <v>52</v>
      </c>
      <c r="D23" t="s">
        <v>19</v>
      </c>
      <c r="E23" t="s">
        <v>20</v>
      </c>
      <c r="F23" t="s">
        <v>21</v>
      </c>
      <c r="G23" t="s">
        <v>60</v>
      </c>
      <c r="H23" t="b">
        <v>1</v>
      </c>
      <c r="I23">
        <v>10</v>
      </c>
      <c r="J23">
        <v>9</v>
      </c>
      <c r="L23">
        <v>56.548749999999998</v>
      </c>
      <c r="M23">
        <v>2.2054012499999999E-3</v>
      </c>
      <c r="N23">
        <v>56.548749999999998</v>
      </c>
      <c r="O23">
        <v>2.2054012499999999E-3</v>
      </c>
    </row>
    <row r="24" spans="1:15" x14ac:dyDescent="0.35">
      <c r="A24" t="s">
        <v>61</v>
      </c>
      <c r="B24" t="s">
        <v>43</v>
      </c>
      <c r="C24" t="s">
        <v>62</v>
      </c>
      <c r="D24" t="s">
        <v>19</v>
      </c>
      <c r="E24" t="s">
        <v>20</v>
      </c>
      <c r="F24" t="s">
        <v>21</v>
      </c>
      <c r="G24" t="s">
        <v>22</v>
      </c>
      <c r="H24" t="b">
        <v>1</v>
      </c>
      <c r="I24">
        <v>10</v>
      </c>
      <c r="J24">
        <v>29.8</v>
      </c>
      <c r="K24">
        <v>89</v>
      </c>
      <c r="L24">
        <v>10204.536097222201</v>
      </c>
      <c r="M24">
        <v>5.8741391590049901</v>
      </c>
      <c r="N24">
        <v>10204.536097222201</v>
      </c>
      <c r="O24">
        <v>5.8741391590049901</v>
      </c>
    </row>
    <row r="25" spans="1:15" x14ac:dyDescent="0.35">
      <c r="A25" t="s">
        <v>63</v>
      </c>
      <c r="B25" t="s">
        <v>43</v>
      </c>
      <c r="C25" t="s">
        <v>62</v>
      </c>
      <c r="D25" t="s">
        <v>19</v>
      </c>
      <c r="E25" t="s">
        <v>20</v>
      </c>
      <c r="F25" t="s">
        <v>21</v>
      </c>
      <c r="G25" t="s">
        <v>53</v>
      </c>
      <c r="H25" t="b">
        <v>1</v>
      </c>
      <c r="I25">
        <v>10</v>
      </c>
      <c r="J25">
        <v>30.785714285714299</v>
      </c>
      <c r="L25">
        <v>1354.02840277778</v>
      </c>
      <c r="M25">
        <v>0.25726539652777802</v>
      </c>
      <c r="N25">
        <v>1354.02840277778</v>
      </c>
      <c r="O25">
        <v>0.25726539652777802</v>
      </c>
    </row>
    <row r="26" spans="1:15" x14ac:dyDescent="0.35">
      <c r="A26" t="s">
        <v>64</v>
      </c>
      <c r="B26" t="s">
        <v>43</v>
      </c>
      <c r="C26" t="s">
        <v>62</v>
      </c>
      <c r="D26" t="s">
        <v>19</v>
      </c>
      <c r="E26" t="s">
        <v>20</v>
      </c>
      <c r="F26" t="s">
        <v>21</v>
      </c>
      <c r="G26" t="s">
        <v>24</v>
      </c>
      <c r="H26" t="b">
        <v>1</v>
      </c>
      <c r="I26">
        <v>10</v>
      </c>
      <c r="J26">
        <v>35.200000000000003</v>
      </c>
      <c r="L26">
        <v>552.92111111111103</v>
      </c>
      <c r="M26">
        <v>0.14375948888888901</v>
      </c>
      <c r="N26">
        <v>552.92111111111103</v>
      </c>
      <c r="O26">
        <v>0.14375948888888901</v>
      </c>
    </row>
    <row r="27" spans="1:15" x14ac:dyDescent="0.35">
      <c r="A27" t="s">
        <v>65</v>
      </c>
      <c r="B27" t="s">
        <v>43</v>
      </c>
      <c r="C27" t="s">
        <v>62</v>
      </c>
      <c r="D27" t="s">
        <v>19</v>
      </c>
      <c r="E27" t="s">
        <v>20</v>
      </c>
      <c r="F27" t="s">
        <v>21</v>
      </c>
      <c r="G27" t="s">
        <v>66</v>
      </c>
      <c r="H27" t="b">
        <v>1</v>
      </c>
      <c r="I27">
        <v>10</v>
      </c>
      <c r="J27">
        <v>17</v>
      </c>
      <c r="L27">
        <v>106.814305555556</v>
      </c>
      <c r="M27">
        <v>8.4383301388889203E-3</v>
      </c>
      <c r="N27">
        <v>106.814305555556</v>
      </c>
      <c r="O27">
        <v>8.4383301388889203E-3</v>
      </c>
    </row>
    <row r="28" spans="1:15" x14ac:dyDescent="0.35">
      <c r="A28" t="s">
        <v>67</v>
      </c>
      <c r="B28" t="s">
        <v>43</v>
      </c>
      <c r="C28" t="s">
        <v>68</v>
      </c>
      <c r="D28" t="s">
        <v>19</v>
      </c>
      <c r="E28" t="s">
        <v>20</v>
      </c>
      <c r="F28" t="s">
        <v>21</v>
      </c>
      <c r="G28" t="s">
        <v>22</v>
      </c>
      <c r="H28" t="b">
        <v>1</v>
      </c>
      <c r="I28">
        <v>10</v>
      </c>
      <c r="J28">
        <v>36.25</v>
      </c>
      <c r="K28">
        <v>167</v>
      </c>
      <c r="L28">
        <v>21296.1021701389</v>
      </c>
      <c r="M28">
        <v>12.258888253218799</v>
      </c>
      <c r="N28">
        <v>21296.1021701389</v>
      </c>
      <c r="O28">
        <v>12.258888253218799</v>
      </c>
    </row>
    <row r="29" spans="1:15" x14ac:dyDescent="0.35">
      <c r="A29" t="s">
        <v>69</v>
      </c>
      <c r="B29" t="s">
        <v>43</v>
      </c>
      <c r="C29" t="s">
        <v>68</v>
      </c>
      <c r="D29" t="s">
        <v>19</v>
      </c>
      <c r="E29" t="s">
        <v>20</v>
      </c>
      <c r="F29" t="s">
        <v>21</v>
      </c>
      <c r="G29" t="s">
        <v>53</v>
      </c>
      <c r="H29" t="b">
        <v>1</v>
      </c>
      <c r="I29">
        <v>10</v>
      </c>
      <c r="J29">
        <v>19.3</v>
      </c>
      <c r="L29">
        <v>606.32826388888896</v>
      </c>
      <c r="M29">
        <v>0.115202370138889</v>
      </c>
      <c r="N29">
        <v>606.32826388888896</v>
      </c>
      <c r="O29">
        <v>0.115202370138889</v>
      </c>
    </row>
    <row r="30" spans="1:15" x14ac:dyDescent="0.35">
      <c r="A30" t="s">
        <v>70</v>
      </c>
      <c r="B30" t="s">
        <v>43</v>
      </c>
      <c r="C30" t="s">
        <v>68</v>
      </c>
      <c r="D30" t="s">
        <v>19</v>
      </c>
      <c r="E30" t="s">
        <v>20</v>
      </c>
      <c r="F30" t="s">
        <v>21</v>
      </c>
      <c r="G30" t="s">
        <v>24</v>
      </c>
      <c r="H30" t="b">
        <v>1</v>
      </c>
      <c r="I30">
        <v>10</v>
      </c>
      <c r="J30">
        <v>28.8</v>
      </c>
      <c r="L30">
        <v>452.39</v>
      </c>
      <c r="M30">
        <v>0.1176214</v>
      </c>
      <c r="N30">
        <v>452.39</v>
      </c>
      <c r="O30">
        <v>0.1176214</v>
      </c>
    </row>
    <row r="31" spans="1:15" x14ac:dyDescent="0.35">
      <c r="A31" t="s">
        <v>71</v>
      </c>
      <c r="B31" t="s">
        <v>43</v>
      </c>
      <c r="C31" t="s">
        <v>68</v>
      </c>
      <c r="D31" t="s">
        <v>19</v>
      </c>
      <c r="E31" t="s">
        <v>20</v>
      </c>
      <c r="F31" t="s">
        <v>21</v>
      </c>
      <c r="G31" t="s">
        <v>30</v>
      </c>
      <c r="H31" t="b">
        <v>1</v>
      </c>
      <c r="I31">
        <v>10</v>
      </c>
      <c r="J31">
        <v>19.2</v>
      </c>
      <c r="L31">
        <v>301.59333333333302</v>
      </c>
      <c r="M31">
        <v>0.111589533333333</v>
      </c>
      <c r="N31">
        <v>301.59333333333302</v>
      </c>
      <c r="O31">
        <v>0.111589533333333</v>
      </c>
    </row>
    <row r="32" spans="1:15" x14ac:dyDescent="0.35">
      <c r="A32" t="s">
        <v>72</v>
      </c>
      <c r="B32" t="s">
        <v>43</v>
      </c>
      <c r="C32" t="s">
        <v>68</v>
      </c>
      <c r="D32" t="s">
        <v>19</v>
      </c>
      <c r="E32" t="s">
        <v>20</v>
      </c>
      <c r="F32" t="s">
        <v>21</v>
      </c>
      <c r="G32" t="s">
        <v>66</v>
      </c>
      <c r="H32" t="b">
        <v>1</v>
      </c>
      <c r="I32">
        <v>10</v>
      </c>
      <c r="J32">
        <v>3</v>
      </c>
      <c r="L32">
        <v>9.4247916666666693</v>
      </c>
      <c r="M32">
        <v>7.4455854166666604E-4</v>
      </c>
      <c r="N32">
        <v>9.4247916666666605</v>
      </c>
      <c r="O32">
        <v>7.4455854166666604E-4</v>
      </c>
    </row>
    <row r="33" spans="1:15" x14ac:dyDescent="0.35">
      <c r="A33" t="s">
        <v>73</v>
      </c>
      <c r="B33" t="s">
        <v>43</v>
      </c>
      <c r="C33" t="s">
        <v>74</v>
      </c>
      <c r="D33" t="s">
        <v>19</v>
      </c>
      <c r="E33" t="s">
        <v>20</v>
      </c>
      <c r="F33" t="s">
        <v>21</v>
      </c>
      <c r="G33" t="s">
        <v>22</v>
      </c>
      <c r="H33" t="b">
        <v>1</v>
      </c>
      <c r="I33">
        <v>10</v>
      </c>
      <c r="J33">
        <v>36.133333333333297</v>
      </c>
      <c r="L33">
        <v>1702.74569444444</v>
      </c>
      <c r="M33">
        <v>0.98016853154999695</v>
      </c>
      <c r="N33">
        <v>1702.74569444444</v>
      </c>
      <c r="O33">
        <v>0.98016853154999695</v>
      </c>
    </row>
    <row r="34" spans="1:15" x14ac:dyDescent="0.35">
      <c r="A34" t="s">
        <v>75</v>
      </c>
      <c r="B34" t="s">
        <v>43</v>
      </c>
      <c r="C34" t="s">
        <v>74</v>
      </c>
      <c r="D34" t="s">
        <v>19</v>
      </c>
      <c r="E34" t="s">
        <v>20</v>
      </c>
      <c r="F34" t="s">
        <v>21</v>
      </c>
      <c r="G34" t="s">
        <v>66</v>
      </c>
      <c r="H34" t="b">
        <v>1</v>
      </c>
      <c r="I34">
        <v>10</v>
      </c>
      <c r="J34">
        <v>8.8571428571428594</v>
      </c>
      <c r="L34">
        <v>194.779027777778</v>
      </c>
      <c r="M34">
        <v>1.53875431944445E-2</v>
      </c>
      <c r="N34">
        <v>194.779027777778</v>
      </c>
      <c r="O34">
        <v>1.53875431944445E-2</v>
      </c>
    </row>
    <row r="35" spans="1:15" x14ac:dyDescent="0.35">
      <c r="A35" t="s">
        <v>76</v>
      </c>
      <c r="B35" t="s">
        <v>43</v>
      </c>
      <c r="C35" t="s">
        <v>74</v>
      </c>
      <c r="D35" t="s">
        <v>19</v>
      </c>
      <c r="E35" t="s">
        <v>20</v>
      </c>
      <c r="F35" t="s">
        <v>21</v>
      </c>
      <c r="G35" t="s">
        <v>30</v>
      </c>
      <c r="H35" t="b">
        <v>1</v>
      </c>
      <c r="I35">
        <v>10</v>
      </c>
      <c r="J35">
        <v>28</v>
      </c>
      <c r="L35">
        <v>87.964722222222207</v>
      </c>
      <c r="M35">
        <v>3.2546947222222199E-2</v>
      </c>
      <c r="N35">
        <v>87.964722222222207</v>
      </c>
      <c r="O35">
        <v>3.2546947222222199E-2</v>
      </c>
    </row>
    <row r="36" spans="1:15" x14ac:dyDescent="0.35">
      <c r="A36" t="s">
        <v>77</v>
      </c>
      <c r="B36" t="s">
        <v>43</v>
      </c>
      <c r="C36" t="s">
        <v>74</v>
      </c>
      <c r="D36" t="s">
        <v>19</v>
      </c>
      <c r="E36" t="s">
        <v>20</v>
      </c>
      <c r="F36" t="s">
        <v>21</v>
      </c>
      <c r="G36" t="s">
        <v>28</v>
      </c>
      <c r="H36" t="b">
        <v>1</v>
      </c>
      <c r="I36">
        <v>10</v>
      </c>
      <c r="J36">
        <v>9</v>
      </c>
      <c r="L36">
        <v>113.0975</v>
      </c>
      <c r="M36">
        <v>6.7858500000000004E-3</v>
      </c>
      <c r="N36">
        <v>113.0975</v>
      </c>
      <c r="O36">
        <v>6.7858500000000004E-3</v>
      </c>
    </row>
    <row r="37" spans="1:15" x14ac:dyDescent="0.35">
      <c r="A37" t="s">
        <v>78</v>
      </c>
      <c r="B37" t="s">
        <v>43</v>
      </c>
      <c r="C37" t="s">
        <v>74</v>
      </c>
      <c r="D37" t="s">
        <v>19</v>
      </c>
      <c r="E37" t="s">
        <v>20</v>
      </c>
      <c r="F37" t="s">
        <v>21</v>
      </c>
      <c r="G37" t="s">
        <v>41</v>
      </c>
      <c r="H37" t="b">
        <v>1</v>
      </c>
      <c r="I37">
        <v>10</v>
      </c>
      <c r="J37">
        <v>33.625</v>
      </c>
      <c r="L37">
        <v>845.08965277777804</v>
      </c>
      <c r="M37">
        <v>9.2959861805555599E-2</v>
      </c>
      <c r="N37">
        <v>845.08965277777804</v>
      </c>
      <c r="O37">
        <v>9.2959861805555599E-2</v>
      </c>
    </row>
    <row r="38" spans="1:15" x14ac:dyDescent="0.35">
      <c r="A38" t="s">
        <v>79</v>
      </c>
      <c r="B38" t="s">
        <v>43</v>
      </c>
      <c r="C38" t="s">
        <v>74</v>
      </c>
      <c r="D38" t="s">
        <v>19</v>
      </c>
      <c r="E38" t="s">
        <v>20</v>
      </c>
      <c r="F38" t="s">
        <v>21</v>
      </c>
      <c r="G38" t="s">
        <v>24</v>
      </c>
      <c r="H38" t="b">
        <v>1</v>
      </c>
      <c r="I38">
        <v>10</v>
      </c>
      <c r="J38">
        <v>39.3333333333333</v>
      </c>
      <c r="L38">
        <v>370.70847222222199</v>
      </c>
      <c r="M38">
        <v>9.6384202777777706E-2</v>
      </c>
      <c r="N38">
        <v>370.70847222222199</v>
      </c>
      <c r="O38">
        <v>9.6384202777777706E-2</v>
      </c>
    </row>
    <row r="39" spans="1:15" x14ac:dyDescent="0.35">
      <c r="A39" t="s">
        <v>80</v>
      </c>
      <c r="B39" t="s">
        <v>81</v>
      </c>
      <c r="C39" t="s">
        <v>82</v>
      </c>
      <c r="D39" t="s">
        <v>19</v>
      </c>
      <c r="E39" t="s">
        <v>20</v>
      </c>
      <c r="F39" t="s">
        <v>83</v>
      </c>
      <c r="G39" t="s">
        <v>22</v>
      </c>
      <c r="H39" t="b">
        <v>1</v>
      </c>
      <c r="I39">
        <v>10</v>
      </c>
      <c r="J39">
        <v>21.7</v>
      </c>
      <c r="K39">
        <v>72</v>
      </c>
      <c r="L39">
        <v>66900.103407407398</v>
      </c>
      <c r="M39">
        <v>38.510375525439997</v>
      </c>
      <c r="N39">
        <v>66900.103407407398</v>
      </c>
      <c r="O39">
        <v>38.510375525439997</v>
      </c>
    </row>
    <row r="40" spans="1:15" x14ac:dyDescent="0.35">
      <c r="A40" t="s">
        <v>84</v>
      </c>
      <c r="B40" t="s">
        <v>81</v>
      </c>
      <c r="C40" t="s">
        <v>82</v>
      </c>
      <c r="D40" t="s">
        <v>19</v>
      </c>
      <c r="E40" t="s">
        <v>20</v>
      </c>
      <c r="F40" t="s">
        <v>83</v>
      </c>
      <c r="G40" t="s">
        <v>53</v>
      </c>
      <c r="H40" t="b">
        <v>1</v>
      </c>
      <c r="I40">
        <v>10</v>
      </c>
      <c r="J40">
        <v>14</v>
      </c>
      <c r="L40">
        <v>938.29037037037006</v>
      </c>
      <c r="M40">
        <v>0.17827517037037</v>
      </c>
      <c r="N40">
        <v>938.29037037037006</v>
      </c>
      <c r="O40">
        <v>0.17827517037037</v>
      </c>
    </row>
    <row r="41" spans="1:15" x14ac:dyDescent="0.35">
      <c r="A41" t="s">
        <v>85</v>
      </c>
      <c r="B41" t="s">
        <v>81</v>
      </c>
      <c r="C41" t="s">
        <v>82</v>
      </c>
      <c r="D41" t="s">
        <v>19</v>
      </c>
      <c r="E41" t="s">
        <v>20</v>
      </c>
      <c r="F41" t="s">
        <v>83</v>
      </c>
      <c r="G41" t="s">
        <v>30</v>
      </c>
      <c r="H41" t="b">
        <v>1</v>
      </c>
      <c r="I41">
        <v>10</v>
      </c>
      <c r="J41">
        <v>58</v>
      </c>
      <c r="L41">
        <v>5830.8044444444404</v>
      </c>
      <c r="M41">
        <v>2.15739764444444</v>
      </c>
      <c r="N41">
        <v>5830.8044444444404</v>
      </c>
      <c r="O41">
        <v>2.15739764444444</v>
      </c>
    </row>
    <row r="42" spans="1:15" x14ac:dyDescent="0.35">
      <c r="A42" t="s">
        <v>86</v>
      </c>
      <c r="B42" t="s">
        <v>81</v>
      </c>
      <c r="C42" t="s">
        <v>82</v>
      </c>
      <c r="D42" t="s">
        <v>19</v>
      </c>
      <c r="E42" t="s">
        <v>20</v>
      </c>
      <c r="F42" t="s">
        <v>83</v>
      </c>
      <c r="G42" t="s">
        <v>24</v>
      </c>
      <c r="H42" t="b">
        <v>1</v>
      </c>
      <c r="I42">
        <v>10</v>
      </c>
      <c r="J42">
        <v>29.5</v>
      </c>
      <c r="L42">
        <v>1977.1118518518499</v>
      </c>
      <c r="M42">
        <v>0.51404908148148099</v>
      </c>
      <c r="N42">
        <v>1977.1118518518499</v>
      </c>
      <c r="O42">
        <v>0.51404908148148099</v>
      </c>
    </row>
    <row r="43" spans="1:15" x14ac:dyDescent="0.35">
      <c r="A43" t="s">
        <v>87</v>
      </c>
      <c r="B43" t="s">
        <v>81</v>
      </c>
      <c r="C43" t="s">
        <v>82</v>
      </c>
      <c r="D43" t="s">
        <v>19</v>
      </c>
      <c r="E43" t="s">
        <v>20</v>
      </c>
      <c r="F43" t="s">
        <v>83</v>
      </c>
      <c r="G43" t="s">
        <v>36</v>
      </c>
      <c r="H43" t="b">
        <v>1</v>
      </c>
      <c r="I43">
        <v>10</v>
      </c>
      <c r="J43">
        <v>340</v>
      </c>
      <c r="L43">
        <v>11393.5259259259</v>
      </c>
      <c r="M43">
        <v>0</v>
      </c>
      <c r="N43">
        <v>11393.5259259259</v>
      </c>
      <c r="O43">
        <v>0</v>
      </c>
    </row>
    <row r="44" spans="1:15" x14ac:dyDescent="0.35">
      <c r="A44" t="s">
        <v>88</v>
      </c>
      <c r="B44" t="s">
        <v>89</v>
      </c>
      <c r="C44" t="s">
        <v>90</v>
      </c>
      <c r="D44" t="s">
        <v>19</v>
      </c>
      <c r="E44" t="s">
        <v>20</v>
      </c>
      <c r="F44" t="s">
        <v>21</v>
      </c>
      <c r="G44" t="s">
        <v>41</v>
      </c>
      <c r="H44" t="b">
        <v>1</v>
      </c>
      <c r="I44">
        <v>10</v>
      </c>
      <c r="J44">
        <v>12.75</v>
      </c>
      <c r="K44">
        <v>53</v>
      </c>
      <c r="L44">
        <v>2924.0416145833301</v>
      </c>
      <c r="M44">
        <v>0.32164457760416598</v>
      </c>
      <c r="N44">
        <v>2924.0416145833301</v>
      </c>
      <c r="O44">
        <v>0.32164457760416598</v>
      </c>
    </row>
    <row r="45" spans="1:15" ht="29" x14ac:dyDescent="0.35">
      <c r="A45" t="s">
        <v>91</v>
      </c>
      <c r="B45" t="s">
        <v>89</v>
      </c>
      <c r="C45" t="s">
        <v>90</v>
      </c>
      <c r="D45" t="s">
        <v>19</v>
      </c>
      <c r="E45" t="s">
        <v>20</v>
      </c>
      <c r="F45" t="s">
        <v>21</v>
      </c>
      <c r="G45" s="1" t="s">
        <v>49</v>
      </c>
      <c r="H45" t="b">
        <v>1</v>
      </c>
      <c r="I45">
        <v>10</v>
      </c>
      <c r="J45">
        <v>28</v>
      </c>
      <c r="L45">
        <v>175.92944444444399</v>
      </c>
      <c r="M45">
        <v>9.8520488888888605E-3</v>
      </c>
      <c r="N45">
        <v>175.92944444444399</v>
      </c>
      <c r="O45">
        <v>9.8520488888888605E-3</v>
      </c>
    </row>
    <row r="46" spans="1:15" x14ac:dyDescent="0.35">
      <c r="A46" t="s">
        <v>92</v>
      </c>
      <c r="B46" t="s">
        <v>89</v>
      </c>
      <c r="C46" t="s">
        <v>90</v>
      </c>
      <c r="D46" t="s">
        <v>19</v>
      </c>
      <c r="E46" t="s">
        <v>20</v>
      </c>
      <c r="F46" t="s">
        <v>21</v>
      </c>
      <c r="G46" t="s">
        <v>30</v>
      </c>
      <c r="H46" t="b">
        <v>1</v>
      </c>
      <c r="I46">
        <v>10</v>
      </c>
      <c r="J46">
        <v>13</v>
      </c>
      <c r="L46">
        <v>81.681527777777802</v>
      </c>
      <c r="M46">
        <v>3.02221652777778E-2</v>
      </c>
      <c r="N46">
        <v>81.681527777777802</v>
      </c>
      <c r="O46">
        <v>3.02221652777778E-2</v>
      </c>
    </row>
    <row r="47" spans="1:15" x14ac:dyDescent="0.35">
      <c r="A47" t="s">
        <v>93</v>
      </c>
      <c r="B47" t="s">
        <v>89</v>
      </c>
      <c r="C47" t="s">
        <v>90</v>
      </c>
      <c r="D47" t="s">
        <v>19</v>
      </c>
      <c r="E47" t="s">
        <v>20</v>
      </c>
      <c r="F47" t="s">
        <v>21</v>
      </c>
      <c r="G47" t="s">
        <v>66</v>
      </c>
      <c r="H47" t="b">
        <v>1</v>
      </c>
      <c r="I47">
        <v>10</v>
      </c>
      <c r="J47">
        <v>6</v>
      </c>
      <c r="L47">
        <v>37.699166666666699</v>
      </c>
      <c r="M47">
        <v>2.9782341666666698E-3</v>
      </c>
      <c r="N47">
        <v>37.699166666666699</v>
      </c>
      <c r="O47">
        <v>2.9782341666666698E-3</v>
      </c>
    </row>
    <row r="48" spans="1:15" x14ac:dyDescent="0.35">
      <c r="A48" t="s">
        <v>94</v>
      </c>
      <c r="B48" t="s">
        <v>89</v>
      </c>
      <c r="C48" t="s">
        <v>95</v>
      </c>
      <c r="D48" t="s">
        <v>19</v>
      </c>
      <c r="E48" t="s">
        <v>20</v>
      </c>
      <c r="F48" t="s">
        <v>21</v>
      </c>
      <c r="G48" t="s">
        <v>53</v>
      </c>
      <c r="H48" t="b">
        <v>1</v>
      </c>
      <c r="I48">
        <v>10</v>
      </c>
      <c r="J48">
        <v>11.8</v>
      </c>
      <c r="K48">
        <v>5</v>
      </c>
      <c r="L48">
        <v>926.77118055555502</v>
      </c>
      <c r="M48">
        <v>0.17608652430555599</v>
      </c>
      <c r="N48">
        <v>926.77118055555604</v>
      </c>
      <c r="O48">
        <v>0.17608652430555599</v>
      </c>
    </row>
    <row r="49" spans="1:16" x14ac:dyDescent="0.35">
      <c r="A49" t="s">
        <v>96</v>
      </c>
      <c r="B49" t="s">
        <v>89</v>
      </c>
      <c r="C49" t="s">
        <v>95</v>
      </c>
      <c r="D49" t="s">
        <v>19</v>
      </c>
      <c r="E49" t="s">
        <v>20</v>
      </c>
      <c r="F49" t="s">
        <v>21</v>
      </c>
      <c r="G49" t="s">
        <v>30</v>
      </c>
      <c r="H49" t="b">
        <v>1</v>
      </c>
      <c r="I49">
        <v>10</v>
      </c>
      <c r="J49">
        <v>12</v>
      </c>
      <c r="L49">
        <v>37.699166666666699</v>
      </c>
      <c r="M49">
        <v>1.39486916666667E-2</v>
      </c>
      <c r="N49">
        <v>37.699166666666699</v>
      </c>
      <c r="O49">
        <v>1.39486916666667E-2</v>
      </c>
    </row>
    <row r="50" spans="1:16" ht="29" x14ac:dyDescent="0.35">
      <c r="A50" t="s">
        <v>97</v>
      </c>
      <c r="B50" t="s">
        <v>89</v>
      </c>
      <c r="C50" t="s">
        <v>95</v>
      </c>
      <c r="D50" t="s">
        <v>19</v>
      </c>
      <c r="E50" t="s">
        <v>20</v>
      </c>
      <c r="F50" t="s">
        <v>21</v>
      </c>
      <c r="G50" t="s">
        <v>98</v>
      </c>
      <c r="H50" t="b">
        <v>1</v>
      </c>
      <c r="I50">
        <v>10</v>
      </c>
      <c r="J50">
        <v>26</v>
      </c>
      <c r="L50">
        <v>81.681527777777802</v>
      </c>
      <c r="M50">
        <v>7.1062929166666698E-3</v>
      </c>
      <c r="N50">
        <v>81.681527777777802</v>
      </c>
      <c r="O50">
        <v>7.1062929166666698E-3</v>
      </c>
      <c r="P50" s="1" t="s">
        <v>39</v>
      </c>
    </row>
    <row r="51" spans="1:16" x14ac:dyDescent="0.35">
      <c r="A51" t="s">
        <v>99</v>
      </c>
      <c r="B51" t="s">
        <v>17</v>
      </c>
      <c r="C51" t="s">
        <v>100</v>
      </c>
      <c r="D51" t="s">
        <v>19</v>
      </c>
      <c r="E51" t="s">
        <v>20</v>
      </c>
      <c r="F51" t="s">
        <v>101</v>
      </c>
      <c r="G51" t="s">
        <v>102</v>
      </c>
      <c r="H51" t="b">
        <v>1</v>
      </c>
      <c r="I51">
        <v>10</v>
      </c>
      <c r="J51">
        <v>9</v>
      </c>
      <c r="L51">
        <v>1.8</v>
      </c>
      <c r="M51">
        <v>4.8681000000000002E-3</v>
      </c>
      <c r="N51">
        <v>1.8</v>
      </c>
      <c r="O51">
        <v>4.8681000000000002E-3</v>
      </c>
    </row>
    <row r="52" spans="1:16" x14ac:dyDescent="0.35">
      <c r="A52" t="s">
        <v>103</v>
      </c>
      <c r="B52" t="s">
        <v>17</v>
      </c>
      <c r="C52" t="s">
        <v>100</v>
      </c>
      <c r="D52" t="s">
        <v>19</v>
      </c>
      <c r="E52" t="s">
        <v>20</v>
      </c>
      <c r="F52" t="s">
        <v>101</v>
      </c>
      <c r="G52" t="s">
        <v>104</v>
      </c>
      <c r="H52" t="b">
        <v>0</v>
      </c>
      <c r="I52">
        <v>10</v>
      </c>
      <c r="J52">
        <v>17</v>
      </c>
      <c r="L52">
        <v>1.7</v>
      </c>
      <c r="M52">
        <v>4.7599999999999998E-5</v>
      </c>
      <c r="N52">
        <v>0</v>
      </c>
      <c r="O52">
        <v>0</v>
      </c>
    </row>
    <row r="53" spans="1:16" x14ac:dyDescent="0.35">
      <c r="A53" t="s">
        <v>105</v>
      </c>
      <c r="B53" t="s">
        <v>17</v>
      </c>
      <c r="C53" t="s">
        <v>100</v>
      </c>
      <c r="D53" t="s">
        <v>19</v>
      </c>
      <c r="E53" t="s">
        <v>20</v>
      </c>
      <c r="F53" t="s">
        <v>101</v>
      </c>
      <c r="G53" t="s">
        <v>28</v>
      </c>
      <c r="H53" t="b">
        <v>1</v>
      </c>
      <c r="I53">
        <v>10</v>
      </c>
      <c r="J53">
        <v>9</v>
      </c>
      <c r="L53">
        <v>7.2</v>
      </c>
      <c r="M53">
        <v>4.3199999999999998E-4</v>
      </c>
      <c r="N53">
        <v>7.2</v>
      </c>
      <c r="O53">
        <v>4.3199999999999998E-4</v>
      </c>
    </row>
    <row r="54" spans="1:16" x14ac:dyDescent="0.35">
      <c r="A54" t="s">
        <v>106</v>
      </c>
      <c r="B54" t="s">
        <v>17</v>
      </c>
      <c r="C54" t="s">
        <v>100</v>
      </c>
      <c r="D54" t="s">
        <v>19</v>
      </c>
      <c r="E54" t="s">
        <v>20</v>
      </c>
      <c r="F54" t="s">
        <v>101</v>
      </c>
      <c r="G54" t="s">
        <v>41</v>
      </c>
      <c r="H54" t="b">
        <v>1</v>
      </c>
      <c r="I54">
        <v>10</v>
      </c>
      <c r="J54">
        <v>16.266666666666701</v>
      </c>
      <c r="L54">
        <v>24.4</v>
      </c>
      <c r="M54">
        <v>2.6840000000000002E-3</v>
      </c>
      <c r="N54">
        <v>24.4</v>
      </c>
      <c r="O54">
        <v>2.6840000000000002E-3</v>
      </c>
    </row>
    <row r="55" spans="1:16" x14ac:dyDescent="0.35">
      <c r="A55" t="s">
        <v>107</v>
      </c>
      <c r="B55" t="s">
        <v>17</v>
      </c>
      <c r="C55" t="s">
        <v>100</v>
      </c>
      <c r="D55" t="s">
        <v>19</v>
      </c>
      <c r="E55" t="s">
        <v>20</v>
      </c>
      <c r="F55" t="s">
        <v>101</v>
      </c>
      <c r="G55" t="s">
        <v>66</v>
      </c>
      <c r="H55" t="b">
        <v>1</v>
      </c>
      <c r="I55">
        <v>10</v>
      </c>
      <c r="J55">
        <v>7.4</v>
      </c>
      <c r="L55">
        <v>3.7</v>
      </c>
      <c r="M55">
        <v>2.923E-4</v>
      </c>
      <c r="N55">
        <v>3.7</v>
      </c>
      <c r="O55">
        <v>2.923E-4</v>
      </c>
    </row>
    <row r="56" spans="1:16" x14ac:dyDescent="0.35">
      <c r="A56" t="s">
        <v>108</v>
      </c>
      <c r="B56" t="s">
        <v>17</v>
      </c>
      <c r="C56" t="s">
        <v>100</v>
      </c>
      <c r="D56" t="s">
        <v>19</v>
      </c>
      <c r="E56" t="s">
        <v>20</v>
      </c>
      <c r="F56" t="s">
        <v>101</v>
      </c>
      <c r="G56" t="s">
        <v>30</v>
      </c>
      <c r="H56" t="b">
        <v>1</v>
      </c>
      <c r="I56">
        <v>10</v>
      </c>
      <c r="J56">
        <v>12.5</v>
      </c>
      <c r="L56">
        <v>2.5</v>
      </c>
      <c r="M56">
        <v>9.2500000000000004E-4</v>
      </c>
      <c r="N56">
        <v>2.5</v>
      </c>
      <c r="O56">
        <v>9.2500000000000004E-4</v>
      </c>
    </row>
    <row r="57" spans="1:16" x14ac:dyDescent="0.35">
      <c r="A57" t="s">
        <v>109</v>
      </c>
      <c r="B57" t="s">
        <v>17</v>
      </c>
      <c r="C57" t="s">
        <v>110</v>
      </c>
      <c r="D57" t="s">
        <v>19</v>
      </c>
      <c r="E57" t="s">
        <v>20</v>
      </c>
      <c r="F57" t="s">
        <v>101</v>
      </c>
      <c r="G57" t="s">
        <v>53</v>
      </c>
      <c r="H57" t="b">
        <v>1</v>
      </c>
      <c r="I57">
        <v>10</v>
      </c>
      <c r="J57">
        <v>19.100000000000001</v>
      </c>
      <c r="K57">
        <v>18</v>
      </c>
      <c r="L57">
        <v>72.58</v>
      </c>
      <c r="M57">
        <v>1.3790200000000001E-2</v>
      </c>
      <c r="N57">
        <v>72.58</v>
      </c>
      <c r="O57">
        <v>1.3790200000000001E-2</v>
      </c>
    </row>
    <row r="58" spans="1:16" ht="29" x14ac:dyDescent="0.35">
      <c r="A58" t="s">
        <v>111</v>
      </c>
      <c r="B58" t="s">
        <v>17</v>
      </c>
      <c r="C58" t="s">
        <v>110</v>
      </c>
      <c r="D58" t="s">
        <v>19</v>
      </c>
      <c r="E58" t="s">
        <v>20</v>
      </c>
      <c r="F58" t="s">
        <v>101</v>
      </c>
      <c r="G58" t="s">
        <v>38</v>
      </c>
      <c r="H58" t="b">
        <v>1</v>
      </c>
      <c r="I58">
        <v>10</v>
      </c>
      <c r="J58">
        <v>27</v>
      </c>
      <c r="L58">
        <v>5.4</v>
      </c>
      <c r="M58">
        <v>3.8771228566800001E-4</v>
      </c>
      <c r="N58">
        <v>5.4</v>
      </c>
      <c r="O58">
        <v>3.8771228566800001E-4</v>
      </c>
      <c r="P58" s="1" t="s">
        <v>39</v>
      </c>
    </row>
    <row r="59" spans="1:16" x14ac:dyDescent="0.35">
      <c r="A59" t="s">
        <v>112</v>
      </c>
      <c r="B59" t="s">
        <v>17</v>
      </c>
      <c r="C59" t="s">
        <v>110</v>
      </c>
      <c r="D59" t="s">
        <v>19</v>
      </c>
      <c r="E59" t="s">
        <v>20</v>
      </c>
      <c r="F59" t="s">
        <v>101</v>
      </c>
      <c r="G59" t="s">
        <v>102</v>
      </c>
      <c r="H59" t="b">
        <v>1</v>
      </c>
      <c r="I59">
        <v>10</v>
      </c>
      <c r="J59">
        <v>24</v>
      </c>
      <c r="L59">
        <v>2.4</v>
      </c>
      <c r="M59">
        <v>6.4907999999999997E-3</v>
      </c>
      <c r="N59">
        <v>2.4</v>
      </c>
      <c r="O59">
        <v>6.4907999999999997E-3</v>
      </c>
    </row>
    <row r="60" spans="1:16" x14ac:dyDescent="0.35">
      <c r="A60" t="s">
        <v>113</v>
      </c>
      <c r="B60" t="s">
        <v>17</v>
      </c>
      <c r="C60" t="s">
        <v>110</v>
      </c>
      <c r="D60" t="s">
        <v>19</v>
      </c>
      <c r="E60" t="s">
        <v>20</v>
      </c>
      <c r="F60" t="s">
        <v>101</v>
      </c>
      <c r="G60" t="s">
        <v>60</v>
      </c>
      <c r="H60" t="b">
        <v>1</v>
      </c>
      <c r="I60">
        <v>10</v>
      </c>
      <c r="J60">
        <v>22</v>
      </c>
      <c r="L60">
        <v>2.2000000000000002</v>
      </c>
      <c r="M60">
        <v>8.5799999999999998E-5</v>
      </c>
      <c r="N60">
        <v>2.2000000000000002</v>
      </c>
      <c r="O60">
        <v>8.5799999999999998E-5</v>
      </c>
    </row>
    <row r="61" spans="1:16" x14ac:dyDescent="0.35">
      <c r="A61" t="s">
        <v>114</v>
      </c>
      <c r="B61" t="s">
        <v>17</v>
      </c>
      <c r="C61" t="s">
        <v>115</v>
      </c>
      <c r="D61" t="s">
        <v>19</v>
      </c>
      <c r="E61" t="s">
        <v>20</v>
      </c>
      <c r="F61" t="s">
        <v>21</v>
      </c>
      <c r="G61" t="s">
        <v>53</v>
      </c>
      <c r="H61" t="b">
        <v>1</v>
      </c>
      <c r="I61">
        <v>10</v>
      </c>
      <c r="J61">
        <v>17.600000000000001</v>
      </c>
      <c r="L61">
        <v>829.381666666667</v>
      </c>
      <c r="M61">
        <v>0.15758251666666701</v>
      </c>
      <c r="N61">
        <v>829.38166666666598</v>
      </c>
      <c r="O61">
        <v>0.15758251666666701</v>
      </c>
    </row>
    <row r="62" spans="1:16" x14ac:dyDescent="0.35">
      <c r="A62" t="s">
        <v>116</v>
      </c>
      <c r="B62" t="s">
        <v>17</v>
      </c>
      <c r="C62" t="s">
        <v>115</v>
      </c>
      <c r="D62" t="s">
        <v>19</v>
      </c>
      <c r="E62" t="s">
        <v>20</v>
      </c>
      <c r="F62" t="s">
        <v>21</v>
      </c>
      <c r="G62" t="s">
        <v>117</v>
      </c>
      <c r="H62" t="b">
        <v>0</v>
      </c>
      <c r="I62">
        <v>10</v>
      </c>
      <c r="J62">
        <v>28</v>
      </c>
      <c r="L62">
        <v>87.964722222222207</v>
      </c>
      <c r="M62">
        <v>1.97920625E-4</v>
      </c>
      <c r="N62">
        <v>0</v>
      </c>
      <c r="O62">
        <v>0</v>
      </c>
    </row>
    <row r="63" spans="1:16" ht="29" x14ac:dyDescent="0.35">
      <c r="A63" t="s">
        <v>118</v>
      </c>
      <c r="B63" t="s">
        <v>17</v>
      </c>
      <c r="C63" t="s">
        <v>115</v>
      </c>
      <c r="D63" t="s">
        <v>19</v>
      </c>
      <c r="E63" t="s">
        <v>20</v>
      </c>
      <c r="F63" t="s">
        <v>21</v>
      </c>
      <c r="G63" s="1" t="s">
        <v>119</v>
      </c>
      <c r="H63" t="b">
        <v>0</v>
      </c>
      <c r="I63">
        <v>10</v>
      </c>
      <c r="J63">
        <v>38</v>
      </c>
      <c r="L63">
        <v>119.380694444444</v>
      </c>
      <c r="M63">
        <v>5.3721312499999799E-2</v>
      </c>
      <c r="N63">
        <v>0</v>
      </c>
      <c r="O63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2.08984375" customWidth="1"/>
    <col min="4" max="4" width="14.81640625" customWidth="1"/>
    <col min="5" max="5" width="18.6328125" customWidth="1"/>
    <col min="6" max="6" width="14.453125" customWidth="1"/>
    <col min="7" max="7" width="21.36328125" customWidth="1"/>
    <col min="8" max="8" width="16.6328125" customWidth="1"/>
    <col min="9" max="9" width="20.7265625" customWidth="1"/>
    <col min="10" max="10" width="11.5429687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37</v>
      </c>
      <c r="B2" t="s">
        <v>32</v>
      </c>
      <c r="C2" t="s">
        <v>33</v>
      </c>
      <c r="D2" t="s">
        <v>19</v>
      </c>
      <c r="E2" t="s">
        <v>20</v>
      </c>
      <c r="F2" t="s">
        <v>21</v>
      </c>
      <c r="G2" t="s">
        <v>38</v>
      </c>
      <c r="H2" t="b">
        <v>1</v>
      </c>
      <c r="I2">
        <v>10</v>
      </c>
      <c r="J2">
        <v>40</v>
      </c>
      <c r="L2">
        <v>125.66388888888901</v>
      </c>
      <c r="M2">
        <v>9.0224877013038406E-3</v>
      </c>
      <c r="N2">
        <v>125.66388888888901</v>
      </c>
      <c r="O2">
        <v>9.0224877013038406E-3</v>
      </c>
      <c r="P2" s="1" t="s">
        <v>39</v>
      </c>
    </row>
    <row r="3" spans="1:16" ht="29" x14ac:dyDescent="0.35">
      <c r="A3" t="s">
        <v>97</v>
      </c>
      <c r="B3" t="s">
        <v>89</v>
      </c>
      <c r="C3" t="s">
        <v>95</v>
      </c>
      <c r="D3" t="s">
        <v>19</v>
      </c>
      <c r="E3" t="s">
        <v>20</v>
      </c>
      <c r="F3" t="s">
        <v>21</v>
      </c>
      <c r="G3" t="s">
        <v>98</v>
      </c>
      <c r="H3" t="b">
        <v>1</v>
      </c>
      <c r="I3">
        <v>10</v>
      </c>
      <c r="J3">
        <v>26</v>
      </c>
      <c r="L3">
        <v>81.681527777777802</v>
      </c>
      <c r="M3">
        <v>7.1062929166666698E-3</v>
      </c>
      <c r="N3">
        <v>81.681527777777802</v>
      </c>
      <c r="O3">
        <v>7.1062929166666698E-3</v>
      </c>
      <c r="P3" s="1" t="s">
        <v>39</v>
      </c>
    </row>
    <row r="4" spans="1:16" ht="29" x14ac:dyDescent="0.35">
      <c r="A4" t="s">
        <v>111</v>
      </c>
      <c r="B4" t="s">
        <v>17</v>
      </c>
      <c r="C4" t="s">
        <v>110</v>
      </c>
      <c r="D4" t="s">
        <v>19</v>
      </c>
      <c r="E4" t="s">
        <v>20</v>
      </c>
      <c r="F4" t="s">
        <v>101</v>
      </c>
      <c r="G4" t="s">
        <v>38</v>
      </c>
      <c r="H4" t="b">
        <v>1</v>
      </c>
      <c r="I4">
        <v>10</v>
      </c>
      <c r="J4">
        <v>27</v>
      </c>
      <c r="L4">
        <v>5.4</v>
      </c>
      <c r="M4">
        <v>3.8771228566800001E-4</v>
      </c>
      <c r="N4">
        <v>5.4</v>
      </c>
      <c r="O4">
        <v>3.8771228566800001E-4</v>
      </c>
      <c r="P4" s="1" t="s">
        <v>39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abSelected="1" workbookViewId="0">
      <selection activeCell="D31" sqref="D31"/>
    </sheetView>
  </sheetViews>
  <sheetFormatPr defaultRowHeight="14.5" x14ac:dyDescent="0.35"/>
  <cols>
    <col min="1" max="1" width="24" customWidth="1"/>
    <col min="2" max="2" width="32.08984375" customWidth="1"/>
    <col min="3" max="3" width="26.6328125" customWidth="1"/>
    <col min="4" max="4" width="33.453125" customWidth="1"/>
  </cols>
  <sheetData>
    <row r="1" spans="1:4" x14ac:dyDescent="0.35">
      <c r="A1" s="2" t="s">
        <v>120</v>
      </c>
      <c r="B1" s="2" t="s">
        <v>121</v>
      </c>
    </row>
    <row r="2" spans="1:4" x14ac:dyDescent="0.35">
      <c r="A2" s="3" t="s">
        <v>122</v>
      </c>
      <c r="B2" s="3" t="s">
        <v>122</v>
      </c>
    </row>
    <row r="3" spans="1:4" x14ac:dyDescent="0.35">
      <c r="A3" s="4" t="s">
        <v>123</v>
      </c>
      <c r="B3" s="4" t="s">
        <v>124</v>
      </c>
    </row>
    <row r="4" spans="1:4" x14ac:dyDescent="0.35">
      <c r="A4" s="5" t="s">
        <v>125</v>
      </c>
      <c r="B4" s="5" t="s">
        <v>126</v>
      </c>
    </row>
    <row r="8" spans="1:4" x14ac:dyDescent="0.35">
      <c r="C8" s="6" t="s">
        <v>140</v>
      </c>
      <c r="D8" s="6" t="s">
        <v>141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35">
      <c r="A11" t="s">
        <v>17</v>
      </c>
      <c r="B11" t="s">
        <v>18</v>
      </c>
      <c r="C11" s="8">
        <v>2.6552147632861107</v>
      </c>
      <c r="D11" s="9">
        <v>2.6551802057166665</v>
      </c>
    </row>
    <row r="12" spans="1:4" x14ac:dyDescent="0.35">
      <c r="B12" t="s">
        <v>52</v>
      </c>
      <c r="C12" s="8">
        <v>1.3370232511736122</v>
      </c>
      <c r="D12" s="8">
        <v>1.33687873770139</v>
      </c>
    </row>
    <row r="13" spans="1:4" x14ac:dyDescent="0.35">
      <c r="B13" t="s">
        <v>100</v>
      </c>
      <c r="C13" s="10">
        <v>9.249000000000002E-3</v>
      </c>
      <c r="D13" s="10">
        <v>9.2014000000000019E-3</v>
      </c>
    </row>
    <row r="14" spans="1:4" x14ac:dyDescent="0.35">
      <c r="B14" t="s">
        <v>110</v>
      </c>
      <c r="C14" s="10">
        <v>2.0754512285668002E-2</v>
      </c>
      <c r="D14" s="10">
        <v>2.0754512285668002E-2</v>
      </c>
    </row>
    <row r="15" spans="1:4" x14ac:dyDescent="0.35">
      <c r="B15" t="s">
        <v>115</v>
      </c>
      <c r="C15" s="10">
        <v>0.2115017497916668</v>
      </c>
      <c r="D15" s="10">
        <v>0.15758251666666701</v>
      </c>
    </row>
    <row r="16" spans="1:4" x14ac:dyDescent="0.35">
      <c r="A16" t="s">
        <v>32</v>
      </c>
      <c r="B16" t="s">
        <v>33</v>
      </c>
      <c r="C16" s="8">
        <v>2.8161123902813032</v>
      </c>
      <c r="D16" s="9">
        <v>2.8161123902813032</v>
      </c>
    </row>
    <row r="17" spans="1:4" x14ac:dyDescent="0.35">
      <c r="A17" t="s">
        <v>43</v>
      </c>
      <c r="B17" t="s">
        <v>44</v>
      </c>
      <c r="C17" s="8">
        <v>3.8535282912466666</v>
      </c>
      <c r="D17" s="9">
        <v>3.8535282912466666</v>
      </c>
    </row>
    <row r="18" spans="1:4" x14ac:dyDescent="0.35">
      <c r="B18" t="s">
        <v>62</v>
      </c>
      <c r="C18" s="8">
        <v>6.2836023745605454</v>
      </c>
      <c r="D18" s="9">
        <v>6.2836023745605454</v>
      </c>
    </row>
    <row r="19" spans="1:4" x14ac:dyDescent="0.35">
      <c r="B19" t="s">
        <v>68</v>
      </c>
      <c r="C19" s="9">
        <v>12.604046115232689</v>
      </c>
      <c r="D19" s="9">
        <v>12.604046115232689</v>
      </c>
    </row>
    <row r="20" spans="1:4" x14ac:dyDescent="0.35">
      <c r="B20" t="s">
        <v>74</v>
      </c>
      <c r="C20" s="8">
        <v>1.2242329365499969</v>
      </c>
      <c r="D20" s="8">
        <v>1.2242329365499969</v>
      </c>
    </row>
    <row r="21" spans="1:4" x14ac:dyDescent="0.35">
      <c r="A21" t="s">
        <v>81</v>
      </c>
      <c r="B21" t="s">
        <v>82</v>
      </c>
      <c r="C21" s="9">
        <v>41.360097421736285</v>
      </c>
      <c r="D21" s="9">
        <v>41.360097421736285</v>
      </c>
    </row>
    <row r="22" spans="1:4" x14ac:dyDescent="0.35">
      <c r="A22" t="s">
        <v>89</v>
      </c>
      <c r="B22" t="s">
        <v>90</v>
      </c>
      <c r="C22" s="10">
        <v>0.36469702593749931</v>
      </c>
      <c r="D22" s="10">
        <v>0.36469702593749931</v>
      </c>
    </row>
    <row r="23" spans="1:4" x14ac:dyDescent="0.35">
      <c r="B23" t="s">
        <v>95</v>
      </c>
      <c r="C23" s="10">
        <v>0.19714150888888937</v>
      </c>
      <c r="D23" s="10">
        <v>0.19714150888888937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I18" sqref="I18"/>
    </sheetView>
  </sheetViews>
  <sheetFormatPr defaultRowHeight="14.5" x14ac:dyDescent="0.35"/>
  <cols>
    <col min="1" max="1" width="24.6328125" customWidth="1"/>
    <col min="2" max="2" width="33.7265625" customWidth="1"/>
    <col min="3" max="3" width="31.36328125" customWidth="1"/>
    <col min="4" max="4" width="29.54296875" customWidth="1"/>
  </cols>
  <sheetData>
    <row r="1" spans="1:4" x14ac:dyDescent="0.35">
      <c r="A1" s="2" t="s">
        <v>127</v>
      </c>
      <c r="B1" s="2" t="s">
        <v>128</v>
      </c>
      <c r="C1" s="2" t="s">
        <v>129</v>
      </c>
      <c r="D1" s="2" t="s">
        <v>130</v>
      </c>
    </row>
    <row r="2" spans="1:4" x14ac:dyDescent="0.35">
      <c r="A2" s="3" t="s">
        <v>131</v>
      </c>
      <c r="B2" s="3" t="s">
        <v>131</v>
      </c>
      <c r="C2" s="3" t="s">
        <v>131</v>
      </c>
      <c r="D2" s="3" t="s">
        <v>131</v>
      </c>
    </row>
    <row r="3" spans="1:4" x14ac:dyDescent="0.35">
      <c r="A3" s="4" t="s">
        <v>132</v>
      </c>
      <c r="B3" s="4" t="s">
        <v>133</v>
      </c>
      <c r="C3" s="4" t="s">
        <v>134</v>
      </c>
      <c r="D3" s="4" t="s">
        <v>135</v>
      </c>
    </row>
    <row r="4" spans="1:4" x14ac:dyDescent="0.35">
      <c r="A4" s="5" t="s">
        <v>136</v>
      </c>
      <c r="B4" s="5" t="s">
        <v>137</v>
      </c>
      <c r="C4" s="5" t="s">
        <v>138</v>
      </c>
      <c r="D4" s="5" t="s">
        <v>139</v>
      </c>
    </row>
    <row r="8" spans="1:4" x14ac:dyDescent="0.35">
      <c r="A8" s="6" t="s">
        <v>11</v>
      </c>
      <c r="C8" s="6" t="s">
        <v>140</v>
      </c>
      <c r="D8" s="6" t="s">
        <v>15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39</v>
      </c>
    </row>
    <row r="11" spans="1:4" x14ac:dyDescent="0.35">
      <c r="A11" t="s">
        <v>32</v>
      </c>
      <c r="B11" t="s">
        <v>33</v>
      </c>
      <c r="C11" s="7">
        <v>125.66388888888901</v>
      </c>
      <c r="D11" s="7"/>
    </row>
    <row r="12" spans="1:4" x14ac:dyDescent="0.35">
      <c r="A12" t="s">
        <v>89</v>
      </c>
      <c r="B12" t="s">
        <v>95</v>
      </c>
      <c r="C12" s="7">
        <v>81.681527777777802</v>
      </c>
      <c r="D12" s="7"/>
    </row>
    <row r="13" spans="1:4" x14ac:dyDescent="0.35">
      <c r="A13" t="s">
        <v>17</v>
      </c>
      <c r="B13" t="s">
        <v>110</v>
      </c>
      <c r="C13" s="7">
        <v>5.4</v>
      </c>
      <c r="D13" s="7"/>
    </row>
    <row r="30" spans="1:1" x14ac:dyDescent="0.35">
      <c r="A30" s="2" t="s">
        <v>120</v>
      </c>
    </row>
    <row r="31" spans="1:1" x14ac:dyDescent="0.35">
      <c r="A31" s="3" t="s">
        <v>122</v>
      </c>
    </row>
    <row r="32" spans="1:1" x14ac:dyDescent="0.35">
      <c r="A32" s="4" t="s">
        <v>123</v>
      </c>
    </row>
    <row r="33" spans="1:3" x14ac:dyDescent="0.35">
      <c r="A33" s="5" t="s">
        <v>125</v>
      </c>
    </row>
    <row r="37" spans="1:3" x14ac:dyDescent="0.35">
      <c r="A37" s="6" t="s">
        <v>12</v>
      </c>
      <c r="C37" s="6" t="s">
        <v>140</v>
      </c>
    </row>
    <row r="38" spans="1:3" x14ac:dyDescent="0.35">
      <c r="A38" s="6" t="s">
        <v>1</v>
      </c>
      <c r="B38" s="6" t="s">
        <v>2</v>
      </c>
      <c r="C38" t="s">
        <v>19</v>
      </c>
    </row>
    <row r="39" spans="1:3" x14ac:dyDescent="0.35">
      <c r="A39" t="s">
        <v>17</v>
      </c>
      <c r="B39" t="s">
        <v>18</v>
      </c>
      <c r="C39">
        <v>2.6552147632861107</v>
      </c>
    </row>
    <row r="40" spans="1:3" x14ac:dyDescent="0.35">
      <c r="B40" t="s">
        <v>52</v>
      </c>
      <c r="C40">
        <v>1.3370232511736122</v>
      </c>
    </row>
    <row r="41" spans="1:3" x14ac:dyDescent="0.35">
      <c r="B41" t="s">
        <v>100</v>
      </c>
      <c r="C41">
        <v>9.249000000000002E-3</v>
      </c>
    </row>
    <row r="42" spans="1:3" x14ac:dyDescent="0.35">
      <c r="B42" t="s">
        <v>110</v>
      </c>
      <c r="C42">
        <v>2.0754512285668002E-2</v>
      </c>
    </row>
    <row r="43" spans="1:3" x14ac:dyDescent="0.35">
      <c r="B43" t="s">
        <v>115</v>
      </c>
      <c r="C43">
        <v>0.2115017497916668</v>
      </c>
    </row>
    <row r="44" spans="1:3" x14ac:dyDescent="0.35">
      <c r="A44" t="s">
        <v>32</v>
      </c>
      <c r="B44" t="s">
        <v>33</v>
      </c>
      <c r="C44">
        <v>2.8161123902813032</v>
      </c>
    </row>
    <row r="45" spans="1:3" x14ac:dyDescent="0.35">
      <c r="A45" t="s">
        <v>43</v>
      </c>
      <c r="B45" t="s">
        <v>44</v>
      </c>
      <c r="C45">
        <v>3.8535282912466666</v>
      </c>
    </row>
    <row r="46" spans="1:3" x14ac:dyDescent="0.35">
      <c r="B46" t="s">
        <v>62</v>
      </c>
      <c r="C46">
        <v>6.2836023745605454</v>
      </c>
    </row>
    <row r="47" spans="1:3" x14ac:dyDescent="0.35">
      <c r="B47" t="s">
        <v>68</v>
      </c>
      <c r="C47">
        <v>12.604046115232689</v>
      </c>
    </row>
    <row r="48" spans="1:3" x14ac:dyDescent="0.35">
      <c r="B48" t="s">
        <v>74</v>
      </c>
      <c r="C48">
        <v>1.2242329365499969</v>
      </c>
    </row>
    <row r="49" spans="1:3" x14ac:dyDescent="0.35">
      <c r="A49" t="s">
        <v>81</v>
      </c>
      <c r="B49" t="s">
        <v>82</v>
      </c>
      <c r="C49">
        <v>41.360097421736285</v>
      </c>
    </row>
    <row r="50" spans="1:3" x14ac:dyDescent="0.35">
      <c r="A50" t="s">
        <v>89</v>
      </c>
      <c r="B50" t="s">
        <v>90</v>
      </c>
      <c r="C50">
        <v>0.36469702593749931</v>
      </c>
    </row>
    <row r="51" spans="1:3" x14ac:dyDescent="0.35">
      <c r="B51" t="s">
        <v>95</v>
      </c>
      <c r="C51">
        <v>0.19714150888888937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2025-12-03T21:23:29Z</dcterms:created>
  <dcterms:modified xsi:type="dcterms:W3CDTF">2025-12-03T21:29:31Z</dcterms:modified>
</cp:coreProperties>
</file>