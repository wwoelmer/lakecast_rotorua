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whitney_woelmer_waikato_ac_nz/Documents/Desktop/lakecast_rotorua/data/boprc_cyano/og_excel_files/"/>
    </mc:Choice>
  </mc:AlternateContent>
  <xr:revisionPtr revIDLastSave="1" documentId="8_{AC2CED31-B908-44A0-A282-3220D474C2BF}" xr6:coauthVersionLast="47" xr6:coauthVersionMax="47" xr10:uidLastSave="{DEF76A1F-2B61-44F1-A063-03EA844A1525}"/>
  <bookViews>
    <workbookView xWindow="57480" yWindow="-120" windowWidth="29040" windowHeight="15720" activeTab="2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<sst xmlns="http://schemas.openxmlformats.org/spreadsheetml/2006/main" count="466" uniqueCount="117">
  <si>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</si>
  <si>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</si>
  <si>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</si>
  <si>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</si>
  <si>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</si>
  <si>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</si>
  <si>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</si>
  <si>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</si>
  <si>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</si>
  <si>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</si>
  <si>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</si>
  <si>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</si>
  <si>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</si>
  <si>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</si>
  <si>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</si>
  <si>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</si>
  <si>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5812.1</t>
  </si>
  <si>
    <t>Rotoiti</t>
  </si>
  <si>
    <t>Okere Arm</t>
  </si>
  <si>
    <t>05/01/2026</t>
  </si>
  <si>
    <t>20A</t>
  </si>
  <si>
    <t>160</t>
  </si>
  <si>
    <t>Merismopedia sp</t>
  </si>
  <si>
    <t>5812.2</t>
  </si>
  <si>
    <t>Dolichospermum circinale</t>
  </si>
  <si>
    <t>5812.3</t>
  </si>
  <si>
    <t>Dolichospermum planctonicum </t>
  </si>
  <si>
    <t>5813.1</t>
  </si>
  <si>
    <t>Okawa Bay</t>
  </si>
  <si>
    <t>5813.2</t>
  </si>
  <si>
    <t>5813.3</t>
  </si>
  <si>
    <t>Pseudanabaena limnetica (cylinder)</t>
  </si>
  <si>
    <t>5814.1</t>
  </si>
  <si>
    <t>Rotorua</t>
  </si>
  <si>
    <t>Ngongotaha</t>
  </si>
  <si>
    <t>5814.2</t>
  </si>
  <si>
    <t>5814.3</t>
  </si>
  <si>
    <t>Microcystis wesenbergii</t>
  </si>
  <si>
    <t xml:space="preserve">Microcystis spp.
</t>
  </si>
  <si>
    <t>5815.1</t>
  </si>
  <si>
    <t>Rotoehu</t>
  </si>
  <si>
    <t>Kennedy Bay</t>
  </si>
  <si>
    <t>5815.2</t>
  </si>
  <si>
    <t>Dolichospermum sp</t>
  </si>
  <si>
    <t>5815.3</t>
  </si>
  <si>
    <t>Anabaena torulosa</t>
  </si>
  <si>
    <t>5815.4</t>
  </si>
  <si>
    <t>Picocyanobacteria</t>
  </si>
  <si>
    <t>5815.5</t>
  </si>
  <si>
    <t>Dolichospermum spiroides</t>
  </si>
  <si>
    <t>5815.6</t>
  </si>
  <si>
    <t>5816.1</t>
  </si>
  <si>
    <t>Holdens Bay</t>
  </si>
  <si>
    <t>5816.2</t>
  </si>
  <si>
    <t>5817.1</t>
  </si>
  <si>
    <t>Ohau Channel</t>
  </si>
  <si>
    <t>5817.2</t>
  </si>
  <si>
    <t>5818.1</t>
  </si>
  <si>
    <t>Lake Okaro</t>
  </si>
  <si>
    <t>Boat ramp</t>
  </si>
  <si>
    <t>5818.2</t>
  </si>
  <si>
    <t>5818.3</t>
  </si>
  <si>
    <t>5819.1</t>
  </si>
  <si>
    <t>Kaituna</t>
  </si>
  <si>
    <t>Trout Pool</t>
  </si>
  <si>
    <t>5819.2</t>
  </si>
  <si>
    <t>Microcystis sp</t>
  </si>
  <si>
    <t>5819.3</t>
  </si>
  <si>
    <t>5820.1</t>
  </si>
  <si>
    <t>Hamurana</t>
  </si>
  <si>
    <t>5820.2</t>
  </si>
  <si>
    <t>5820.3</t>
  </si>
  <si>
    <t>5821.1</t>
  </si>
  <si>
    <t>Hinehopu</t>
  </si>
  <si>
    <t>Whole Plate</t>
  </si>
  <si>
    <t>5821.2</t>
  </si>
  <si>
    <t>5821.3</t>
  </si>
  <si>
    <t>5821.4</t>
  </si>
  <si>
    <t>5822.1</t>
  </si>
  <si>
    <t>Te Weta</t>
  </si>
  <si>
    <t>5822.2</t>
  </si>
  <si>
    <t>5822.3</t>
  </si>
  <si>
    <t>5823.1</t>
  </si>
  <si>
    <t>Otaramarae</t>
  </si>
  <si>
    <t>5823.2</t>
  </si>
  <si>
    <t>5824.1</t>
  </si>
  <si>
    <t>Otautu</t>
  </si>
  <si>
    <t>5824.2</t>
  </si>
  <si>
    <t>Oscillatoria sp</t>
  </si>
  <si>
    <t>5824.3</t>
  </si>
  <si>
    <t>5824.4</t>
  </si>
  <si>
    <t>5824.5</t>
  </si>
  <si>
    <t>5824.6</t>
  </si>
  <si>
    <t>5824.7</t>
  </si>
  <si>
    <t>Coelosphaerium kuetzingianum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</si>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</sst>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pivotButton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0" fontId="0" fillId="0" borderId="0" xfId="0" applyNumberFormat="1"/>
    <xf numFmtId="0" fontId="0" fillId="7" borderId="0" xfId="0" applyNumberFormat="1" applyFill="1"/>
  </cellXfs>
  <cellStyles count="1">
    <cellStyle name="Normal" xfId="0" builtinId="0"/>
  </cellStyles>
  <dxfs count="24"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numFmt numFmtId="164" formatCode="0.000"/>
    </dxf>
    <dxf>
      <fill>
        <patternFill patternType="solid">
          <bgColor rgb="FF99FF33"/>
        </patternFill>
      </fill>
    </dxf>
    <dxf>
      <numFmt numFmtId="164" formatCode="0.000"/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6037.471903819445" refreshedVersion="8" recordCount="44" xr:uid="{00000000-000A-0000-FFFF-FFFF00000000}">
  <cacheSource type="worksheet">
    <worksheetSource ref="A1:P45" sheet="Lakes Data"/>
  </cacheSource>
  <cacheFields count="16">
    <cacheField name="SampleId" numFmtId="0">
      <sharedItems/>
    </cacheField>
    <cacheField name="Location" numFmtId="0">
      <sharedItems count="5">
        <s v="Rotoiti"/>
        <s v="Rotorua"/>
        <s v="Rotoehu"/>
        <s v="Lake Okaro"/>
        <s v="Kaituna"/>
      </sharedItems>
    </cacheField>
    <cacheField name="Site" numFmtId="0">
      <sharedItems count="13">
        <s v="Okere Arm"/>
        <s v="Okawa Bay"/>
        <s v="Ngongotaha"/>
        <s v="Kennedy Bay"/>
        <s v="Holdens Bay"/>
        <s v="Ohau Channel"/>
        <s v="Boat ramp"/>
        <s v="Trout Pool"/>
        <s v="Hamurana"/>
        <s v="Hinehopu"/>
        <s v="Te Weta"/>
        <s v="Otaramarae"/>
        <s v="Otautu"/>
      </sharedItems>
    </cacheField>
    <cacheField name="SampleDate" numFmtId="0">
      <sharedItems count="1">
        <s v="05/01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" maxValue="162"/>
    </cacheField>
    <cacheField name="NumberOfColonies" numFmtId="0">
      <sharedItems containsString="0" containsBlank="1" containsNumber="1" containsInteger="1" minValue="4" maxValue="75"/>
    </cacheField>
    <cacheField name="CellsPerMl" numFmtId="0">
      <sharedItems containsSemiMixedTypes="0" containsString="0" containsNumber="1" minValue="1.2" maxValue="6789.7769965277803"/>
    </cacheField>
    <cacheField name="TotalBioVolume" numFmtId="0">
      <sharedItems containsSemiMixedTypes="0" containsString="0" containsNumber="1" minValue="7.8232000000000006E-5" maxValue="3.90846723028125"/>
    </cacheField>
    <cacheField name="PotentiallyToxicCellMl" numFmtId="0">
      <sharedItems containsSemiMixedTypes="0" containsString="0" containsNumber="1" minValue="0" maxValue="6789.7769965277803"/>
    </cacheField>
    <cacheField name="PotentiallyToxicBioVolume" numFmtId="0">
      <sharedItems containsSemiMixedTypes="0" containsString="0" containsNumber="1" minValue="0" maxValue="3.9084672302812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6037.471904050923" refreshedVersion="8" recordCount="4" xr:uid="{00000000-000A-0000-FFFF-FFFF01000000}">
  <cacheSource type="worksheet">
    <worksheetSource ref="A1:P5" sheet="Toxin Data"/>
  </cacheSource>
  <cacheFields count="16">
    <cacheField name="SampleId" numFmtId="0">
      <sharedItems/>
    </cacheField>
    <cacheField name="Location" numFmtId="0">
      <sharedItems count="3">
        <s v="Rotorua"/>
        <s v="Rotoehu"/>
        <s v="Kaituna"/>
      </sharedItems>
    </cacheField>
    <cacheField name="Site" numFmtId="0">
      <sharedItems count="4">
        <s v="Ngongotaha"/>
        <s v="Kennedy Bay"/>
        <s v="Trout Pool"/>
        <s v="Otautu"/>
      </sharedItems>
    </cacheField>
    <cacheField name="SampleDate" numFmtId="0">
      <sharedItems count="1">
        <s v="05/01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8" maxValue="34.6666666666667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21.1" maxValue="326.72611111111098"/>
    </cacheField>
    <cacheField name="TotalBioVolume" numFmtId="0">
      <sharedItems containsSemiMixedTypes="0" containsString="0" containsNumber="1" minValue="1.5149498569620001E-3" maxValue="6.2185780727777799E-2"/>
    </cacheField>
    <cacheField name="PotentiallyToxicCellMl" numFmtId="0">
      <sharedItems containsSemiMixedTypes="0" containsString="0" containsNumber="1" minValue="21.1" maxValue="326.72611111111098"/>
    </cacheField>
    <cacheField name="PotentiallyToxicBioVolume" numFmtId="0">
      <sharedItems containsSemiMixedTypes="0" containsString="0" containsNumber="1" minValue="1.5149498569620001E-3" maxValue="6.2185780727777799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6037.471904282407" refreshedVersion="8" recordCount="44" xr:uid="{00000000-000A-0000-FFFF-FFFF02000000}">
  <cacheSource type="worksheet">
    <worksheetSource ref="A1:P45" sheet="Lakes Data"/>
  </cacheSource>
  <cacheFields count="16">
    <cacheField name="SampleId" numFmtId="0">
      <sharedItems/>
    </cacheField>
    <cacheField name="Location" numFmtId="0">
      <sharedItems count="5">
        <s v="Rotoiti"/>
        <s v="Rotorua"/>
        <s v="Rotoehu"/>
        <s v="Lake Okaro"/>
        <s v="Kaituna"/>
      </sharedItems>
    </cacheField>
    <cacheField name="Site" numFmtId="0">
      <sharedItems count="13">
        <s v="Okere Arm"/>
        <s v="Okawa Bay"/>
        <s v="Ngongotaha"/>
        <s v="Kennedy Bay"/>
        <s v="Holdens Bay"/>
        <s v="Ohau Channel"/>
        <s v="Boat ramp"/>
        <s v="Trout Pool"/>
        <s v="Hamurana"/>
        <s v="Hinehopu"/>
        <s v="Te Weta"/>
        <s v="Otaramarae"/>
        <s v="Otautu"/>
      </sharedItems>
    </cacheField>
    <cacheField name="SampleDate" numFmtId="0">
      <sharedItems count="1">
        <s v="05/01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" maxValue="162"/>
    </cacheField>
    <cacheField name="NumberOfColonies" numFmtId="0">
      <sharedItems containsString="0" containsBlank="1" containsNumber="1" containsInteger="1" minValue="4" maxValue="75"/>
    </cacheField>
    <cacheField name="CellsPerMl" numFmtId="0">
      <sharedItems containsSemiMixedTypes="0" containsString="0" containsNumber="1" minValue="1.2" maxValue="6789.7769965277803"/>
    </cacheField>
    <cacheField name="TotalBioVolume" numFmtId="0">
      <sharedItems containsSemiMixedTypes="0" containsString="0" containsNumber="1" minValue="7.8232000000000006E-5" maxValue="3.90846723028125"/>
    </cacheField>
    <cacheField name="PotentiallyToxicCellMl" numFmtId="0">
      <sharedItems containsSemiMixedTypes="0" containsString="0" containsNumber="1" minValue="0" maxValue="6789.7769965277803"/>
    </cacheField>
    <cacheField name="PotentiallyToxicBioVolume" numFmtId="0">
      <sharedItems containsSemiMixedTypes="0" containsString="0" containsNumber="1" minValue="0" maxValue="3.9084672302812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5812.1"/>
    <x v="0"/>
    <x v="0"/>
    <x v="0"/>
    <s v="20A"/>
    <s v="160"/>
    <s v="Merismopedia sp"/>
    <b v="0"/>
    <n v="10"/>
    <n v="32"/>
    <m/>
    <n v="100.531111111111"/>
    <n v="2.2116844444444398E-3"/>
    <n v="0"/>
    <n v="0"/>
    <m/>
  </r>
  <r>
    <s v="5812.2"/>
    <x v="0"/>
    <x v="0"/>
    <x v="0"/>
    <s v="20A"/>
    <s v="160"/>
    <s v="Dolichospermum circinale"/>
    <b v="1"/>
    <n v="10"/>
    <n v="19.923076923076898"/>
    <m/>
    <n v="813.67368055555596"/>
    <n v="0.468383117475"/>
    <n v="813.67368055555596"/>
    <n v="0.468383117475"/>
    <m/>
  </r>
  <r>
    <s v="5812.3"/>
    <x v="0"/>
    <x v="0"/>
    <x v="0"/>
    <s v="20A"/>
    <s v="160"/>
    <s v="Dolichospermum planctonicum "/>
    <b v="1"/>
    <n v="10"/>
    <n v="35"/>
    <m/>
    <n v="219.91180555555599"/>
    <n v="8.1367368055555694E-2"/>
    <n v="219.91180555555599"/>
    <n v="8.1367368055555694E-2"/>
    <m/>
  </r>
  <r>
    <s v="5813.1"/>
    <x v="0"/>
    <x v="1"/>
    <x v="0"/>
    <s v="20A"/>
    <s v="160"/>
    <s v="Dolichospermum planctonicum "/>
    <b v="1"/>
    <n v="10"/>
    <n v="14.4285714285714"/>
    <m/>
    <n v="634.60263888888903"/>
    <n v="0.234802976388889"/>
    <n v="634.60263888888903"/>
    <n v="0.234802976388889"/>
    <m/>
  </r>
  <r>
    <s v="5813.2"/>
    <x v="0"/>
    <x v="1"/>
    <x v="0"/>
    <s v="20A"/>
    <s v="160"/>
    <s v="Dolichospermum circinale"/>
    <b v="1"/>
    <n v="10"/>
    <n v="12.6666666666667"/>
    <m/>
    <n v="238.761388888889"/>
    <n v="0.13744060590000001"/>
    <n v="238.761388888889"/>
    <n v="0.13744060590000001"/>
    <m/>
  </r>
  <r>
    <s v="5813.3"/>
    <x v="0"/>
    <x v="1"/>
    <x v="0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814.1"/>
    <x v="1"/>
    <x v="2"/>
    <x v="0"/>
    <s v="20A"/>
    <s v="160"/>
    <s v="Dolichospermum circinale"/>
    <b v="1"/>
    <n v="10"/>
    <n v="35.714285714285701"/>
    <m/>
    <n v="1570.7986111111099"/>
    <n v="0.90421451249999896"/>
    <n v="1570.7986111111099"/>
    <n v="0.90421451249999896"/>
    <m/>
  </r>
  <r>
    <s v="5814.2"/>
    <x v="1"/>
    <x v="2"/>
    <x v="0"/>
    <s v="20A"/>
    <s v="160"/>
    <s v="Dolichospermum planctonicum "/>
    <b v="1"/>
    <n v="10"/>
    <n v="30.052631578947398"/>
    <m/>
    <n v="1793.85201388889"/>
    <n v="0.66372524513888898"/>
    <n v="1793.85201388889"/>
    <n v="0.66372524513888898"/>
    <m/>
  </r>
  <r>
    <s v="5814.3"/>
    <x v="1"/>
    <x v="2"/>
    <x v="0"/>
    <s v="20A"/>
    <s v="160"/>
    <s v="Microcystis wesenbergii"/>
    <b v="1"/>
    <n v="10"/>
    <n v="18"/>
    <m/>
    <n v="56.548749999999998"/>
    <n v="1.0762923587500001E-2"/>
    <n v="56.548749999999998"/>
    <n v="1.0762923587500001E-2"/>
    <s v="Microcystis spp._x000a_"/>
  </r>
  <r>
    <s v="5815.1"/>
    <x v="2"/>
    <x v="3"/>
    <x v="0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s v="Microcystis spp._x000a_"/>
  </r>
  <r>
    <s v="5815.2"/>
    <x v="2"/>
    <x v="3"/>
    <x v="0"/>
    <s v="20A"/>
    <s v="160"/>
    <s v="Dolichospermum sp"/>
    <b v="1"/>
    <n v="10"/>
    <n v="24.3"/>
    <n v="8"/>
    <n v="2137.5427500000001"/>
    <n v="0.4061331225"/>
    <n v="2137.5427500000001"/>
    <n v="0.4061331225"/>
    <m/>
  </r>
  <r>
    <s v="5815.3"/>
    <x v="2"/>
    <x v="3"/>
    <x v="0"/>
    <s v="20A"/>
    <s v="160"/>
    <s v="Anabaena torulosa"/>
    <b v="1"/>
    <n v="10"/>
    <n v="10"/>
    <m/>
    <n v="31.415972222222202"/>
    <n v="6.94292986111111E-3"/>
    <n v="31.415972222222202"/>
    <n v="6.94292986111111E-3"/>
    <m/>
  </r>
  <r>
    <s v="5815.4"/>
    <x v="2"/>
    <x v="3"/>
    <x v="0"/>
    <s v="20A"/>
    <s v="160"/>
    <s v="Picocyanobacteria"/>
    <b v="1"/>
    <n v="10"/>
    <n v="46.6666666666667"/>
    <m/>
    <n v="439.82361111111101"/>
    <n v="2.2870827777777801E-4"/>
    <n v="439.82361111111101"/>
    <n v="2.2870827777777801E-4"/>
    <m/>
  </r>
  <r>
    <s v="5815.5"/>
    <x v="2"/>
    <x v="3"/>
    <x v="0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815.6"/>
    <x v="2"/>
    <x v="3"/>
    <x v="0"/>
    <s v="20A"/>
    <s v="160"/>
    <s v="Dolichospermum planctonicum "/>
    <b v="1"/>
    <n v="10"/>
    <n v="22.3333333333333"/>
    <m/>
    <n v="210.48701388888901"/>
    <n v="7.78801951388889E-2"/>
    <n v="210.48701388888901"/>
    <n v="7.78801951388889E-2"/>
    <m/>
  </r>
  <r>
    <s v="5816.1"/>
    <x v="1"/>
    <x v="4"/>
    <x v="0"/>
    <s v="20A"/>
    <s v="160"/>
    <s v="Pseudanabaena limnetica (cylinder)"/>
    <b v="1"/>
    <n v="10"/>
    <n v="14"/>
    <m/>
    <n v="351.858888888889"/>
    <n v="2.7796852222222199E-2"/>
    <n v="351.858888888889"/>
    <n v="2.7796852222222199E-2"/>
    <m/>
  </r>
  <r>
    <s v="5816.2"/>
    <x v="1"/>
    <x v="4"/>
    <x v="0"/>
    <s v="20A"/>
    <s v="160"/>
    <s v="Dolichospermum circinale"/>
    <b v="1"/>
    <n v="10"/>
    <n v="32.266666666666701"/>
    <m/>
    <n v="1520.5330555555599"/>
    <n v="0.87527964810000303"/>
    <n v="1520.5330555555599"/>
    <n v="0.87527964810000303"/>
    <m/>
  </r>
  <r>
    <s v="5817.1"/>
    <x v="1"/>
    <x v="5"/>
    <x v="0"/>
    <s v="20A"/>
    <s v="160"/>
    <s v="Dolichospermum circinale"/>
    <b v="1"/>
    <n v="10"/>
    <n v="25.428571428571399"/>
    <m/>
    <n v="1118.4086111111101"/>
    <n v="0.64380073289999895"/>
    <n v="1118.4086111111101"/>
    <n v="0.64380073289999895"/>
    <m/>
  </r>
  <r>
    <s v="5817.2"/>
    <x v="1"/>
    <x v="5"/>
    <x v="0"/>
    <s v="20A"/>
    <s v="160"/>
    <s v="Dolichospermum planctonicum "/>
    <b v="1"/>
    <n v="10"/>
    <n v="15.3333333333333"/>
    <m/>
    <n v="144.51347222222199"/>
    <n v="5.34699847222221E-2"/>
    <n v="144.51347222222199"/>
    <n v="5.34699847222221E-2"/>
    <m/>
  </r>
  <r>
    <s v="5818.1"/>
    <x v="3"/>
    <x v="6"/>
    <x v="0"/>
    <s v="20A"/>
    <s v="160"/>
    <s v="Dolichospermum spiroides"/>
    <b v="1"/>
    <n v="10"/>
    <n v="29.6666666666667"/>
    <m/>
    <n v="559.20430555555504"/>
    <n v="0.145393119444445"/>
    <n v="559.20430555555595"/>
    <n v="0.145393119444445"/>
    <m/>
  </r>
  <r>
    <s v="5818.2"/>
    <x v="3"/>
    <x v="6"/>
    <x v="0"/>
    <s v="20A"/>
    <s v="160"/>
    <s v="Dolichospermum circinale"/>
    <b v="1"/>
    <n v="10"/>
    <n v="22.75"/>
    <n v="75"/>
    <n v="6789.7769965277803"/>
    <n v="3.90846723028125"/>
    <n v="6789.7769965277803"/>
    <n v="3.90846723028125"/>
    <m/>
  </r>
  <r>
    <s v="5818.3"/>
    <x v="3"/>
    <x v="6"/>
    <x v="0"/>
    <s v="20A"/>
    <s v="160"/>
    <s v="Dolichospermum planctonicum "/>
    <b v="1"/>
    <n v="10"/>
    <n v="14.5"/>
    <m/>
    <n v="182.21263888888899"/>
    <n v="6.7418676388888904E-2"/>
    <n v="182.21263888888899"/>
    <n v="6.7418676388888904E-2"/>
    <m/>
  </r>
  <r>
    <s v="5819.1"/>
    <x v="4"/>
    <x v="7"/>
    <x v="0"/>
    <s v="20A"/>
    <s v="160"/>
    <s v="Dolichospermum circinale"/>
    <b v="1"/>
    <n v="10"/>
    <n v="28.6666666666667"/>
    <m/>
    <n v="1080.7094444444399"/>
    <n v="0.62209958459999704"/>
    <n v="1080.7094444444399"/>
    <n v="0.62209958459999704"/>
    <m/>
  </r>
  <r>
    <s v="5819.2"/>
    <x v="4"/>
    <x v="7"/>
    <x v="0"/>
    <s v="20A"/>
    <s v="160"/>
    <s v="Microcystis sp"/>
    <b v="1"/>
    <n v="10"/>
    <n v="30"/>
    <m/>
    <n v="188.495833333333"/>
    <n v="1.35337315519557E-2"/>
    <n v="188.495833333333"/>
    <n v="1.35337315519557E-2"/>
    <s v="Microcystis spp._x000a_"/>
  </r>
  <r>
    <s v="5819.3"/>
    <x v="4"/>
    <x v="7"/>
    <x v="0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20.1"/>
    <x v="1"/>
    <x v="8"/>
    <x v="0"/>
    <s v="20A"/>
    <s v="160"/>
    <s v="Pseudanabaena limnetica (cylinder)"/>
    <b v="1"/>
    <n v="10"/>
    <n v="15.2"/>
    <m/>
    <n v="238.761388888889"/>
    <n v="1.88621497222222E-2"/>
    <n v="238.761388888889"/>
    <n v="1.88621497222222E-2"/>
    <m/>
  </r>
  <r>
    <s v="5820.2"/>
    <x v="1"/>
    <x v="8"/>
    <x v="0"/>
    <s v="20A"/>
    <s v="160"/>
    <s v="Dolichospermum circinale"/>
    <b v="1"/>
    <n v="10"/>
    <n v="23"/>
    <m/>
    <n v="1011.59430555556"/>
    <n v="0.58231414605000298"/>
    <n v="1011.59430555556"/>
    <n v="0.58231414605000298"/>
    <m/>
  </r>
  <r>
    <s v="5820.3"/>
    <x v="1"/>
    <x v="8"/>
    <x v="0"/>
    <s v="20A"/>
    <s v="160"/>
    <s v="Dolichospermum planctonicum "/>
    <b v="1"/>
    <n v="10"/>
    <n v="26.6666666666667"/>
    <m/>
    <n v="251.32777777777801"/>
    <n v="9.2991277777777895E-2"/>
    <n v="251.32777777777801"/>
    <n v="9.2991277777777895E-2"/>
    <m/>
  </r>
  <r>
    <s v="5821.1"/>
    <x v="0"/>
    <x v="9"/>
    <x v="0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2"/>
    <x v="0"/>
    <x v="9"/>
    <x v="0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3"/>
    <x v="0"/>
    <x v="9"/>
    <x v="0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821.4"/>
    <x v="0"/>
    <x v="9"/>
    <x v="0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22.1"/>
    <x v="0"/>
    <x v="10"/>
    <x v="0"/>
    <s v="20A"/>
    <s v="Whole Plate"/>
    <s v="Dolichospermum planctonicum "/>
    <b v="1"/>
    <n v="10"/>
    <n v="23.25"/>
    <n v="34"/>
    <n v="125.55"/>
    <n v="4.6453500000000002E-2"/>
    <n v="125.55"/>
    <n v="4.6453500000000002E-2"/>
    <m/>
  </r>
  <r>
    <s v="5822.2"/>
    <x v="0"/>
    <x v="10"/>
    <x v="0"/>
    <s v="20A"/>
    <s v="Whole Plate"/>
    <s v="Dolichospermum spiroides"/>
    <b v="1"/>
    <n v="10"/>
    <n v="12"/>
    <m/>
    <n v="1.2"/>
    <n v="3.1199999999999999E-4"/>
    <n v="1.2"/>
    <n v="3.1199999999999999E-4"/>
    <m/>
  </r>
  <r>
    <s v="5822.3"/>
    <x v="0"/>
    <x v="10"/>
    <x v="0"/>
    <s v="20A"/>
    <s v="Whole Plate"/>
    <s v="Dolichospermum sp"/>
    <b v="1"/>
    <n v="10"/>
    <n v="20.2"/>
    <n v="29"/>
    <n v="98.98"/>
    <n v="1.8806199999999999E-2"/>
    <n v="98.98"/>
    <n v="1.8806199999999999E-2"/>
    <m/>
  </r>
  <r>
    <s v="5823.1"/>
    <x v="0"/>
    <x v="11"/>
    <x v="0"/>
    <s v="20A"/>
    <s v="Whole Plate"/>
    <s v="Dolichospermum sp"/>
    <b v="1"/>
    <n v="10"/>
    <n v="17.7"/>
    <n v="4"/>
    <n v="42.48"/>
    <n v="8.0712000000000006E-3"/>
    <n v="42.48"/>
    <n v="8.0712000000000006E-3"/>
    <m/>
  </r>
  <r>
    <s v="5823.2"/>
    <x v="0"/>
    <x v="11"/>
    <x v="0"/>
    <s v="20A"/>
    <s v="Whole Plate"/>
    <s v="Dolichospermum planctonicum "/>
    <b v="1"/>
    <n v="10"/>
    <n v="9"/>
    <m/>
    <n v="2.7"/>
    <n v="9.990000000000001E-4"/>
    <n v="2.7"/>
    <n v="9.990000000000001E-4"/>
    <m/>
  </r>
  <r>
    <s v="5824.1"/>
    <x v="2"/>
    <x v="12"/>
    <x v="0"/>
    <s v="20A"/>
    <s v="Whole Plate"/>
    <s v="Microcystis sp"/>
    <b v="1"/>
    <n v="10"/>
    <n v="21.1"/>
    <m/>
    <n v="21.1"/>
    <n v="1.5149498569620001E-3"/>
    <n v="21.1"/>
    <n v="1.5149498569620001E-3"/>
    <s v="Microcystis spp._x000a_"/>
  </r>
  <r>
    <s v="5824.2"/>
    <x v="2"/>
    <x v="12"/>
    <x v="0"/>
    <s v="20A"/>
    <s v="Whole Plate"/>
    <s v="Oscillatoria sp"/>
    <b v="1"/>
    <n v="10"/>
    <n v="162"/>
    <m/>
    <n v="32.4"/>
    <n v="8.7625800000000004E-2"/>
    <n v="32.4"/>
    <n v="8.7625800000000004E-2"/>
    <m/>
  </r>
  <r>
    <s v="5824.3"/>
    <x v="2"/>
    <x v="12"/>
    <x v="0"/>
    <s v="20A"/>
    <s v="Whole Plate"/>
    <s v="Merismopedia sp"/>
    <b v="0"/>
    <n v="10"/>
    <n v="24"/>
    <m/>
    <n v="4.8"/>
    <n v="1.0560000000000001E-4"/>
    <n v="0"/>
    <n v="0"/>
    <m/>
  </r>
  <r>
    <s v="5824.4"/>
    <x v="2"/>
    <x v="12"/>
    <x v="0"/>
    <s v="20A"/>
    <s v="Whole Plate"/>
    <s v="Pseudanabaena limnetica (cylinder)"/>
    <b v="1"/>
    <n v="10"/>
    <n v="12.6666666666667"/>
    <m/>
    <n v="7.6"/>
    <n v="6.0039999999999996E-4"/>
    <n v="7.6"/>
    <n v="6.0039999999999996E-4"/>
    <m/>
  </r>
  <r>
    <s v="5824.5"/>
    <x v="2"/>
    <x v="12"/>
    <x v="0"/>
    <s v="20A"/>
    <s v="Whole Plate"/>
    <s v="Dolichospermum sp"/>
    <b v="1"/>
    <n v="10"/>
    <n v="13.3333333333333"/>
    <m/>
    <n v="4"/>
    <n v="7.6000000000000004E-4"/>
    <n v="4"/>
    <n v="7.6000000000000004E-4"/>
    <m/>
  </r>
  <r>
    <s v="5824.6"/>
    <x v="2"/>
    <x v="12"/>
    <x v="0"/>
    <s v="20A"/>
    <s v="Whole Plate"/>
    <s v="Anabaena torulosa"/>
    <b v="1"/>
    <n v="10"/>
    <n v="16"/>
    <m/>
    <n v="1.6"/>
    <n v="3.5359999999999998E-4"/>
    <n v="1.6"/>
    <n v="3.5359999999999998E-4"/>
    <m/>
  </r>
  <r>
    <s v="5824.7"/>
    <x v="2"/>
    <x v="12"/>
    <x v="0"/>
    <s v="20A"/>
    <s v="Whole Plate"/>
    <s v="Coelosphaerium kuetzingianum"/>
    <b v="0"/>
    <n v="10"/>
    <n v="44"/>
    <m/>
    <n v="8.8000000000000007"/>
    <n v="7.8232000000000006E-5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5814.3"/>
    <x v="0"/>
    <x v="0"/>
    <x v="0"/>
    <s v="20A"/>
    <s v="160"/>
    <s v="Microcystis wesenbergii"/>
    <b v="1"/>
    <n v="10"/>
    <n v="18"/>
    <m/>
    <n v="56.548749999999998"/>
    <n v="1.0762923587500001E-2"/>
    <n v="56.548749999999998"/>
    <n v="1.0762923587500001E-2"/>
    <x v="0"/>
  </r>
  <r>
    <s v="5815.1"/>
    <x v="1"/>
    <x v="1"/>
    <x v="0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x v="0"/>
  </r>
  <r>
    <s v="5819.2"/>
    <x v="2"/>
    <x v="2"/>
    <x v="0"/>
    <s v="20A"/>
    <s v="160"/>
    <s v="Microcystis sp"/>
    <b v="1"/>
    <n v="10"/>
    <n v="30"/>
    <m/>
    <n v="188.495833333333"/>
    <n v="1.35337315519557E-2"/>
    <n v="188.495833333333"/>
    <n v="1.35337315519557E-2"/>
    <x v="0"/>
  </r>
  <r>
    <s v="5824.1"/>
    <x v="1"/>
    <x v="3"/>
    <x v="0"/>
    <s v="20A"/>
    <s v="Whole Plate"/>
    <s v="Microcystis sp"/>
    <b v="1"/>
    <n v="10"/>
    <n v="21.1"/>
    <m/>
    <n v="21.1"/>
    <n v="1.5149498569620001E-3"/>
    <n v="21.1"/>
    <n v="1.5149498569620001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5812.1"/>
    <x v="0"/>
    <x v="0"/>
    <x v="0"/>
    <s v="20A"/>
    <s v="160"/>
    <s v="Merismopedia sp"/>
    <b v="0"/>
    <n v="10"/>
    <n v="32"/>
    <m/>
    <n v="100.531111111111"/>
    <n v="2.2116844444444398E-3"/>
    <n v="0"/>
    <n v="0"/>
    <m/>
  </r>
  <r>
    <s v="5812.2"/>
    <x v="0"/>
    <x v="0"/>
    <x v="0"/>
    <s v="20A"/>
    <s v="160"/>
    <s v="Dolichospermum circinale"/>
    <b v="1"/>
    <n v="10"/>
    <n v="19.923076923076898"/>
    <m/>
    <n v="813.67368055555596"/>
    <n v="0.468383117475"/>
    <n v="813.67368055555596"/>
    <n v="0.468383117475"/>
    <m/>
  </r>
  <r>
    <s v="5812.3"/>
    <x v="0"/>
    <x v="0"/>
    <x v="0"/>
    <s v="20A"/>
    <s v="160"/>
    <s v="Dolichospermum planctonicum "/>
    <b v="1"/>
    <n v="10"/>
    <n v="35"/>
    <m/>
    <n v="219.91180555555599"/>
    <n v="8.1367368055555694E-2"/>
    <n v="219.91180555555599"/>
    <n v="8.1367368055555694E-2"/>
    <m/>
  </r>
  <r>
    <s v="5813.1"/>
    <x v="0"/>
    <x v="1"/>
    <x v="0"/>
    <s v="20A"/>
    <s v="160"/>
    <s v="Dolichospermum planctonicum "/>
    <b v="1"/>
    <n v="10"/>
    <n v="14.4285714285714"/>
    <m/>
    <n v="634.60263888888903"/>
    <n v="0.234802976388889"/>
    <n v="634.60263888888903"/>
    <n v="0.234802976388889"/>
    <m/>
  </r>
  <r>
    <s v="5813.2"/>
    <x v="0"/>
    <x v="1"/>
    <x v="0"/>
    <s v="20A"/>
    <s v="160"/>
    <s v="Dolichospermum circinale"/>
    <b v="1"/>
    <n v="10"/>
    <n v="12.6666666666667"/>
    <m/>
    <n v="238.761388888889"/>
    <n v="0.13744060590000001"/>
    <n v="238.761388888889"/>
    <n v="0.13744060590000001"/>
    <m/>
  </r>
  <r>
    <s v="5813.3"/>
    <x v="0"/>
    <x v="1"/>
    <x v="0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814.1"/>
    <x v="1"/>
    <x v="2"/>
    <x v="0"/>
    <s v="20A"/>
    <s v="160"/>
    <s v="Dolichospermum circinale"/>
    <b v="1"/>
    <n v="10"/>
    <n v="35.714285714285701"/>
    <m/>
    <n v="1570.7986111111099"/>
    <n v="0.90421451249999896"/>
    <n v="1570.7986111111099"/>
    <n v="0.90421451249999896"/>
    <m/>
  </r>
  <r>
    <s v="5814.2"/>
    <x v="1"/>
    <x v="2"/>
    <x v="0"/>
    <s v="20A"/>
    <s v="160"/>
    <s v="Dolichospermum planctonicum "/>
    <b v="1"/>
    <n v="10"/>
    <n v="30.052631578947398"/>
    <m/>
    <n v="1793.85201388889"/>
    <n v="0.66372524513888898"/>
    <n v="1793.85201388889"/>
    <n v="0.66372524513888898"/>
    <m/>
  </r>
  <r>
    <s v="5814.3"/>
    <x v="1"/>
    <x v="2"/>
    <x v="0"/>
    <s v="20A"/>
    <s v="160"/>
    <s v="Microcystis wesenbergii"/>
    <b v="1"/>
    <n v="10"/>
    <n v="18"/>
    <m/>
    <n v="56.548749999999998"/>
    <n v="1.0762923587500001E-2"/>
    <n v="56.548749999999998"/>
    <n v="1.0762923587500001E-2"/>
    <s v="Microcystis spp._x000a_"/>
  </r>
  <r>
    <s v="5815.1"/>
    <x v="2"/>
    <x v="3"/>
    <x v="0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s v="Microcystis spp._x000a_"/>
  </r>
  <r>
    <s v="5815.2"/>
    <x v="2"/>
    <x v="3"/>
    <x v="0"/>
    <s v="20A"/>
    <s v="160"/>
    <s v="Dolichospermum sp"/>
    <b v="1"/>
    <n v="10"/>
    <n v="24.3"/>
    <n v="8"/>
    <n v="2137.5427500000001"/>
    <n v="0.4061331225"/>
    <n v="2137.5427500000001"/>
    <n v="0.4061331225"/>
    <m/>
  </r>
  <r>
    <s v="5815.3"/>
    <x v="2"/>
    <x v="3"/>
    <x v="0"/>
    <s v="20A"/>
    <s v="160"/>
    <s v="Anabaena torulosa"/>
    <b v="1"/>
    <n v="10"/>
    <n v="10"/>
    <m/>
    <n v="31.415972222222202"/>
    <n v="6.94292986111111E-3"/>
    <n v="31.415972222222202"/>
    <n v="6.94292986111111E-3"/>
    <m/>
  </r>
  <r>
    <s v="5815.4"/>
    <x v="2"/>
    <x v="3"/>
    <x v="0"/>
    <s v="20A"/>
    <s v="160"/>
    <s v="Picocyanobacteria"/>
    <b v="1"/>
    <n v="10"/>
    <n v="46.6666666666667"/>
    <m/>
    <n v="439.82361111111101"/>
    <n v="2.2870827777777801E-4"/>
    <n v="439.82361111111101"/>
    <n v="2.2870827777777801E-4"/>
    <m/>
  </r>
  <r>
    <s v="5815.5"/>
    <x v="2"/>
    <x v="3"/>
    <x v="0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815.6"/>
    <x v="2"/>
    <x v="3"/>
    <x v="0"/>
    <s v="20A"/>
    <s v="160"/>
    <s v="Dolichospermum planctonicum "/>
    <b v="1"/>
    <n v="10"/>
    <n v="22.3333333333333"/>
    <m/>
    <n v="210.48701388888901"/>
    <n v="7.78801951388889E-2"/>
    <n v="210.48701388888901"/>
    <n v="7.78801951388889E-2"/>
    <m/>
  </r>
  <r>
    <s v="5816.1"/>
    <x v="1"/>
    <x v="4"/>
    <x v="0"/>
    <s v="20A"/>
    <s v="160"/>
    <s v="Pseudanabaena limnetica (cylinder)"/>
    <b v="1"/>
    <n v="10"/>
    <n v="14"/>
    <m/>
    <n v="351.858888888889"/>
    <n v="2.7796852222222199E-2"/>
    <n v="351.858888888889"/>
    <n v="2.7796852222222199E-2"/>
    <m/>
  </r>
  <r>
    <s v="5816.2"/>
    <x v="1"/>
    <x v="4"/>
    <x v="0"/>
    <s v="20A"/>
    <s v="160"/>
    <s v="Dolichospermum circinale"/>
    <b v="1"/>
    <n v="10"/>
    <n v="32.266666666666701"/>
    <m/>
    <n v="1520.5330555555599"/>
    <n v="0.87527964810000303"/>
    <n v="1520.5330555555599"/>
    <n v="0.87527964810000303"/>
    <m/>
  </r>
  <r>
    <s v="5817.1"/>
    <x v="1"/>
    <x v="5"/>
    <x v="0"/>
    <s v="20A"/>
    <s v="160"/>
    <s v="Dolichospermum circinale"/>
    <b v="1"/>
    <n v="10"/>
    <n v="25.428571428571399"/>
    <m/>
    <n v="1118.4086111111101"/>
    <n v="0.64380073289999895"/>
    <n v="1118.4086111111101"/>
    <n v="0.64380073289999895"/>
    <m/>
  </r>
  <r>
    <s v="5817.2"/>
    <x v="1"/>
    <x v="5"/>
    <x v="0"/>
    <s v="20A"/>
    <s v="160"/>
    <s v="Dolichospermum planctonicum "/>
    <b v="1"/>
    <n v="10"/>
    <n v="15.3333333333333"/>
    <m/>
    <n v="144.51347222222199"/>
    <n v="5.34699847222221E-2"/>
    <n v="144.51347222222199"/>
    <n v="5.34699847222221E-2"/>
    <m/>
  </r>
  <r>
    <s v="5818.1"/>
    <x v="3"/>
    <x v="6"/>
    <x v="0"/>
    <s v="20A"/>
    <s v="160"/>
    <s v="Dolichospermum spiroides"/>
    <b v="1"/>
    <n v="10"/>
    <n v="29.6666666666667"/>
    <m/>
    <n v="559.20430555555504"/>
    <n v="0.145393119444445"/>
    <n v="559.20430555555595"/>
    <n v="0.145393119444445"/>
    <m/>
  </r>
  <r>
    <s v="5818.2"/>
    <x v="3"/>
    <x v="6"/>
    <x v="0"/>
    <s v="20A"/>
    <s v="160"/>
    <s v="Dolichospermum circinale"/>
    <b v="1"/>
    <n v="10"/>
    <n v="22.75"/>
    <n v="75"/>
    <n v="6789.7769965277803"/>
    <n v="3.90846723028125"/>
    <n v="6789.7769965277803"/>
    <n v="3.90846723028125"/>
    <m/>
  </r>
  <r>
    <s v="5818.3"/>
    <x v="3"/>
    <x v="6"/>
    <x v="0"/>
    <s v="20A"/>
    <s v="160"/>
    <s v="Dolichospermum planctonicum "/>
    <b v="1"/>
    <n v="10"/>
    <n v="14.5"/>
    <m/>
    <n v="182.21263888888899"/>
    <n v="6.7418676388888904E-2"/>
    <n v="182.21263888888899"/>
    <n v="6.7418676388888904E-2"/>
    <m/>
  </r>
  <r>
    <s v="5819.1"/>
    <x v="4"/>
    <x v="7"/>
    <x v="0"/>
    <s v="20A"/>
    <s v="160"/>
    <s v="Dolichospermum circinale"/>
    <b v="1"/>
    <n v="10"/>
    <n v="28.6666666666667"/>
    <m/>
    <n v="1080.7094444444399"/>
    <n v="0.62209958459999704"/>
    <n v="1080.7094444444399"/>
    <n v="0.62209958459999704"/>
    <m/>
  </r>
  <r>
    <s v="5819.2"/>
    <x v="4"/>
    <x v="7"/>
    <x v="0"/>
    <s v="20A"/>
    <s v="160"/>
    <s v="Microcystis sp"/>
    <b v="1"/>
    <n v="10"/>
    <n v="30"/>
    <m/>
    <n v="188.495833333333"/>
    <n v="1.35337315519557E-2"/>
    <n v="188.495833333333"/>
    <n v="1.35337315519557E-2"/>
    <s v="Microcystis spp._x000a_"/>
  </r>
  <r>
    <s v="5819.3"/>
    <x v="4"/>
    <x v="7"/>
    <x v="0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20.1"/>
    <x v="1"/>
    <x v="8"/>
    <x v="0"/>
    <s v="20A"/>
    <s v="160"/>
    <s v="Pseudanabaena limnetica (cylinder)"/>
    <b v="1"/>
    <n v="10"/>
    <n v="15.2"/>
    <m/>
    <n v="238.761388888889"/>
    <n v="1.88621497222222E-2"/>
    <n v="238.761388888889"/>
    <n v="1.88621497222222E-2"/>
    <m/>
  </r>
  <r>
    <s v="5820.2"/>
    <x v="1"/>
    <x v="8"/>
    <x v="0"/>
    <s v="20A"/>
    <s v="160"/>
    <s v="Dolichospermum circinale"/>
    <b v="1"/>
    <n v="10"/>
    <n v="23"/>
    <m/>
    <n v="1011.59430555556"/>
    <n v="0.58231414605000298"/>
    <n v="1011.59430555556"/>
    <n v="0.58231414605000298"/>
    <m/>
  </r>
  <r>
    <s v="5820.3"/>
    <x v="1"/>
    <x v="8"/>
    <x v="0"/>
    <s v="20A"/>
    <s v="160"/>
    <s v="Dolichospermum planctonicum "/>
    <b v="1"/>
    <n v="10"/>
    <n v="26.6666666666667"/>
    <m/>
    <n v="251.32777777777801"/>
    <n v="9.2991277777777895E-2"/>
    <n v="251.32777777777801"/>
    <n v="9.2991277777777895E-2"/>
    <m/>
  </r>
  <r>
    <s v="5821.1"/>
    <x v="0"/>
    <x v="9"/>
    <x v="0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2"/>
    <x v="0"/>
    <x v="9"/>
    <x v="0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3"/>
    <x v="0"/>
    <x v="9"/>
    <x v="0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821.4"/>
    <x v="0"/>
    <x v="9"/>
    <x v="0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22.1"/>
    <x v="0"/>
    <x v="10"/>
    <x v="0"/>
    <s v="20A"/>
    <s v="Whole Plate"/>
    <s v="Dolichospermum planctonicum "/>
    <b v="1"/>
    <n v="10"/>
    <n v="23.25"/>
    <n v="34"/>
    <n v="125.55"/>
    <n v="4.6453500000000002E-2"/>
    <n v="125.55"/>
    <n v="4.6453500000000002E-2"/>
    <m/>
  </r>
  <r>
    <s v="5822.2"/>
    <x v="0"/>
    <x v="10"/>
    <x v="0"/>
    <s v="20A"/>
    <s v="Whole Plate"/>
    <s v="Dolichospermum spiroides"/>
    <b v="1"/>
    <n v="10"/>
    <n v="12"/>
    <m/>
    <n v="1.2"/>
    <n v="3.1199999999999999E-4"/>
    <n v="1.2"/>
    <n v="3.1199999999999999E-4"/>
    <m/>
  </r>
  <r>
    <s v="5822.3"/>
    <x v="0"/>
    <x v="10"/>
    <x v="0"/>
    <s v="20A"/>
    <s v="Whole Plate"/>
    <s v="Dolichospermum sp"/>
    <b v="1"/>
    <n v="10"/>
    <n v="20.2"/>
    <n v="29"/>
    <n v="98.98"/>
    <n v="1.8806199999999999E-2"/>
    <n v="98.98"/>
    <n v="1.8806199999999999E-2"/>
    <m/>
  </r>
  <r>
    <s v="5823.1"/>
    <x v="0"/>
    <x v="11"/>
    <x v="0"/>
    <s v="20A"/>
    <s v="Whole Plate"/>
    <s v="Dolichospermum sp"/>
    <b v="1"/>
    <n v="10"/>
    <n v="17.7"/>
    <n v="4"/>
    <n v="42.48"/>
    <n v="8.0712000000000006E-3"/>
    <n v="42.48"/>
    <n v="8.0712000000000006E-3"/>
    <m/>
  </r>
  <r>
    <s v="5823.2"/>
    <x v="0"/>
    <x v="11"/>
    <x v="0"/>
    <s v="20A"/>
    <s v="Whole Plate"/>
    <s v="Dolichospermum planctonicum "/>
    <b v="1"/>
    <n v="10"/>
    <n v="9"/>
    <m/>
    <n v="2.7"/>
    <n v="9.990000000000001E-4"/>
    <n v="2.7"/>
    <n v="9.990000000000001E-4"/>
    <m/>
  </r>
  <r>
    <s v="5824.1"/>
    <x v="2"/>
    <x v="12"/>
    <x v="0"/>
    <s v="20A"/>
    <s v="Whole Plate"/>
    <s v="Microcystis sp"/>
    <b v="1"/>
    <n v="10"/>
    <n v="21.1"/>
    <m/>
    <n v="21.1"/>
    <n v="1.5149498569620001E-3"/>
    <n v="21.1"/>
    <n v="1.5149498569620001E-3"/>
    <s v="Microcystis spp._x000a_"/>
  </r>
  <r>
    <s v="5824.2"/>
    <x v="2"/>
    <x v="12"/>
    <x v="0"/>
    <s v="20A"/>
    <s v="Whole Plate"/>
    <s v="Oscillatoria sp"/>
    <b v="1"/>
    <n v="10"/>
    <n v="162"/>
    <m/>
    <n v="32.4"/>
    <n v="8.7625800000000004E-2"/>
    <n v="32.4"/>
    <n v="8.7625800000000004E-2"/>
    <m/>
  </r>
  <r>
    <s v="5824.3"/>
    <x v="2"/>
    <x v="12"/>
    <x v="0"/>
    <s v="20A"/>
    <s v="Whole Plate"/>
    <s v="Merismopedia sp"/>
    <b v="0"/>
    <n v="10"/>
    <n v="24"/>
    <m/>
    <n v="4.8"/>
    <n v="1.0560000000000001E-4"/>
    <n v="0"/>
    <n v="0"/>
    <m/>
  </r>
  <r>
    <s v="5824.4"/>
    <x v="2"/>
    <x v="12"/>
    <x v="0"/>
    <s v="20A"/>
    <s v="Whole Plate"/>
    <s v="Pseudanabaena limnetica (cylinder)"/>
    <b v="1"/>
    <n v="10"/>
    <n v="12.6666666666667"/>
    <m/>
    <n v="7.6"/>
    <n v="6.0039999999999996E-4"/>
    <n v="7.6"/>
    <n v="6.0039999999999996E-4"/>
    <m/>
  </r>
  <r>
    <s v="5824.5"/>
    <x v="2"/>
    <x v="12"/>
    <x v="0"/>
    <s v="20A"/>
    <s v="Whole Plate"/>
    <s v="Dolichospermum sp"/>
    <b v="1"/>
    <n v="10"/>
    <n v="13.3333333333333"/>
    <m/>
    <n v="4"/>
    <n v="7.6000000000000004E-4"/>
    <n v="4"/>
    <n v="7.6000000000000004E-4"/>
    <m/>
  </r>
  <r>
    <s v="5824.6"/>
    <x v="2"/>
    <x v="12"/>
    <x v="0"/>
    <s v="20A"/>
    <s v="Whole Plate"/>
    <s v="Anabaena torulosa"/>
    <b v="1"/>
    <n v="10"/>
    <n v="16"/>
    <m/>
    <n v="1.6"/>
    <n v="3.5359999999999998E-4"/>
    <n v="1.6"/>
    <n v="3.5359999999999998E-4"/>
    <m/>
  </r>
  <r>
    <s v="5824.7"/>
    <x v="2"/>
    <x v="12"/>
    <x v="0"/>
    <s v="20A"/>
    <s v="Whole Plate"/>
    <s v="Coelosphaerium kuetzingianum"/>
    <b v="0"/>
    <n v="10"/>
    <n v="44"/>
    <m/>
    <n v="8.8000000000000007"/>
    <n v="7.8232000000000006E-5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9"/>
    </i>
    <i r="1">
      <x v="10"/>
    </i>
    <i r="1">
      <x v="11"/>
    </i>
    <i>
      <x v="1"/>
      <x v="2"/>
    </i>
    <i r="1">
      <x v="4"/>
    </i>
    <i r="1">
      <x v="5"/>
    </i>
    <i r="1">
      <x v="8"/>
    </i>
    <i>
      <x v="2"/>
      <x v="3"/>
    </i>
    <i r="1">
      <x v="12"/>
    </i>
    <i>
      <x v="3"/>
      <x v="6"/>
    </i>
    <i>
      <x v="4"/>
      <x v="7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11">
    <format dxfId="23">
      <pivotArea outline="0" fieldPosition="0">
        <references count="1">
          <reference field="1" count="1" selected="0">
            <x v="4"/>
          </reference>
        </references>
      </pivotArea>
    </format>
    <format dxfId="22">
      <pivotArea outline="0" fieldPosition="0">
        <references count="2">
          <reference field="1" count="1" selected="0">
            <x v="2"/>
          </reference>
          <reference field="2" count="1" selected="0">
            <x v="12"/>
          </reference>
        </references>
      </pivotArea>
    </format>
    <format dxfId="21">
      <pivotArea outline="0" fieldPosition="0">
        <references count="2">
          <reference field="1" count="1" selected="0">
            <x v="0"/>
          </reference>
          <reference field="2" count="3" selected="0">
            <x v="9"/>
            <x v="10"/>
            <x v="11"/>
          </reference>
        </references>
      </pivotArea>
    </format>
    <format dxfId="20">
      <pivotArea outline="0" fieldPosition="0">
        <references count="2">
          <reference field="1" count="1" selected="0">
            <x v="0"/>
          </reference>
          <reference field="2" count="1" selected="0">
            <x v="1"/>
          </reference>
        </references>
      </pivotArea>
    </format>
    <format dxfId="19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18">
      <pivotArea outline="0" fieldPosition="0">
        <references count="2">
          <reference field="1" count="1" selected="0">
            <x v="1"/>
          </reference>
          <reference field="2" count="1" selected="0">
            <x v="2"/>
          </reference>
        </references>
      </pivotArea>
    </format>
    <format dxfId="17">
      <pivotArea outline="0" fieldPosition="0">
        <references count="2">
          <reference field="1" count="1" selected="0">
            <x v="1"/>
          </reference>
          <reference field="2" count="3" selected="0">
            <x v="4"/>
            <x v="5"/>
            <x v="8"/>
          </reference>
        </references>
      </pivotArea>
    </format>
    <format dxfId="16">
      <pivotArea outline="0" fieldPosition="0">
        <references count="2">
          <reference field="1" count="1" selected="0">
            <x v="2"/>
          </reference>
          <reference field="2" count="1" selected="0">
            <x v="3"/>
          </reference>
        </references>
      </pivotArea>
    </format>
    <format dxfId="15">
      <pivotArea outline="0" fieldPosition="0">
        <references count="4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  <reference field="3" count="0" selected="0"/>
        </references>
      </pivotArea>
    </format>
    <format dxfId="14">
      <pivotArea outline="0" fieldPosition="0">
        <references count="4">
          <reference field="4294967294" count="1" selected="0">
            <x v="1"/>
          </reference>
          <reference field="1" count="1" selected="0">
            <x v="3"/>
          </reference>
          <reference field="2" count="1" selected="0">
            <x v="6"/>
          </reference>
          <reference field="3" count="0" selected="0"/>
        </references>
      </pivotArea>
    </format>
    <format dxfId="13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9"/>
    </i>
    <i r="1">
      <x v="10"/>
    </i>
    <i r="1">
      <x v="11"/>
    </i>
    <i>
      <x v="1"/>
      <x v="2"/>
    </i>
    <i r="1">
      <x v="4"/>
    </i>
    <i r="1">
      <x v="5"/>
    </i>
    <i r="1">
      <x v="8"/>
    </i>
    <i>
      <x v="2"/>
      <x v="3"/>
    </i>
    <i r="1">
      <x v="12"/>
    </i>
    <i>
      <x v="3"/>
      <x v="6"/>
    </i>
    <i>
      <x v="4"/>
      <x v="7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4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3">
        <item x="0"/>
        <item x="1"/>
        <item x="2"/>
      </items>
    </pivotField>
    <pivotField name="Site" axis="axisRow" compact="0" outline="0" showAll="0" defaultSubtotal="0">
      <items count="4">
        <item x="0"/>
        <item x="1"/>
        <item x="2"/>
        <item x="3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4">
    <i>
      <x/>
      <x/>
    </i>
    <i>
      <x v="1"/>
      <x v="1"/>
    </i>
    <i r="1">
      <x v="3"/>
    </i>
    <i>
      <x v="2"/>
      <x v="2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formats count="1">
    <format dxfId="12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45" totalsRowShown="0">
  <autoFilter ref="A1:P45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5" totalsRowShown="0">
  <autoFilter ref="A1:P5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workbookViewId="0"/>
  </sheetViews>
  <sheetFormatPr defaultRowHeight="14.4" x14ac:dyDescent="0.55000000000000004"/>
  <cols>
    <col min="1" max="1" width="12.47265625" customWidth="1"/>
    <col min="2" max="2" width="11.7890625" customWidth="1"/>
    <col min="3" max="3" width="13.7890625" customWidth="1"/>
    <col min="4" max="4" width="14.7890625" customWidth="1"/>
    <col min="5" max="5" width="18.62890625" customWidth="1"/>
    <col min="6" max="6" width="14.47265625" customWidth="1"/>
    <col min="7" max="7" width="32.15625" customWidth="1"/>
    <col min="8" max="8" width="16.62890625" customWidth="1"/>
    <col min="9" max="9" width="20.734375" customWidth="1"/>
    <col min="10" max="10" width="18.26171875" customWidth="1"/>
    <col min="11" max="11" width="20.7890625" customWidth="1"/>
    <col min="12" max="12" width="18.26171875" customWidth="1"/>
    <col min="13" max="13" width="22.5234375" customWidth="1"/>
    <col min="14" max="14" width="23.47265625" customWidth="1"/>
    <col min="15" max="15" width="27.3671875" customWidth="1"/>
    <col min="16" max="16" width="15.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32</v>
      </c>
      <c r="L2">
        <v>100.531111111111</v>
      </c>
      <c r="M2">
        <v>2.2116844444444398E-3</v>
      </c>
      <c r="N2">
        <v>0</v>
      </c>
      <c r="O2">
        <v>0</v>
      </c>
    </row>
    <row r="3" spans="1:16" x14ac:dyDescent="0.55000000000000004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19.923076923076898</v>
      </c>
      <c r="L3">
        <v>813.67368055555596</v>
      </c>
      <c r="M3">
        <v>0.468383117475</v>
      </c>
      <c r="N3">
        <v>813.67368055555596</v>
      </c>
      <c r="O3">
        <v>0.468383117475</v>
      </c>
    </row>
    <row r="4" spans="1:16" x14ac:dyDescent="0.55000000000000004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35</v>
      </c>
      <c r="L4">
        <v>219.91180555555599</v>
      </c>
      <c r="M4">
        <v>8.1367368055555694E-2</v>
      </c>
      <c r="N4">
        <v>219.91180555555599</v>
      </c>
      <c r="O4">
        <v>8.1367368055555694E-2</v>
      </c>
    </row>
    <row r="5" spans="1:16" x14ac:dyDescent="0.55000000000000004">
      <c r="A5" t="s">
        <v>27</v>
      </c>
      <c r="B5" t="s">
        <v>17</v>
      </c>
      <c r="C5" t="s">
        <v>28</v>
      </c>
      <c r="D5" t="s">
        <v>19</v>
      </c>
      <c r="E5" t="s">
        <v>20</v>
      </c>
      <c r="F5" t="s">
        <v>21</v>
      </c>
      <c r="G5" t="s">
        <v>26</v>
      </c>
      <c r="H5" t="b">
        <v>1</v>
      </c>
      <c r="I5">
        <v>10</v>
      </c>
      <c r="J5">
        <v>14.4285714285714</v>
      </c>
      <c r="L5">
        <v>634.60263888888903</v>
      </c>
      <c r="M5">
        <v>0.234802976388889</v>
      </c>
      <c r="N5">
        <v>634.60263888888903</v>
      </c>
      <c r="O5">
        <v>0.234802976388889</v>
      </c>
    </row>
    <row r="6" spans="1:16" x14ac:dyDescent="0.55000000000000004">
      <c r="A6" t="s">
        <v>29</v>
      </c>
      <c r="B6" t="s">
        <v>17</v>
      </c>
      <c r="C6" t="s">
        <v>28</v>
      </c>
      <c r="D6" t="s">
        <v>19</v>
      </c>
      <c r="E6" t="s">
        <v>20</v>
      </c>
      <c r="F6" t="s">
        <v>21</v>
      </c>
      <c r="G6" t="s">
        <v>24</v>
      </c>
      <c r="H6" t="b">
        <v>1</v>
      </c>
      <c r="I6">
        <v>10</v>
      </c>
      <c r="J6">
        <v>12.6666666666667</v>
      </c>
      <c r="L6">
        <v>238.761388888889</v>
      </c>
      <c r="M6">
        <v>0.13744060590000001</v>
      </c>
      <c r="N6">
        <v>238.761388888889</v>
      </c>
      <c r="O6">
        <v>0.13744060590000001</v>
      </c>
    </row>
    <row r="7" spans="1:16" x14ac:dyDescent="0.55000000000000004">
      <c r="A7" t="s">
        <v>30</v>
      </c>
      <c r="B7" t="s">
        <v>17</v>
      </c>
      <c r="C7" t="s">
        <v>28</v>
      </c>
      <c r="D7" t="s">
        <v>19</v>
      </c>
      <c r="E7" t="s">
        <v>20</v>
      </c>
      <c r="F7" t="s">
        <v>21</v>
      </c>
      <c r="G7" t="s">
        <v>31</v>
      </c>
      <c r="H7" t="b">
        <v>1</v>
      </c>
      <c r="I7">
        <v>10</v>
      </c>
      <c r="J7">
        <v>8</v>
      </c>
      <c r="L7">
        <v>25.1327777777778</v>
      </c>
      <c r="M7">
        <v>1.98548944444445E-3</v>
      </c>
      <c r="N7">
        <v>25.1327777777778</v>
      </c>
      <c r="O7">
        <v>1.98548944444445E-3</v>
      </c>
    </row>
    <row r="8" spans="1:16" x14ac:dyDescent="0.55000000000000004">
      <c r="A8" t="s">
        <v>32</v>
      </c>
      <c r="B8" t="s">
        <v>33</v>
      </c>
      <c r="C8" t="s">
        <v>34</v>
      </c>
      <c r="D8" t="s">
        <v>19</v>
      </c>
      <c r="E8" t="s">
        <v>20</v>
      </c>
      <c r="F8" t="s">
        <v>21</v>
      </c>
      <c r="G8" t="s">
        <v>24</v>
      </c>
      <c r="H8" t="b">
        <v>1</v>
      </c>
      <c r="I8">
        <v>10</v>
      </c>
      <c r="J8">
        <v>35.714285714285701</v>
      </c>
      <c r="L8">
        <v>1570.7986111111099</v>
      </c>
      <c r="M8">
        <v>0.90421451249999896</v>
      </c>
      <c r="N8">
        <v>1570.7986111111099</v>
      </c>
      <c r="O8">
        <v>0.90421451249999896</v>
      </c>
    </row>
    <row r="9" spans="1:16" x14ac:dyDescent="0.55000000000000004">
      <c r="A9" t="s">
        <v>35</v>
      </c>
      <c r="B9" t="s">
        <v>33</v>
      </c>
      <c r="C9" t="s">
        <v>34</v>
      </c>
      <c r="D9" t="s">
        <v>19</v>
      </c>
      <c r="E9" t="s">
        <v>20</v>
      </c>
      <c r="F9" t="s">
        <v>21</v>
      </c>
      <c r="G9" t="s">
        <v>26</v>
      </c>
      <c r="H9" t="b">
        <v>1</v>
      </c>
      <c r="I9">
        <v>10</v>
      </c>
      <c r="J9">
        <v>30.052631578947398</v>
      </c>
      <c r="L9">
        <v>1793.85201388889</v>
      </c>
      <c r="M9">
        <v>0.66372524513888898</v>
      </c>
      <c r="N9">
        <v>1793.85201388889</v>
      </c>
      <c r="O9">
        <v>0.66372524513888898</v>
      </c>
    </row>
    <row r="10" spans="1:16" ht="28.8" x14ac:dyDescent="0.55000000000000004">
      <c r="A10" t="s">
        <v>36</v>
      </c>
      <c r="B10" t="s">
        <v>33</v>
      </c>
      <c r="C10" t="s">
        <v>34</v>
      </c>
      <c r="D10" t="s">
        <v>19</v>
      </c>
      <c r="E10" t="s">
        <v>20</v>
      </c>
      <c r="F10" t="s">
        <v>21</v>
      </c>
      <c r="G10" t="s">
        <v>37</v>
      </c>
      <c r="H10" t="b">
        <v>1</v>
      </c>
      <c r="I10">
        <v>10</v>
      </c>
      <c r="J10">
        <v>18</v>
      </c>
      <c r="L10">
        <v>56.548749999999998</v>
      </c>
      <c r="M10">
        <v>1.0762923587500001E-2</v>
      </c>
      <c r="N10">
        <v>56.548749999999998</v>
      </c>
      <c r="O10">
        <v>1.0762923587500001E-2</v>
      </c>
      <c r="P10" s="1" t="s">
        <v>38</v>
      </c>
    </row>
    <row r="11" spans="1:16" ht="28.8" x14ac:dyDescent="0.55000000000000004">
      <c r="A11" t="s">
        <v>39</v>
      </c>
      <c r="B11" t="s">
        <v>40</v>
      </c>
      <c r="C11" t="s">
        <v>41</v>
      </c>
      <c r="D11" t="s">
        <v>19</v>
      </c>
      <c r="E11" t="s">
        <v>20</v>
      </c>
      <c r="F11" t="s">
        <v>21</v>
      </c>
      <c r="G11" t="s">
        <v>37</v>
      </c>
      <c r="H11" t="b">
        <v>1</v>
      </c>
      <c r="I11">
        <v>10</v>
      </c>
      <c r="J11">
        <v>34.6666666666667</v>
      </c>
      <c r="L11">
        <v>326.72611111111098</v>
      </c>
      <c r="M11">
        <v>6.2185780727777799E-2</v>
      </c>
      <c r="N11">
        <v>326.72611111111098</v>
      </c>
      <c r="O11">
        <v>6.2185780727777799E-2</v>
      </c>
      <c r="P11" s="1" t="s">
        <v>38</v>
      </c>
    </row>
    <row r="12" spans="1:16" x14ac:dyDescent="0.55000000000000004">
      <c r="A12" t="s">
        <v>42</v>
      </c>
      <c r="B12" t="s">
        <v>40</v>
      </c>
      <c r="C12" t="s">
        <v>41</v>
      </c>
      <c r="D12" t="s">
        <v>19</v>
      </c>
      <c r="E12" t="s">
        <v>20</v>
      </c>
      <c r="F12" t="s">
        <v>21</v>
      </c>
      <c r="G12" t="s">
        <v>43</v>
      </c>
      <c r="H12" t="b">
        <v>1</v>
      </c>
      <c r="I12">
        <v>10</v>
      </c>
      <c r="J12">
        <v>24.3</v>
      </c>
      <c r="K12">
        <v>8</v>
      </c>
      <c r="L12">
        <v>2137.5427500000001</v>
      </c>
      <c r="M12">
        <v>0.4061331225</v>
      </c>
      <c r="N12">
        <v>2137.5427500000001</v>
      </c>
      <c r="O12">
        <v>0.4061331225</v>
      </c>
    </row>
    <row r="13" spans="1:16" x14ac:dyDescent="0.55000000000000004">
      <c r="A13" t="s">
        <v>44</v>
      </c>
      <c r="B13" t="s">
        <v>40</v>
      </c>
      <c r="C13" t="s">
        <v>41</v>
      </c>
      <c r="D13" t="s">
        <v>19</v>
      </c>
      <c r="E13" t="s">
        <v>20</v>
      </c>
      <c r="F13" t="s">
        <v>21</v>
      </c>
      <c r="G13" t="s">
        <v>45</v>
      </c>
      <c r="H13" t="b">
        <v>1</v>
      </c>
      <c r="I13">
        <v>10</v>
      </c>
      <c r="J13">
        <v>10</v>
      </c>
      <c r="L13">
        <v>31.415972222222202</v>
      </c>
      <c r="M13">
        <v>6.94292986111111E-3</v>
      </c>
      <c r="N13">
        <v>31.415972222222202</v>
      </c>
      <c r="O13">
        <v>6.94292986111111E-3</v>
      </c>
    </row>
    <row r="14" spans="1:16" x14ac:dyDescent="0.55000000000000004">
      <c r="A14" t="s">
        <v>46</v>
      </c>
      <c r="B14" t="s">
        <v>40</v>
      </c>
      <c r="C14" t="s">
        <v>41</v>
      </c>
      <c r="D14" t="s">
        <v>19</v>
      </c>
      <c r="E14" t="s">
        <v>20</v>
      </c>
      <c r="F14" t="s">
        <v>21</v>
      </c>
      <c r="G14" t="s">
        <v>47</v>
      </c>
      <c r="H14" t="b">
        <v>1</v>
      </c>
      <c r="I14">
        <v>10</v>
      </c>
      <c r="J14">
        <v>46.6666666666667</v>
      </c>
      <c r="L14">
        <v>439.82361111111101</v>
      </c>
      <c r="M14">
        <v>2.2870827777777801E-4</v>
      </c>
      <c r="N14">
        <v>439.82361111111101</v>
      </c>
      <c r="O14">
        <v>2.2870827777777801E-4</v>
      </c>
    </row>
    <row r="15" spans="1:16" x14ac:dyDescent="0.55000000000000004">
      <c r="A15" t="s">
        <v>48</v>
      </c>
      <c r="B15" t="s">
        <v>40</v>
      </c>
      <c r="C15" t="s">
        <v>41</v>
      </c>
      <c r="D15" t="s">
        <v>19</v>
      </c>
      <c r="E15" t="s">
        <v>20</v>
      </c>
      <c r="F15" t="s">
        <v>21</v>
      </c>
      <c r="G15" t="s">
        <v>49</v>
      </c>
      <c r="H15" t="b">
        <v>1</v>
      </c>
      <c r="I15">
        <v>10</v>
      </c>
      <c r="J15">
        <v>16</v>
      </c>
      <c r="L15">
        <v>50.265555555555601</v>
      </c>
      <c r="M15">
        <v>1.30690444444445E-2</v>
      </c>
      <c r="N15">
        <v>50.265555555555601</v>
      </c>
      <c r="O15">
        <v>1.30690444444445E-2</v>
      </c>
    </row>
    <row r="16" spans="1:16" x14ac:dyDescent="0.55000000000000004">
      <c r="A16" t="s">
        <v>50</v>
      </c>
      <c r="B16" t="s">
        <v>40</v>
      </c>
      <c r="C16" t="s">
        <v>41</v>
      </c>
      <c r="D16" t="s">
        <v>19</v>
      </c>
      <c r="E16" t="s">
        <v>20</v>
      </c>
      <c r="F16" t="s">
        <v>21</v>
      </c>
      <c r="G16" t="s">
        <v>26</v>
      </c>
      <c r="H16" t="b">
        <v>1</v>
      </c>
      <c r="I16">
        <v>10</v>
      </c>
      <c r="J16">
        <v>22.3333333333333</v>
      </c>
      <c r="L16">
        <v>210.48701388888901</v>
      </c>
      <c r="M16">
        <v>7.78801951388889E-2</v>
      </c>
      <c r="N16">
        <v>210.48701388888901</v>
      </c>
      <c r="O16">
        <v>7.78801951388889E-2</v>
      </c>
    </row>
    <row r="17" spans="1:16" x14ac:dyDescent="0.55000000000000004">
      <c r="A17" t="s">
        <v>51</v>
      </c>
      <c r="B17" t="s">
        <v>33</v>
      </c>
      <c r="C17" t="s">
        <v>52</v>
      </c>
      <c r="D17" t="s">
        <v>19</v>
      </c>
      <c r="E17" t="s">
        <v>20</v>
      </c>
      <c r="F17" t="s">
        <v>21</v>
      </c>
      <c r="G17" t="s">
        <v>31</v>
      </c>
      <c r="H17" t="b">
        <v>1</v>
      </c>
      <c r="I17">
        <v>10</v>
      </c>
      <c r="J17">
        <v>14</v>
      </c>
      <c r="L17">
        <v>351.858888888889</v>
      </c>
      <c r="M17">
        <v>2.7796852222222199E-2</v>
      </c>
      <c r="N17">
        <v>351.858888888889</v>
      </c>
      <c r="O17">
        <v>2.7796852222222199E-2</v>
      </c>
    </row>
    <row r="18" spans="1:16" x14ac:dyDescent="0.55000000000000004">
      <c r="A18" t="s">
        <v>53</v>
      </c>
      <c r="B18" t="s">
        <v>33</v>
      </c>
      <c r="C18" t="s">
        <v>52</v>
      </c>
      <c r="D18" t="s">
        <v>19</v>
      </c>
      <c r="E18" t="s">
        <v>20</v>
      </c>
      <c r="F18" t="s">
        <v>21</v>
      </c>
      <c r="G18" t="s">
        <v>24</v>
      </c>
      <c r="H18" t="b">
        <v>1</v>
      </c>
      <c r="I18">
        <v>10</v>
      </c>
      <c r="J18">
        <v>32.266666666666701</v>
      </c>
      <c r="L18">
        <v>1520.5330555555599</v>
      </c>
      <c r="M18">
        <v>0.87527964810000303</v>
      </c>
      <c r="N18">
        <v>1520.5330555555599</v>
      </c>
      <c r="O18">
        <v>0.87527964810000303</v>
      </c>
    </row>
    <row r="19" spans="1:16" x14ac:dyDescent="0.55000000000000004">
      <c r="A19" t="s">
        <v>54</v>
      </c>
      <c r="B19" t="s">
        <v>33</v>
      </c>
      <c r="C19" t="s">
        <v>55</v>
      </c>
      <c r="D19" t="s">
        <v>19</v>
      </c>
      <c r="E19" t="s">
        <v>20</v>
      </c>
      <c r="F19" t="s">
        <v>21</v>
      </c>
      <c r="G19" t="s">
        <v>24</v>
      </c>
      <c r="H19" t="b">
        <v>1</v>
      </c>
      <c r="I19">
        <v>10</v>
      </c>
      <c r="J19">
        <v>25.428571428571399</v>
      </c>
      <c r="L19">
        <v>1118.4086111111101</v>
      </c>
      <c r="M19">
        <v>0.64380073289999895</v>
      </c>
      <c r="N19">
        <v>1118.4086111111101</v>
      </c>
      <c r="O19">
        <v>0.64380073289999895</v>
      </c>
    </row>
    <row r="20" spans="1:16" x14ac:dyDescent="0.55000000000000004">
      <c r="A20" t="s">
        <v>56</v>
      </c>
      <c r="B20" t="s">
        <v>33</v>
      </c>
      <c r="C20" t="s">
        <v>55</v>
      </c>
      <c r="D20" t="s">
        <v>19</v>
      </c>
      <c r="E20" t="s">
        <v>20</v>
      </c>
      <c r="F20" t="s">
        <v>21</v>
      </c>
      <c r="G20" t="s">
        <v>26</v>
      </c>
      <c r="H20" t="b">
        <v>1</v>
      </c>
      <c r="I20">
        <v>10</v>
      </c>
      <c r="J20">
        <v>15.3333333333333</v>
      </c>
      <c r="L20">
        <v>144.51347222222199</v>
      </c>
      <c r="M20">
        <v>5.34699847222221E-2</v>
      </c>
      <c r="N20">
        <v>144.51347222222199</v>
      </c>
      <c r="O20">
        <v>5.34699847222221E-2</v>
      </c>
    </row>
    <row r="21" spans="1:16" x14ac:dyDescent="0.55000000000000004">
      <c r="A21" t="s">
        <v>57</v>
      </c>
      <c r="B21" t="s">
        <v>58</v>
      </c>
      <c r="C21" t="s">
        <v>59</v>
      </c>
      <c r="D21" t="s">
        <v>19</v>
      </c>
      <c r="E21" t="s">
        <v>20</v>
      </c>
      <c r="F21" t="s">
        <v>21</v>
      </c>
      <c r="G21" t="s">
        <v>49</v>
      </c>
      <c r="H21" t="b">
        <v>1</v>
      </c>
      <c r="I21">
        <v>10</v>
      </c>
      <c r="J21">
        <v>29.6666666666667</v>
      </c>
      <c r="L21">
        <v>559.20430555555504</v>
      </c>
      <c r="M21">
        <v>0.145393119444445</v>
      </c>
      <c r="N21">
        <v>559.20430555555595</v>
      </c>
      <c r="O21">
        <v>0.145393119444445</v>
      </c>
    </row>
    <row r="22" spans="1:16" x14ac:dyDescent="0.55000000000000004">
      <c r="A22" t="s">
        <v>60</v>
      </c>
      <c r="B22" t="s">
        <v>58</v>
      </c>
      <c r="C22" t="s">
        <v>59</v>
      </c>
      <c r="D22" t="s">
        <v>19</v>
      </c>
      <c r="E22" t="s">
        <v>20</v>
      </c>
      <c r="F22" t="s">
        <v>21</v>
      </c>
      <c r="G22" t="s">
        <v>24</v>
      </c>
      <c r="H22" t="b">
        <v>1</v>
      </c>
      <c r="I22">
        <v>10</v>
      </c>
      <c r="J22">
        <v>22.75</v>
      </c>
      <c r="K22">
        <v>75</v>
      </c>
      <c r="L22">
        <v>6789.7769965277803</v>
      </c>
      <c r="M22">
        <v>3.90846723028125</v>
      </c>
      <c r="N22">
        <v>6789.7769965277803</v>
      </c>
      <c r="O22">
        <v>3.90846723028125</v>
      </c>
    </row>
    <row r="23" spans="1:16" x14ac:dyDescent="0.55000000000000004">
      <c r="A23" t="s">
        <v>61</v>
      </c>
      <c r="B23" t="s">
        <v>58</v>
      </c>
      <c r="C23" t="s">
        <v>59</v>
      </c>
      <c r="D23" t="s">
        <v>19</v>
      </c>
      <c r="E23" t="s">
        <v>20</v>
      </c>
      <c r="F23" t="s">
        <v>21</v>
      </c>
      <c r="G23" t="s">
        <v>26</v>
      </c>
      <c r="H23" t="b">
        <v>1</v>
      </c>
      <c r="I23">
        <v>10</v>
      </c>
      <c r="J23">
        <v>14.5</v>
      </c>
      <c r="L23">
        <v>182.21263888888899</v>
      </c>
      <c r="M23">
        <v>6.7418676388888904E-2</v>
      </c>
      <c r="N23">
        <v>182.21263888888899</v>
      </c>
      <c r="O23">
        <v>6.7418676388888904E-2</v>
      </c>
    </row>
    <row r="24" spans="1:16" x14ac:dyDescent="0.55000000000000004">
      <c r="A24" t="s">
        <v>62</v>
      </c>
      <c r="B24" t="s">
        <v>63</v>
      </c>
      <c r="C24" t="s">
        <v>64</v>
      </c>
      <c r="D24" t="s">
        <v>19</v>
      </c>
      <c r="E24" t="s">
        <v>20</v>
      </c>
      <c r="F24" t="s">
        <v>21</v>
      </c>
      <c r="G24" t="s">
        <v>24</v>
      </c>
      <c r="H24" t="b">
        <v>1</v>
      </c>
      <c r="I24">
        <v>10</v>
      </c>
      <c r="J24">
        <v>28.6666666666667</v>
      </c>
      <c r="L24">
        <v>1080.7094444444399</v>
      </c>
      <c r="M24">
        <v>0.62209958459999704</v>
      </c>
      <c r="N24">
        <v>1080.7094444444399</v>
      </c>
      <c r="O24">
        <v>0.62209958459999704</v>
      </c>
    </row>
    <row r="25" spans="1:16" ht="28.8" x14ac:dyDescent="0.55000000000000004">
      <c r="A25" t="s">
        <v>65</v>
      </c>
      <c r="B25" t="s">
        <v>63</v>
      </c>
      <c r="C25" t="s">
        <v>64</v>
      </c>
      <c r="D25" t="s">
        <v>19</v>
      </c>
      <c r="E25" t="s">
        <v>20</v>
      </c>
      <c r="F25" t="s">
        <v>21</v>
      </c>
      <c r="G25" t="s">
        <v>66</v>
      </c>
      <c r="H25" t="b">
        <v>1</v>
      </c>
      <c r="I25">
        <v>10</v>
      </c>
      <c r="J25">
        <v>30</v>
      </c>
      <c r="L25">
        <v>188.495833333333</v>
      </c>
      <c r="M25">
        <v>1.35337315519557E-2</v>
      </c>
      <c r="N25">
        <v>188.495833333333</v>
      </c>
      <c r="O25">
        <v>1.35337315519557E-2</v>
      </c>
      <c r="P25" s="1" t="s">
        <v>38</v>
      </c>
    </row>
    <row r="26" spans="1:16" x14ac:dyDescent="0.55000000000000004">
      <c r="A26" t="s">
        <v>67</v>
      </c>
      <c r="B26" t="s">
        <v>63</v>
      </c>
      <c r="C26" t="s">
        <v>64</v>
      </c>
      <c r="D26" t="s">
        <v>19</v>
      </c>
      <c r="E26" t="s">
        <v>20</v>
      </c>
      <c r="F26" t="s">
        <v>21</v>
      </c>
      <c r="G26" t="s">
        <v>26</v>
      </c>
      <c r="H26" t="b">
        <v>1</v>
      </c>
      <c r="I26">
        <v>10</v>
      </c>
      <c r="J26">
        <v>17</v>
      </c>
      <c r="L26">
        <v>106.814305555556</v>
      </c>
      <c r="M26">
        <v>3.9521293055555698E-2</v>
      </c>
      <c r="N26">
        <v>106.814305555556</v>
      </c>
      <c r="O26">
        <v>3.9521293055555698E-2</v>
      </c>
    </row>
    <row r="27" spans="1:16" x14ac:dyDescent="0.55000000000000004">
      <c r="A27" t="s">
        <v>68</v>
      </c>
      <c r="B27" t="s">
        <v>33</v>
      </c>
      <c r="C27" t="s">
        <v>69</v>
      </c>
      <c r="D27" t="s">
        <v>19</v>
      </c>
      <c r="E27" t="s">
        <v>20</v>
      </c>
      <c r="F27" t="s">
        <v>21</v>
      </c>
      <c r="G27" t="s">
        <v>31</v>
      </c>
      <c r="H27" t="b">
        <v>1</v>
      </c>
      <c r="I27">
        <v>10</v>
      </c>
      <c r="J27">
        <v>15.2</v>
      </c>
      <c r="L27">
        <v>238.761388888889</v>
      </c>
      <c r="M27">
        <v>1.88621497222222E-2</v>
      </c>
      <c r="N27">
        <v>238.761388888889</v>
      </c>
      <c r="O27">
        <v>1.88621497222222E-2</v>
      </c>
    </row>
    <row r="28" spans="1:16" x14ac:dyDescent="0.55000000000000004">
      <c r="A28" t="s">
        <v>70</v>
      </c>
      <c r="B28" t="s">
        <v>33</v>
      </c>
      <c r="C28" t="s">
        <v>69</v>
      </c>
      <c r="D28" t="s">
        <v>19</v>
      </c>
      <c r="E28" t="s">
        <v>20</v>
      </c>
      <c r="F28" t="s">
        <v>21</v>
      </c>
      <c r="G28" t="s">
        <v>24</v>
      </c>
      <c r="H28" t="b">
        <v>1</v>
      </c>
      <c r="I28">
        <v>10</v>
      </c>
      <c r="J28">
        <v>23</v>
      </c>
      <c r="L28">
        <v>1011.59430555556</v>
      </c>
      <c r="M28">
        <v>0.58231414605000298</v>
      </c>
      <c r="N28">
        <v>1011.59430555556</v>
      </c>
      <c r="O28">
        <v>0.58231414605000298</v>
      </c>
    </row>
    <row r="29" spans="1:16" x14ac:dyDescent="0.55000000000000004">
      <c r="A29" t="s">
        <v>71</v>
      </c>
      <c r="B29" t="s">
        <v>33</v>
      </c>
      <c r="C29" t="s">
        <v>69</v>
      </c>
      <c r="D29" t="s">
        <v>19</v>
      </c>
      <c r="E29" t="s">
        <v>20</v>
      </c>
      <c r="F29" t="s">
        <v>21</v>
      </c>
      <c r="G29" t="s">
        <v>26</v>
      </c>
      <c r="H29" t="b">
        <v>1</v>
      </c>
      <c r="I29">
        <v>10</v>
      </c>
      <c r="J29">
        <v>26.6666666666667</v>
      </c>
      <c r="L29">
        <v>251.32777777777801</v>
      </c>
      <c r="M29">
        <v>9.2991277777777895E-2</v>
      </c>
      <c r="N29">
        <v>251.32777777777801</v>
      </c>
      <c r="O29">
        <v>9.2991277777777895E-2</v>
      </c>
    </row>
    <row r="30" spans="1:16" x14ac:dyDescent="0.55000000000000004">
      <c r="A30" t="s">
        <v>72</v>
      </c>
      <c r="B30" t="s">
        <v>17</v>
      </c>
      <c r="C30" t="s">
        <v>73</v>
      </c>
      <c r="D30" t="s">
        <v>19</v>
      </c>
      <c r="E30" t="s">
        <v>20</v>
      </c>
      <c r="F30" t="s">
        <v>74</v>
      </c>
      <c r="G30" t="s">
        <v>43</v>
      </c>
      <c r="H30" t="b">
        <v>1</v>
      </c>
      <c r="I30">
        <v>10</v>
      </c>
      <c r="J30">
        <v>20.75</v>
      </c>
      <c r="K30">
        <v>20</v>
      </c>
      <c r="L30">
        <v>83</v>
      </c>
      <c r="M30">
        <v>1.5769999999999999E-2</v>
      </c>
      <c r="N30">
        <v>83</v>
      </c>
      <c r="O30">
        <v>1.5769999999999999E-2</v>
      </c>
    </row>
    <row r="31" spans="1:16" x14ac:dyDescent="0.55000000000000004">
      <c r="A31" t="s">
        <v>75</v>
      </c>
      <c r="B31" t="s">
        <v>17</v>
      </c>
      <c r="C31" t="s">
        <v>73</v>
      </c>
      <c r="D31" t="s">
        <v>19</v>
      </c>
      <c r="E31" t="s">
        <v>20</v>
      </c>
      <c r="F31" t="s">
        <v>74</v>
      </c>
      <c r="G31" t="s">
        <v>43</v>
      </c>
      <c r="H31" t="b">
        <v>1</v>
      </c>
      <c r="I31">
        <v>10</v>
      </c>
      <c r="J31">
        <v>20.75</v>
      </c>
      <c r="K31">
        <v>20</v>
      </c>
      <c r="L31">
        <v>83</v>
      </c>
      <c r="M31">
        <v>1.5769999999999999E-2</v>
      </c>
      <c r="N31">
        <v>83</v>
      </c>
      <c r="O31">
        <v>1.5769999999999999E-2</v>
      </c>
    </row>
    <row r="32" spans="1:16" x14ac:dyDescent="0.55000000000000004">
      <c r="A32" t="s">
        <v>76</v>
      </c>
      <c r="B32" t="s">
        <v>17</v>
      </c>
      <c r="C32" t="s">
        <v>73</v>
      </c>
      <c r="D32" t="s">
        <v>19</v>
      </c>
      <c r="E32" t="s">
        <v>20</v>
      </c>
      <c r="F32" t="s">
        <v>74</v>
      </c>
      <c r="G32" t="s">
        <v>26</v>
      </c>
      <c r="H32" t="b">
        <v>1</v>
      </c>
      <c r="I32">
        <v>10</v>
      </c>
      <c r="J32">
        <v>10.6666666666667</v>
      </c>
      <c r="L32">
        <v>3.2</v>
      </c>
      <c r="M32">
        <v>1.1839999999999999E-3</v>
      </c>
      <c r="N32">
        <v>3.2</v>
      </c>
      <c r="O32">
        <v>1.1839999999999999E-3</v>
      </c>
    </row>
    <row r="33" spans="1:16" x14ac:dyDescent="0.55000000000000004">
      <c r="A33" t="s">
        <v>77</v>
      </c>
      <c r="B33" t="s">
        <v>17</v>
      </c>
      <c r="C33" t="s">
        <v>73</v>
      </c>
      <c r="D33" t="s">
        <v>19</v>
      </c>
      <c r="E33" t="s">
        <v>20</v>
      </c>
      <c r="F33" t="s">
        <v>74</v>
      </c>
      <c r="G33" t="s">
        <v>31</v>
      </c>
      <c r="H33" t="b">
        <v>1</v>
      </c>
      <c r="I33">
        <v>10</v>
      </c>
      <c r="J33">
        <v>15</v>
      </c>
      <c r="L33">
        <v>3</v>
      </c>
      <c r="M33">
        <v>2.3699999999999999E-4</v>
      </c>
      <c r="N33">
        <v>3</v>
      </c>
      <c r="O33">
        <v>2.3699999999999999E-4</v>
      </c>
    </row>
    <row r="34" spans="1:16" x14ac:dyDescent="0.55000000000000004">
      <c r="A34" t="s">
        <v>78</v>
      </c>
      <c r="B34" t="s">
        <v>17</v>
      </c>
      <c r="C34" t="s">
        <v>79</v>
      </c>
      <c r="D34" t="s">
        <v>19</v>
      </c>
      <c r="E34" t="s">
        <v>20</v>
      </c>
      <c r="F34" t="s">
        <v>74</v>
      </c>
      <c r="G34" t="s">
        <v>26</v>
      </c>
      <c r="H34" t="b">
        <v>1</v>
      </c>
      <c r="I34">
        <v>10</v>
      </c>
      <c r="J34">
        <v>23.25</v>
      </c>
      <c r="K34">
        <v>34</v>
      </c>
      <c r="L34">
        <v>125.55</v>
      </c>
      <c r="M34">
        <v>4.6453500000000002E-2</v>
      </c>
      <c r="N34">
        <v>125.55</v>
      </c>
      <c r="O34">
        <v>4.6453500000000002E-2</v>
      </c>
    </row>
    <row r="35" spans="1:16" x14ac:dyDescent="0.55000000000000004">
      <c r="A35" t="s">
        <v>80</v>
      </c>
      <c r="B35" t="s">
        <v>17</v>
      </c>
      <c r="C35" t="s">
        <v>79</v>
      </c>
      <c r="D35" t="s">
        <v>19</v>
      </c>
      <c r="E35" t="s">
        <v>20</v>
      </c>
      <c r="F35" t="s">
        <v>74</v>
      </c>
      <c r="G35" t="s">
        <v>49</v>
      </c>
      <c r="H35" t="b">
        <v>1</v>
      </c>
      <c r="I35">
        <v>10</v>
      </c>
      <c r="J35">
        <v>12</v>
      </c>
      <c r="L35">
        <v>1.2</v>
      </c>
      <c r="M35">
        <v>3.1199999999999999E-4</v>
      </c>
      <c r="N35">
        <v>1.2</v>
      </c>
      <c r="O35">
        <v>3.1199999999999999E-4</v>
      </c>
    </row>
    <row r="36" spans="1:16" x14ac:dyDescent="0.55000000000000004">
      <c r="A36" t="s">
        <v>81</v>
      </c>
      <c r="B36" t="s">
        <v>17</v>
      </c>
      <c r="C36" t="s">
        <v>79</v>
      </c>
      <c r="D36" t="s">
        <v>19</v>
      </c>
      <c r="E36" t="s">
        <v>20</v>
      </c>
      <c r="F36" t="s">
        <v>74</v>
      </c>
      <c r="G36" t="s">
        <v>43</v>
      </c>
      <c r="H36" t="b">
        <v>1</v>
      </c>
      <c r="I36">
        <v>10</v>
      </c>
      <c r="J36">
        <v>20.2</v>
      </c>
      <c r="K36">
        <v>29</v>
      </c>
      <c r="L36">
        <v>98.98</v>
      </c>
      <c r="M36">
        <v>1.8806199999999999E-2</v>
      </c>
      <c r="N36">
        <v>98.98</v>
      </c>
      <c r="O36">
        <v>1.8806199999999999E-2</v>
      </c>
    </row>
    <row r="37" spans="1:16" x14ac:dyDescent="0.55000000000000004">
      <c r="A37" t="s">
        <v>82</v>
      </c>
      <c r="B37" t="s">
        <v>17</v>
      </c>
      <c r="C37" t="s">
        <v>83</v>
      </c>
      <c r="D37" t="s">
        <v>19</v>
      </c>
      <c r="E37" t="s">
        <v>20</v>
      </c>
      <c r="F37" t="s">
        <v>74</v>
      </c>
      <c r="G37" t="s">
        <v>43</v>
      </c>
      <c r="H37" t="b">
        <v>1</v>
      </c>
      <c r="I37">
        <v>10</v>
      </c>
      <c r="J37">
        <v>17.7</v>
      </c>
      <c r="K37">
        <v>4</v>
      </c>
      <c r="L37">
        <v>42.48</v>
      </c>
      <c r="M37">
        <v>8.0712000000000006E-3</v>
      </c>
      <c r="N37">
        <v>42.48</v>
      </c>
      <c r="O37">
        <v>8.0712000000000006E-3</v>
      </c>
    </row>
    <row r="38" spans="1:16" x14ac:dyDescent="0.55000000000000004">
      <c r="A38" t="s">
        <v>84</v>
      </c>
      <c r="B38" t="s">
        <v>17</v>
      </c>
      <c r="C38" t="s">
        <v>83</v>
      </c>
      <c r="D38" t="s">
        <v>19</v>
      </c>
      <c r="E38" t="s">
        <v>20</v>
      </c>
      <c r="F38" t="s">
        <v>74</v>
      </c>
      <c r="G38" t="s">
        <v>26</v>
      </c>
      <c r="H38" t="b">
        <v>1</v>
      </c>
      <c r="I38">
        <v>10</v>
      </c>
      <c r="J38">
        <v>9</v>
      </c>
      <c r="L38">
        <v>2.7</v>
      </c>
      <c r="M38">
        <v>9.990000000000001E-4</v>
      </c>
      <c r="N38">
        <v>2.7</v>
      </c>
      <c r="O38">
        <v>9.990000000000001E-4</v>
      </c>
    </row>
    <row r="39" spans="1:16" ht="28.8" x14ac:dyDescent="0.55000000000000004">
      <c r="A39" t="s">
        <v>85</v>
      </c>
      <c r="B39" t="s">
        <v>40</v>
      </c>
      <c r="C39" t="s">
        <v>86</v>
      </c>
      <c r="D39" t="s">
        <v>19</v>
      </c>
      <c r="E39" t="s">
        <v>20</v>
      </c>
      <c r="F39" t="s">
        <v>74</v>
      </c>
      <c r="G39" t="s">
        <v>66</v>
      </c>
      <c r="H39" t="b">
        <v>1</v>
      </c>
      <c r="I39">
        <v>10</v>
      </c>
      <c r="J39">
        <v>21.1</v>
      </c>
      <c r="L39">
        <v>21.1</v>
      </c>
      <c r="M39">
        <v>1.5149498569620001E-3</v>
      </c>
      <c r="N39">
        <v>21.1</v>
      </c>
      <c r="O39">
        <v>1.5149498569620001E-3</v>
      </c>
      <c r="P39" s="1" t="s">
        <v>38</v>
      </c>
    </row>
    <row r="40" spans="1:16" x14ac:dyDescent="0.55000000000000004">
      <c r="A40" t="s">
        <v>87</v>
      </c>
      <c r="B40" t="s">
        <v>40</v>
      </c>
      <c r="C40" t="s">
        <v>86</v>
      </c>
      <c r="D40" t="s">
        <v>19</v>
      </c>
      <c r="E40" t="s">
        <v>20</v>
      </c>
      <c r="F40" t="s">
        <v>74</v>
      </c>
      <c r="G40" t="s">
        <v>88</v>
      </c>
      <c r="H40" t="b">
        <v>1</v>
      </c>
      <c r="I40">
        <v>10</v>
      </c>
      <c r="J40">
        <v>162</v>
      </c>
      <c r="L40">
        <v>32.4</v>
      </c>
      <c r="M40">
        <v>8.7625800000000004E-2</v>
      </c>
      <c r="N40">
        <v>32.4</v>
      </c>
      <c r="O40">
        <v>8.7625800000000004E-2</v>
      </c>
    </row>
    <row r="41" spans="1:16" x14ac:dyDescent="0.55000000000000004">
      <c r="A41" t="s">
        <v>89</v>
      </c>
      <c r="B41" t="s">
        <v>40</v>
      </c>
      <c r="C41" t="s">
        <v>86</v>
      </c>
      <c r="D41" t="s">
        <v>19</v>
      </c>
      <c r="E41" t="s">
        <v>20</v>
      </c>
      <c r="F41" t="s">
        <v>74</v>
      </c>
      <c r="G41" t="s">
        <v>22</v>
      </c>
      <c r="H41" t="b">
        <v>0</v>
      </c>
      <c r="I41">
        <v>10</v>
      </c>
      <c r="J41">
        <v>24</v>
      </c>
      <c r="L41">
        <v>4.8</v>
      </c>
      <c r="M41">
        <v>1.0560000000000001E-4</v>
      </c>
      <c r="N41">
        <v>0</v>
      </c>
      <c r="O41">
        <v>0</v>
      </c>
    </row>
    <row r="42" spans="1:16" x14ac:dyDescent="0.55000000000000004">
      <c r="A42" t="s">
        <v>90</v>
      </c>
      <c r="B42" t="s">
        <v>40</v>
      </c>
      <c r="C42" t="s">
        <v>86</v>
      </c>
      <c r="D42" t="s">
        <v>19</v>
      </c>
      <c r="E42" t="s">
        <v>20</v>
      </c>
      <c r="F42" t="s">
        <v>74</v>
      </c>
      <c r="G42" t="s">
        <v>31</v>
      </c>
      <c r="H42" t="b">
        <v>1</v>
      </c>
      <c r="I42">
        <v>10</v>
      </c>
      <c r="J42">
        <v>12.6666666666667</v>
      </c>
      <c r="L42">
        <v>7.6</v>
      </c>
      <c r="M42">
        <v>6.0039999999999996E-4</v>
      </c>
      <c r="N42">
        <v>7.6</v>
      </c>
      <c r="O42">
        <v>6.0039999999999996E-4</v>
      </c>
    </row>
    <row r="43" spans="1:16" x14ac:dyDescent="0.55000000000000004">
      <c r="A43" t="s">
        <v>91</v>
      </c>
      <c r="B43" t="s">
        <v>40</v>
      </c>
      <c r="C43" t="s">
        <v>86</v>
      </c>
      <c r="D43" t="s">
        <v>19</v>
      </c>
      <c r="E43" t="s">
        <v>20</v>
      </c>
      <c r="F43" t="s">
        <v>74</v>
      </c>
      <c r="G43" t="s">
        <v>43</v>
      </c>
      <c r="H43" t="b">
        <v>1</v>
      </c>
      <c r="I43">
        <v>10</v>
      </c>
      <c r="J43">
        <v>13.3333333333333</v>
      </c>
      <c r="L43">
        <v>4</v>
      </c>
      <c r="M43">
        <v>7.6000000000000004E-4</v>
      </c>
      <c r="N43">
        <v>4</v>
      </c>
      <c r="O43">
        <v>7.6000000000000004E-4</v>
      </c>
    </row>
    <row r="44" spans="1:16" x14ac:dyDescent="0.55000000000000004">
      <c r="A44" t="s">
        <v>92</v>
      </c>
      <c r="B44" t="s">
        <v>40</v>
      </c>
      <c r="C44" t="s">
        <v>86</v>
      </c>
      <c r="D44" t="s">
        <v>19</v>
      </c>
      <c r="E44" t="s">
        <v>20</v>
      </c>
      <c r="F44" t="s">
        <v>74</v>
      </c>
      <c r="G44" t="s">
        <v>45</v>
      </c>
      <c r="H44" t="b">
        <v>1</v>
      </c>
      <c r="I44">
        <v>10</v>
      </c>
      <c r="J44">
        <v>16</v>
      </c>
      <c r="L44">
        <v>1.6</v>
      </c>
      <c r="M44">
        <v>3.5359999999999998E-4</v>
      </c>
      <c r="N44">
        <v>1.6</v>
      </c>
      <c r="O44">
        <v>3.5359999999999998E-4</v>
      </c>
    </row>
    <row r="45" spans="1:16" x14ac:dyDescent="0.55000000000000004">
      <c r="A45" t="s">
        <v>93</v>
      </c>
      <c r="B45" t="s">
        <v>40</v>
      </c>
      <c r="C45" t="s">
        <v>86</v>
      </c>
      <c r="D45" t="s">
        <v>19</v>
      </c>
      <c r="E45" t="s">
        <v>20</v>
      </c>
      <c r="F45" t="s">
        <v>74</v>
      </c>
      <c r="G45" t="s">
        <v>94</v>
      </c>
      <c r="H45" t="b">
        <v>0</v>
      </c>
      <c r="I45">
        <v>10</v>
      </c>
      <c r="J45">
        <v>44</v>
      </c>
      <c r="L45">
        <v>8.8000000000000007</v>
      </c>
      <c r="M45">
        <v>7.8232000000000006E-5</v>
      </c>
      <c r="N45">
        <v>0</v>
      </c>
      <c r="O45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defaultRowHeight="14.4" x14ac:dyDescent="0.55000000000000004"/>
  <cols>
    <col min="1" max="1" width="12.47265625" customWidth="1"/>
    <col min="2" max="2" width="11.7890625" customWidth="1"/>
    <col min="3" max="3" width="12.26171875" customWidth="1"/>
    <col min="4" max="4" width="14.7890625" customWidth="1"/>
    <col min="5" max="5" width="18.62890625" customWidth="1"/>
    <col min="6" max="6" width="14.47265625" customWidth="1"/>
    <col min="7" max="7" width="22.26171875" customWidth="1"/>
    <col min="8" max="8" width="16.62890625" customWidth="1"/>
    <col min="9" max="9" width="20.734375" customWidth="1"/>
    <col min="10" max="10" width="18.26171875" customWidth="1"/>
    <col min="11" max="11" width="20.7890625" customWidth="1"/>
    <col min="12" max="12" width="18.26171875" customWidth="1"/>
    <col min="13" max="13" width="20.47265625" customWidth="1"/>
    <col min="14" max="14" width="23.47265625" customWidth="1"/>
    <col min="15" max="15" width="27.3671875" customWidth="1"/>
    <col min="16" max="16" width="15.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8.8" x14ac:dyDescent="0.55000000000000004">
      <c r="A2" t="s">
        <v>36</v>
      </c>
      <c r="B2" t="s">
        <v>33</v>
      </c>
      <c r="C2" t="s">
        <v>34</v>
      </c>
      <c r="D2" t="s">
        <v>19</v>
      </c>
      <c r="E2" t="s">
        <v>20</v>
      </c>
      <c r="F2" t="s">
        <v>21</v>
      </c>
      <c r="G2" t="s">
        <v>37</v>
      </c>
      <c r="H2" t="b">
        <v>1</v>
      </c>
      <c r="I2">
        <v>10</v>
      </c>
      <c r="J2">
        <v>18</v>
      </c>
      <c r="L2">
        <v>56.548749999999998</v>
      </c>
      <c r="M2">
        <v>1.0762923587500001E-2</v>
      </c>
      <c r="N2">
        <v>56.548749999999998</v>
      </c>
      <c r="O2">
        <v>1.0762923587500001E-2</v>
      </c>
      <c r="P2" s="1" t="s">
        <v>38</v>
      </c>
    </row>
    <row r="3" spans="1:16" ht="28.8" x14ac:dyDescent="0.55000000000000004">
      <c r="A3" t="s">
        <v>39</v>
      </c>
      <c r="B3" t="s">
        <v>40</v>
      </c>
      <c r="C3" t="s">
        <v>41</v>
      </c>
      <c r="D3" t="s">
        <v>19</v>
      </c>
      <c r="E3" t="s">
        <v>20</v>
      </c>
      <c r="F3" t="s">
        <v>21</v>
      </c>
      <c r="G3" t="s">
        <v>37</v>
      </c>
      <c r="H3" t="b">
        <v>1</v>
      </c>
      <c r="I3">
        <v>10</v>
      </c>
      <c r="J3">
        <v>34.6666666666667</v>
      </c>
      <c r="L3">
        <v>326.72611111111098</v>
      </c>
      <c r="M3">
        <v>6.2185780727777799E-2</v>
      </c>
      <c r="N3">
        <v>326.72611111111098</v>
      </c>
      <c r="O3">
        <v>6.2185780727777799E-2</v>
      </c>
      <c r="P3" s="1" t="s">
        <v>38</v>
      </c>
    </row>
    <row r="4" spans="1:16" ht="28.8" x14ac:dyDescent="0.55000000000000004">
      <c r="A4" t="s">
        <v>65</v>
      </c>
      <c r="B4" t="s">
        <v>63</v>
      </c>
      <c r="C4" t="s">
        <v>64</v>
      </c>
      <c r="D4" t="s">
        <v>19</v>
      </c>
      <c r="E4" t="s">
        <v>20</v>
      </c>
      <c r="F4" t="s">
        <v>21</v>
      </c>
      <c r="G4" t="s">
        <v>66</v>
      </c>
      <c r="H4" t="b">
        <v>1</v>
      </c>
      <c r="I4">
        <v>10</v>
      </c>
      <c r="J4">
        <v>30</v>
      </c>
      <c r="L4">
        <v>188.495833333333</v>
      </c>
      <c r="M4">
        <v>1.35337315519557E-2</v>
      </c>
      <c r="N4">
        <v>188.495833333333</v>
      </c>
      <c r="O4">
        <v>1.35337315519557E-2</v>
      </c>
      <c r="P4" s="1" t="s">
        <v>38</v>
      </c>
    </row>
    <row r="5" spans="1:16" ht="28.8" x14ac:dyDescent="0.55000000000000004">
      <c r="A5" t="s">
        <v>85</v>
      </c>
      <c r="B5" t="s">
        <v>40</v>
      </c>
      <c r="C5" t="s">
        <v>86</v>
      </c>
      <c r="D5" t="s">
        <v>19</v>
      </c>
      <c r="E5" t="s">
        <v>20</v>
      </c>
      <c r="F5" t="s">
        <v>74</v>
      </c>
      <c r="G5" t="s">
        <v>66</v>
      </c>
      <c r="H5" t="b">
        <v>1</v>
      </c>
      <c r="I5">
        <v>10</v>
      </c>
      <c r="J5">
        <v>21.1</v>
      </c>
      <c r="L5">
        <v>21.1</v>
      </c>
      <c r="M5">
        <v>1.5149498569620001E-3</v>
      </c>
      <c r="N5">
        <v>21.1</v>
      </c>
      <c r="O5">
        <v>1.5149498569620001E-3</v>
      </c>
      <c r="P5" s="1" t="s">
        <v>38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workbookViewId="0">
      <selection activeCell="G15" sqref="G15"/>
    </sheetView>
  </sheetViews>
  <sheetFormatPr defaultRowHeight="14.4" x14ac:dyDescent="0.55000000000000004"/>
  <cols>
    <col min="1" max="1" width="24" customWidth="1"/>
    <col min="2" max="2" width="32.1015625" customWidth="1"/>
    <col min="3" max="3" width="19.47265625" customWidth="1"/>
    <col min="4" max="4" width="28.3671875" customWidth="1"/>
  </cols>
  <sheetData>
    <row r="1" spans="1:4" x14ac:dyDescent="0.55000000000000004">
      <c r="A1" s="2" t="s">
        <v>95</v>
      </c>
      <c r="B1" s="2" t="s">
        <v>96</v>
      </c>
    </row>
    <row r="2" spans="1:4" x14ac:dyDescent="0.55000000000000004">
      <c r="A2" s="3" t="s">
        <v>97</v>
      </c>
      <c r="B2" s="3" t="s">
        <v>97</v>
      </c>
    </row>
    <row r="3" spans="1:4" x14ac:dyDescent="0.55000000000000004">
      <c r="A3" s="4" t="s">
        <v>98</v>
      </c>
      <c r="B3" s="4" t="s">
        <v>99</v>
      </c>
    </row>
    <row r="4" spans="1:4" x14ac:dyDescent="0.55000000000000004">
      <c r="A4" s="5" t="s">
        <v>100</v>
      </c>
      <c r="B4" s="5" t="s">
        <v>101</v>
      </c>
    </row>
    <row r="8" spans="1:4" x14ac:dyDescent="0.55000000000000004">
      <c r="C8" s="6" t="s">
        <v>115</v>
      </c>
      <c r="D8" s="6" t="s">
        <v>116</v>
      </c>
    </row>
    <row r="9" spans="1:4" x14ac:dyDescent="0.55000000000000004">
      <c r="C9" t="s">
        <v>19</v>
      </c>
    </row>
    <row r="10" spans="1:4" x14ac:dyDescent="0.55000000000000004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55000000000000004">
      <c r="A11" t="s">
        <v>17</v>
      </c>
      <c r="B11" t="s">
        <v>18</v>
      </c>
      <c r="C11" s="7">
        <v>0.55196216997500014</v>
      </c>
      <c r="D11" s="7">
        <v>0.54975048553055572</v>
      </c>
    </row>
    <row r="12" spans="1:4" x14ac:dyDescent="0.55000000000000004">
      <c r="B12" t="s">
        <v>28</v>
      </c>
      <c r="C12" s="8">
        <v>0.37422907173333342</v>
      </c>
      <c r="D12" s="8">
        <v>0.37422907173333342</v>
      </c>
    </row>
    <row r="13" spans="1:4" x14ac:dyDescent="0.55000000000000004">
      <c r="B13" t="s">
        <v>73</v>
      </c>
      <c r="C13" s="8">
        <v>3.2960999999999997E-2</v>
      </c>
      <c r="D13" s="8">
        <v>3.2960999999999997E-2</v>
      </c>
    </row>
    <row r="14" spans="1:4" x14ac:dyDescent="0.55000000000000004">
      <c r="B14" t="s">
        <v>79</v>
      </c>
      <c r="C14" s="8">
        <v>6.5571699999999997E-2</v>
      </c>
      <c r="D14" s="8">
        <v>6.5571699999999997E-2</v>
      </c>
    </row>
    <row r="15" spans="1:4" x14ac:dyDescent="0.55000000000000004">
      <c r="B15" t="s">
        <v>83</v>
      </c>
      <c r="C15" s="8">
        <v>9.0702000000000005E-3</v>
      </c>
      <c r="D15" s="8">
        <v>9.0702000000000005E-3</v>
      </c>
    </row>
    <row r="16" spans="1:4" x14ac:dyDescent="0.55000000000000004">
      <c r="A16" t="s">
        <v>33</v>
      </c>
      <c r="B16" t="s">
        <v>34</v>
      </c>
      <c r="C16" s="7">
        <v>1.578702681226388</v>
      </c>
      <c r="D16" s="7">
        <v>1.578702681226388</v>
      </c>
    </row>
    <row r="17" spans="1:4" x14ac:dyDescent="0.55000000000000004">
      <c r="B17" t="s">
        <v>52</v>
      </c>
      <c r="C17" s="7">
        <v>0.9030765003222252</v>
      </c>
      <c r="D17" s="7">
        <v>0.9030765003222252</v>
      </c>
    </row>
    <row r="18" spans="1:4" x14ac:dyDescent="0.55000000000000004">
      <c r="B18" t="s">
        <v>55</v>
      </c>
      <c r="C18" s="7">
        <v>0.69727071762222104</v>
      </c>
      <c r="D18" s="7">
        <v>0.69727071762222104</v>
      </c>
    </row>
    <row r="19" spans="1:4" x14ac:dyDescent="0.55000000000000004">
      <c r="B19" t="s">
        <v>69</v>
      </c>
      <c r="C19" s="7">
        <v>0.69416757355000314</v>
      </c>
      <c r="D19" s="7">
        <v>0.69416757355000314</v>
      </c>
    </row>
    <row r="20" spans="1:4" x14ac:dyDescent="0.55000000000000004">
      <c r="A20" t="s">
        <v>40</v>
      </c>
      <c r="B20" t="s">
        <v>41</v>
      </c>
      <c r="C20" s="7">
        <v>0.56643978095000014</v>
      </c>
      <c r="D20" s="7">
        <v>0.56643978095000014</v>
      </c>
    </row>
    <row r="21" spans="1:4" x14ac:dyDescent="0.55000000000000004">
      <c r="B21" t="s">
        <v>86</v>
      </c>
      <c r="C21" s="8">
        <v>9.1038581856961995E-2</v>
      </c>
      <c r="D21" s="8">
        <v>9.0854749856962E-2</v>
      </c>
    </row>
    <row r="22" spans="1:4" x14ac:dyDescent="0.55000000000000004">
      <c r="A22" t="s">
        <v>58</v>
      </c>
      <c r="B22" t="s">
        <v>59</v>
      </c>
      <c r="C22" s="7">
        <v>4.1212790261145837</v>
      </c>
      <c r="D22" s="9">
        <v>4.1212790261145837</v>
      </c>
    </row>
    <row r="23" spans="1:4" x14ac:dyDescent="0.55000000000000004">
      <c r="A23" t="s">
        <v>63</v>
      </c>
      <c r="B23" t="s">
        <v>64</v>
      </c>
      <c r="C23" s="7">
        <v>0.67515460920750847</v>
      </c>
      <c r="D23" s="7">
        <v>0.67515460920750847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I7" sqref="I7"/>
    </sheetView>
  </sheetViews>
  <sheetFormatPr defaultRowHeight="14.4" x14ac:dyDescent="0.55000000000000004"/>
  <cols>
    <col min="1" max="1" width="24.62890625" customWidth="1"/>
    <col min="2" max="2" width="33.734375" customWidth="1"/>
    <col min="3" max="3" width="31.3671875" customWidth="1"/>
    <col min="4" max="4" width="29.5234375" customWidth="1"/>
  </cols>
  <sheetData>
    <row r="1" spans="1:4" x14ac:dyDescent="0.55000000000000004">
      <c r="A1" s="2" t="s">
        <v>102</v>
      </c>
      <c r="B1" s="2" t="s">
        <v>103</v>
      </c>
      <c r="C1" s="2" t="s">
        <v>104</v>
      </c>
      <c r="D1" s="2" t="s">
        <v>105</v>
      </c>
    </row>
    <row r="2" spans="1:4" x14ac:dyDescent="0.55000000000000004">
      <c r="A2" s="3" t="s">
        <v>106</v>
      </c>
      <c r="B2" s="3" t="s">
        <v>106</v>
      </c>
      <c r="C2" s="3" t="s">
        <v>106</v>
      </c>
      <c r="D2" s="3" t="s">
        <v>106</v>
      </c>
    </row>
    <row r="3" spans="1:4" x14ac:dyDescent="0.55000000000000004">
      <c r="A3" s="4" t="s">
        <v>107</v>
      </c>
      <c r="B3" s="4" t="s">
        <v>108</v>
      </c>
      <c r="C3" s="4" t="s">
        <v>109</v>
      </c>
      <c r="D3" s="4" t="s">
        <v>110</v>
      </c>
    </row>
    <row r="4" spans="1:4" x14ac:dyDescent="0.55000000000000004">
      <c r="A4" s="5" t="s">
        <v>111</v>
      </c>
      <c r="B4" s="5" t="s">
        <v>112</v>
      </c>
      <c r="C4" s="5" t="s">
        <v>113</v>
      </c>
      <c r="D4" s="5" t="s">
        <v>114</v>
      </c>
    </row>
    <row r="8" spans="1:4" x14ac:dyDescent="0.55000000000000004">
      <c r="A8" s="6" t="s">
        <v>11</v>
      </c>
      <c r="C8" s="6" t="s">
        <v>115</v>
      </c>
      <c r="D8" s="6" t="s">
        <v>15</v>
      </c>
    </row>
    <row r="9" spans="1:4" x14ac:dyDescent="0.55000000000000004">
      <c r="C9" t="s">
        <v>19</v>
      </c>
    </row>
    <row r="10" spans="1:4" x14ac:dyDescent="0.55000000000000004">
      <c r="A10" s="6" t="s">
        <v>1</v>
      </c>
      <c r="B10" s="6" t="s">
        <v>2</v>
      </c>
      <c r="C10" t="s">
        <v>38</v>
      </c>
    </row>
    <row r="11" spans="1:4" x14ac:dyDescent="0.55000000000000004">
      <c r="A11" t="s">
        <v>33</v>
      </c>
      <c r="B11" t="s">
        <v>34</v>
      </c>
      <c r="C11" s="11">
        <v>56.548749999999998</v>
      </c>
    </row>
    <row r="12" spans="1:4" x14ac:dyDescent="0.55000000000000004">
      <c r="A12" t="s">
        <v>40</v>
      </c>
      <c r="B12" t="s">
        <v>41</v>
      </c>
      <c r="C12" s="11">
        <v>326.72611111111098</v>
      </c>
    </row>
    <row r="13" spans="1:4" x14ac:dyDescent="0.55000000000000004">
      <c r="B13" t="s">
        <v>86</v>
      </c>
      <c r="C13" s="11">
        <v>21.1</v>
      </c>
    </row>
    <row r="14" spans="1:4" x14ac:dyDescent="0.55000000000000004">
      <c r="A14" t="s">
        <v>63</v>
      </c>
      <c r="B14" t="s">
        <v>64</v>
      </c>
      <c r="C14" s="11">
        <v>188.495833333333</v>
      </c>
    </row>
    <row r="30" spans="1:1" x14ac:dyDescent="0.55000000000000004">
      <c r="A30" s="2" t="s">
        <v>95</v>
      </c>
    </row>
    <row r="31" spans="1:1" x14ac:dyDescent="0.55000000000000004">
      <c r="A31" s="3" t="s">
        <v>97</v>
      </c>
    </row>
    <row r="32" spans="1:1" x14ac:dyDescent="0.55000000000000004">
      <c r="A32" s="4" t="s">
        <v>98</v>
      </c>
    </row>
    <row r="33" spans="1:3" x14ac:dyDescent="0.55000000000000004">
      <c r="A33" s="5" t="s">
        <v>100</v>
      </c>
    </row>
    <row r="37" spans="1:3" x14ac:dyDescent="0.55000000000000004">
      <c r="A37" s="6" t="s">
        <v>12</v>
      </c>
      <c r="C37" s="6" t="s">
        <v>115</v>
      </c>
    </row>
    <row r="38" spans="1:3" x14ac:dyDescent="0.55000000000000004">
      <c r="A38" s="6" t="s">
        <v>1</v>
      </c>
      <c r="B38" s="6" t="s">
        <v>2</v>
      </c>
      <c r="C38" t="s">
        <v>19</v>
      </c>
    </row>
    <row r="39" spans="1:3" x14ac:dyDescent="0.55000000000000004">
      <c r="A39" t="s">
        <v>17</v>
      </c>
      <c r="B39" t="s">
        <v>18</v>
      </c>
      <c r="C39" s="10">
        <v>0.55196216997500014</v>
      </c>
    </row>
    <row r="40" spans="1:3" x14ac:dyDescent="0.55000000000000004">
      <c r="B40" t="s">
        <v>28</v>
      </c>
      <c r="C40" s="10">
        <v>0.37422907173333342</v>
      </c>
    </row>
    <row r="41" spans="1:3" x14ac:dyDescent="0.55000000000000004">
      <c r="B41" t="s">
        <v>73</v>
      </c>
      <c r="C41" s="10">
        <v>3.2960999999999997E-2</v>
      </c>
    </row>
    <row r="42" spans="1:3" x14ac:dyDescent="0.55000000000000004">
      <c r="B42" t="s">
        <v>79</v>
      </c>
      <c r="C42" s="10">
        <v>6.5571699999999997E-2</v>
      </c>
    </row>
    <row r="43" spans="1:3" x14ac:dyDescent="0.55000000000000004">
      <c r="B43" t="s">
        <v>83</v>
      </c>
      <c r="C43" s="10">
        <v>9.0702000000000005E-3</v>
      </c>
    </row>
    <row r="44" spans="1:3" x14ac:dyDescent="0.55000000000000004">
      <c r="A44" t="s">
        <v>33</v>
      </c>
      <c r="B44" t="s">
        <v>34</v>
      </c>
      <c r="C44" s="10">
        <v>1.578702681226388</v>
      </c>
    </row>
    <row r="45" spans="1:3" x14ac:dyDescent="0.55000000000000004">
      <c r="B45" t="s">
        <v>52</v>
      </c>
      <c r="C45" s="10">
        <v>0.9030765003222252</v>
      </c>
    </row>
    <row r="46" spans="1:3" x14ac:dyDescent="0.55000000000000004">
      <c r="B46" t="s">
        <v>55</v>
      </c>
      <c r="C46" s="10">
        <v>0.69727071762222104</v>
      </c>
    </row>
    <row r="47" spans="1:3" x14ac:dyDescent="0.55000000000000004">
      <c r="B47" t="s">
        <v>69</v>
      </c>
      <c r="C47" s="10">
        <v>0.69416757355000314</v>
      </c>
    </row>
    <row r="48" spans="1:3" x14ac:dyDescent="0.55000000000000004">
      <c r="A48" t="s">
        <v>40</v>
      </c>
      <c r="B48" t="s">
        <v>41</v>
      </c>
      <c r="C48" s="10">
        <v>0.56643978095000014</v>
      </c>
    </row>
    <row r="49" spans="1:3" x14ac:dyDescent="0.55000000000000004">
      <c r="B49" t="s">
        <v>86</v>
      </c>
      <c r="C49" s="10">
        <v>9.1038581856961995E-2</v>
      </c>
    </row>
    <row r="50" spans="1:3" x14ac:dyDescent="0.55000000000000004">
      <c r="A50" t="s">
        <v>58</v>
      </c>
      <c r="B50" t="s">
        <v>59</v>
      </c>
      <c r="C50" s="10">
        <v>4.1212790261145837</v>
      </c>
    </row>
    <row r="51" spans="1:3" x14ac:dyDescent="0.55000000000000004">
      <c r="A51" t="s">
        <v>63</v>
      </c>
      <c r="B51" t="s">
        <v>64</v>
      </c>
      <c r="C51" s="10">
        <v>0.67515460920750847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Whitney Woelmer</cp:lastModifiedBy>
  <dcterms:created xsi:type="dcterms:W3CDTF">2026-01-07T21:21:40Z</dcterms:created>
  <dcterms:modified xsi:type="dcterms:W3CDTF">2026-01-14T22:19:32Z</dcterms:modified>
</cp:coreProperties>
</file>