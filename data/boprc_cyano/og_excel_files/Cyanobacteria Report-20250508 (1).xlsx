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R\Downloads\"/>
    </mc:Choice>
  </mc:AlternateContent>
  <xr:revisionPtr revIDLastSave="0" documentId="8_{963B7AE8-3BFE-48D8-A0EF-210F143410D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akes Data" sheetId="2" r:id="rId1"/>
    <sheet name="Toxin Data" sheetId="3" r:id="rId2"/>
    <sheet name="Warnings" sheetId="4" r:id="rId3"/>
    <sheet name="Warnings New" sheetId="5" r:id="rId4"/>
  </sheets>
  <calcPr calcId="0"/>
  <pivotCaches>
    <pivotCache cacheId="118" r:id="rId5"/>
    <pivotCache cacheId="125" r:id="rId6"/>
    <pivotCache cacheId="131" r:id="rId7"/>
  </pivotCaches>
</workbook>
</file>

<file path=xl/sharedStrings.xml><?xml version="1.0" encoding="utf-8"?>
<sst xmlns="http://schemas.openxmlformats.org/spreadsheetml/2006/main" count="713" uniqueCount="151">
  <si>
    <t>SampleId</t>
  </si>
  <si>
    <t>Location</t>
  </si>
  <si>
    <t>Site</t>
  </si>
  <si>
    <t>SampleDate</t>
  </si>
  <si>
    <t>MicroscopeType</t>
  </si>
  <si>
    <t>WholePlate</t>
  </si>
  <si>
    <t>Species</t>
  </si>
  <si>
    <t>IsSpeciesToxic</t>
  </si>
  <si>
    <t>VolumeInMillilitres</t>
  </si>
  <si>
    <t>Average</t>
  </si>
  <si>
    <t>NumberOfColonies</t>
  </si>
  <si>
    <t>CellsPerMl</t>
  </si>
  <si>
    <t>TotalBioVolume</t>
  </si>
  <si>
    <t>PotentiallyToxicCellMl</t>
  </si>
  <si>
    <t>PotentiallyToxicBioVolume</t>
  </si>
  <si>
    <t>ToxinCluster</t>
  </si>
  <si>
    <t>5608.1</t>
  </si>
  <si>
    <t>Rotoiti</t>
  </si>
  <si>
    <t>Otaramarae</t>
  </si>
  <si>
    <t>05/05/2025</t>
  </si>
  <si>
    <t>20A</t>
  </si>
  <si>
    <t>160</t>
  </si>
  <si>
    <t>Aphanocapsa holsatica</t>
  </si>
  <si>
    <t>5608.2</t>
  </si>
  <si>
    <t>Aphanocapsa delicatissima</t>
  </si>
  <si>
    <t>5608.3</t>
  </si>
  <si>
    <t>Pseudanabaena mucicola (rod)</t>
  </si>
  <si>
    <t>5609.1</t>
  </si>
  <si>
    <t>Okawa Bay</t>
  </si>
  <si>
    <t>Whole Plate</t>
  </si>
  <si>
    <t>5609.2</t>
  </si>
  <si>
    <t>Woronichinia naegeliana</t>
  </si>
  <si>
    <t>5609.3</t>
  </si>
  <si>
    <t>5609.4</t>
  </si>
  <si>
    <t>Dolichospermum lemmermannii</t>
  </si>
  <si>
    <t>5609.5</t>
  </si>
  <si>
    <t>Coelosphaerium kuetzingianum</t>
  </si>
  <si>
    <t>5609.6</t>
  </si>
  <si>
    <t>Dolichospermum planctonicum </t>
  </si>
  <si>
    <t>5609.7</t>
  </si>
  <si>
    <t>Dolichospermum sp</t>
  </si>
  <si>
    <t>5609.8</t>
  </si>
  <si>
    <t>Microcystis wesenbergii</t>
  </si>
  <si>
    <t xml:space="preserve">Microcystis spp.
</t>
  </si>
  <si>
    <t>5609.9</t>
  </si>
  <si>
    <t>5610.1</t>
  </si>
  <si>
    <t>Hinehopu</t>
  </si>
  <si>
    <t>5610.2</t>
  </si>
  <si>
    <t>5610.3</t>
  </si>
  <si>
    <t>5611.1</t>
  </si>
  <si>
    <t>Rotoehu</t>
  </si>
  <si>
    <t>Kennedy Bay</t>
  </si>
  <si>
    <t>Microcystis aeruginosa</t>
  </si>
  <si>
    <t>5611.2</t>
  </si>
  <si>
    <t>5611.3</t>
  </si>
  <si>
    <t>Phormidium sp</t>
  </si>
  <si>
    <t>5611.4</t>
  </si>
  <si>
    <t>Oscillatoria sp</t>
  </si>
  <si>
    <t>5611.5</t>
  </si>
  <si>
    <t>Pseudanabaena limnetica (cylinder)</t>
  </si>
  <si>
    <t>5611.6</t>
  </si>
  <si>
    <t>5611.7</t>
  </si>
  <si>
    <t>5612.1</t>
  </si>
  <si>
    <t>Lake Okaro</t>
  </si>
  <si>
    <t>Boat ramp</t>
  </si>
  <si>
    <t>5612.2</t>
  </si>
  <si>
    <t>5612.3</t>
  </si>
  <si>
    <t>Dolichospermum circinale</t>
  </si>
  <si>
    <t>5612.4</t>
  </si>
  <si>
    <t>5612.5</t>
  </si>
  <si>
    <t>Limnothrix cf planktonica</t>
  </si>
  <si>
    <t>5612.6</t>
  </si>
  <si>
    <t>5612.7</t>
  </si>
  <si>
    <t>5612.8</t>
  </si>
  <si>
    <t>5612.9</t>
  </si>
  <si>
    <t>Pseudanabaena galeata (cylinder)</t>
  </si>
  <si>
    <t>5612.10</t>
  </si>
  <si>
    <t>Dolichospermum spiroides</t>
  </si>
  <si>
    <t>5612.11</t>
  </si>
  <si>
    <t>5613.1</t>
  </si>
  <si>
    <t>Rotorua</t>
  </si>
  <si>
    <t>Holdens Bay</t>
  </si>
  <si>
    <t>5A</t>
  </si>
  <si>
    <t>5613.2</t>
  </si>
  <si>
    <t>5613.3</t>
  </si>
  <si>
    <t>Microcystis sp. (large)</t>
  </si>
  <si>
    <t>5613.4</t>
  </si>
  <si>
    <t>5613.5</t>
  </si>
  <si>
    <t>5614.1</t>
  </si>
  <si>
    <t>Te Weta</t>
  </si>
  <si>
    <t>5614.2</t>
  </si>
  <si>
    <t>5614.3</t>
  </si>
  <si>
    <t>5614.4</t>
  </si>
  <si>
    <t>5614.5</t>
  </si>
  <si>
    <t>5614.6</t>
  </si>
  <si>
    <t>5614.7</t>
  </si>
  <si>
    <t>5614.8</t>
  </si>
  <si>
    <t>Hamurana</t>
  </si>
  <si>
    <t>5614.9</t>
  </si>
  <si>
    <t>5614.10</t>
  </si>
  <si>
    <t>5615.1</t>
  </si>
  <si>
    <t>Otautu</t>
  </si>
  <si>
    <t>5615.2</t>
  </si>
  <si>
    <t>5615.3</t>
  </si>
  <si>
    <t>5616.1</t>
  </si>
  <si>
    <t>Kaituna</t>
  </si>
  <si>
    <t>Trout Pool</t>
  </si>
  <si>
    <t>5616.2</t>
  </si>
  <si>
    <t>5616.3</t>
  </si>
  <si>
    <t>5616.4</t>
  </si>
  <si>
    <t>5616.5</t>
  </si>
  <si>
    <t>5616.6</t>
  </si>
  <si>
    <t>5616.7</t>
  </si>
  <si>
    <t>5617.1</t>
  </si>
  <si>
    <t>Okere Arm</t>
  </si>
  <si>
    <t>5617.2</t>
  </si>
  <si>
    <t>5617.3</t>
  </si>
  <si>
    <t>5617.4</t>
  </si>
  <si>
    <t>5617.5</t>
  </si>
  <si>
    <t>5617.6</t>
  </si>
  <si>
    <t>5617.7</t>
  </si>
  <si>
    <t>5618.1</t>
  </si>
  <si>
    <t>Ohau Channel</t>
  </si>
  <si>
    <t>5618.2</t>
  </si>
  <si>
    <t>5619.1</t>
  </si>
  <si>
    <t>Ngongotaha</t>
  </si>
  <si>
    <t>5619.2</t>
  </si>
  <si>
    <t>5619.3</t>
  </si>
  <si>
    <t>5619.4</t>
  </si>
  <si>
    <t>Total Biovolume (mm3/L)</t>
  </si>
  <si>
    <t>Potential toxic Biovolume (mm3/L)</t>
  </si>
  <si>
    <t>&lt; 0.5</t>
  </si>
  <si>
    <t>0.5 - 9.99</t>
  </si>
  <si>
    <t>0.5 - 1.8</t>
  </si>
  <si>
    <t>&gt;= 10</t>
  </si>
  <si>
    <t>&gt; 1.8</t>
  </si>
  <si>
    <t>Mycrocystis spp (cells/mL)</t>
  </si>
  <si>
    <t>Cuspidothrix issatschenkoi (cells/mL)</t>
  </si>
  <si>
    <t>Raphidiopsis raciborskii (cells/mL)</t>
  </si>
  <si>
    <t>Nodularia spumigena (cells/mL)</t>
  </si>
  <si>
    <t>&lt; 500</t>
  </si>
  <si>
    <t>500 to &lt; 30000</t>
  </si>
  <si>
    <t>500 to &lt; 100000</t>
  </si>
  <si>
    <t>500 to &lt; 5000</t>
  </si>
  <si>
    <t>500 to &lt; 10000</t>
  </si>
  <si>
    <t>&gt;= 30000</t>
  </si>
  <si>
    <t>&gt;= 100000</t>
  </si>
  <si>
    <t>&gt;= 5000</t>
  </si>
  <si>
    <t>&gt;= 10000</t>
  </si>
  <si>
    <t>Dates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</si>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</sst>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ADFF2F"/>
      </patternFill>
    </fill>
    <fill>
      <patternFill patternType="solid">
        <fgColor rgb="FFFFA50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0" fontId="1" fillId="2" borderId="0" xfId="0" applyNumberFormat="1" applyFont="1" applyFill="1" applyAlignment="1" applyProtection="1"/>
    <xf numFmtId="0" fontId="1" fillId="3" borderId="0" xfId="0" applyNumberFormat="1" applyFont="1" applyFill="1" applyAlignment="1" applyProtection="1"/>
    <xf numFmtId="0" fontId="1" fillId="4" borderId="0" xfId="0" applyNumberFormat="1" applyFont="1" applyFill="1" applyAlignment="1" applyProtection="1"/>
    <xf numFmtId="0" fontId="1" fillId="5" borderId="0" xfId="0" applyNumberFormat="1" applyFont="1" applyFill="1" applyAlignment="1" applyProtection="1"/>
    <xf numFmtId="0" fontId="0" fillId="0" borderId="0" xfId="0" pivotButton="1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nna Raeburn" refreshedDate="45785.610721412035" refreshedVersion="8" recordCount="71" xr:uid="{00000000-000A-0000-FFFF-FFFF02000000}">
  <cacheSource type="worksheet">
    <worksheetSource ref="A1:P72" sheet="Lakes Data"/>
  </cacheSource>
  <cacheFields count="16">
    <cacheField name="SampleId" numFmtId="0">
      <sharedItems/>
    </cacheField>
    <cacheField name="Location" numFmtId="0">
      <sharedItems count="5">
        <s v="Rotoiti"/>
        <s v="Rotoehu"/>
        <s v="Lake Okaro"/>
        <s v="Rotorua"/>
        <s v="Kaituna"/>
      </sharedItems>
    </cacheField>
    <cacheField name="Site" numFmtId="0">
      <sharedItems count="13">
        <s v="Otaramarae"/>
        <s v="Okawa Bay"/>
        <s v="Hinehopu"/>
        <s v="Kennedy Bay"/>
        <s v="Boat ramp"/>
        <s v="Holdens Bay"/>
        <s v="Te Weta"/>
        <s v="Hamurana"/>
        <s v="Otautu"/>
        <s v="Trout Pool"/>
        <s v="Okere Arm"/>
        <s v="Ohau Channel"/>
        <s v="Ngongotaha"/>
      </sharedItems>
    </cacheField>
    <cacheField name="SampleDate" numFmtId="0">
      <sharedItems count="1">
        <s v="05/05/2025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3" maxValue="265.92857142857099"/>
    </cacheField>
    <cacheField name="NumberOfColonies" numFmtId="0">
      <sharedItems containsString="0" containsBlank="1" containsNumber="1" containsInteger="1" minValue="1" maxValue="636"/>
    </cacheField>
    <cacheField name="CellsPerMl" numFmtId="0">
      <sharedItems containsSemiMixedTypes="0" containsString="0" containsNumber="1" minValue="0.4" maxValue="7162.8416666666699"/>
    </cacheField>
    <cacheField name="TotalBioVolume" numFmtId="0">
      <sharedItems containsSemiMixedTypes="0" containsString="0" containsNumber="1" minValue="0" maxValue="8.3194371000000003E-2"/>
    </cacheField>
    <cacheField name="PotentiallyToxicCellMl" numFmtId="0">
      <sharedItems containsSemiMixedTypes="0" containsString="0" containsNumber="1" minValue="0" maxValue="850.34"/>
    </cacheField>
    <cacheField name="PotentiallyToxicBioVolume" numFmtId="0">
      <sharedItems containsSemiMixedTypes="0" containsString="0" containsNumber="1" minValue="0" maxValue="8.3194371000000003E-2"/>
    </cacheField>
    <cacheField name="ToxinClus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nna Raeburn" refreshedDate="45785.610721527781" refreshedVersion="8" recordCount="10" xr:uid="{00000000-000A-0000-FFFF-FFFF01000000}">
  <cacheSource type="worksheet">
    <worksheetSource ref="A1:P11" sheet="Toxin Data"/>
  </cacheSource>
  <cacheFields count="16">
    <cacheField name="SampleId" numFmtId="0">
      <sharedItems/>
    </cacheField>
    <cacheField name="Location" numFmtId="0">
      <sharedItems count="3">
        <s v="Rotoiti"/>
        <s v="Rotoehu"/>
        <s v="Rotorua"/>
      </sharedItems>
    </cacheField>
    <cacheField name="Site" numFmtId="0">
      <sharedItems count="8">
        <s v="Okawa Bay"/>
        <s v="Kennedy Bay"/>
        <s v="Holdens Bay"/>
        <s v="Te Weta"/>
        <s v="Hamurana"/>
        <s v="Otautu"/>
        <s v="Okere Arm"/>
        <s v="Ngongotaha"/>
      </sharedItems>
    </cacheField>
    <cacheField name="SampleDate" numFmtId="0">
      <sharedItems count="1">
        <s v="05/05/2025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5" maxValue="264"/>
    </cacheField>
    <cacheField name="NumberOfColonies" numFmtId="0">
      <sharedItems containsString="0" containsBlank="1" containsNumber="1" containsInteger="1" minValue="1" maxValue="144"/>
    </cacheField>
    <cacheField name="CellsPerMl" numFmtId="0">
      <sharedItems containsSemiMixedTypes="0" containsString="0" containsNumber="1" minValue="1" maxValue="850.34"/>
    </cacheField>
    <cacheField name="TotalBioVolume" numFmtId="0">
      <sharedItems containsSemiMixedTypes="0" containsString="0" containsNumber="1" minValue="8.7000000000000001E-5" maxValue="7.3979580000000003E-2"/>
    </cacheField>
    <cacheField name="PotentiallyToxicCellMl" numFmtId="0">
      <sharedItems containsSemiMixedTypes="0" containsString="0" containsNumber="1" minValue="1" maxValue="850.34"/>
    </cacheField>
    <cacheField name="PotentiallyToxicBioVolume" numFmtId="0">
      <sharedItems containsSemiMixedTypes="0" containsString="0" containsNumber="1" minValue="8.7000000000000001E-5" maxValue="7.3979580000000003E-2"/>
    </cacheField>
    <cacheField name="ToxinCluster" numFmtId="0">
      <sharedItems count="2">
        <s v="Microcystis spp._x000a_"/>
        <s v="Microcystis spp._x000d__x000a_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nna Raeburn" refreshedDate="45785.610721643519" refreshedVersion="8" recordCount="71" xr:uid="{00000000-000A-0000-FFFF-FFFF00000000}">
  <cacheSource type="worksheet">
    <worksheetSource ref="A1:P72" sheet="Lakes Data"/>
  </cacheSource>
  <cacheFields count="16">
    <cacheField name="SampleId" numFmtId="0">
      <sharedItems/>
    </cacheField>
    <cacheField name="Location" numFmtId="0">
      <sharedItems count="5">
        <s v="Rotoiti"/>
        <s v="Rotoehu"/>
        <s v="Lake Okaro"/>
        <s v="Rotorua"/>
        <s v="Kaituna"/>
      </sharedItems>
    </cacheField>
    <cacheField name="Site" numFmtId="0">
      <sharedItems count="13">
        <s v="Otaramarae"/>
        <s v="Okawa Bay"/>
        <s v="Hinehopu"/>
        <s v="Kennedy Bay"/>
        <s v="Boat ramp"/>
        <s v="Holdens Bay"/>
        <s v="Te Weta"/>
        <s v="Hamurana"/>
        <s v="Otautu"/>
        <s v="Trout Pool"/>
        <s v="Okere Arm"/>
        <s v="Ohau Channel"/>
        <s v="Ngongotaha"/>
      </sharedItems>
    </cacheField>
    <cacheField name="SampleDate" numFmtId="0">
      <sharedItems count="1">
        <s v="05/05/2025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3" maxValue="265.92857142857099"/>
    </cacheField>
    <cacheField name="NumberOfColonies" numFmtId="0">
      <sharedItems containsString="0" containsBlank="1" containsNumber="1" containsInteger="1" minValue="1" maxValue="636"/>
    </cacheField>
    <cacheField name="CellsPerMl" numFmtId="0">
      <sharedItems containsSemiMixedTypes="0" containsString="0" containsNumber="1" minValue="0.4" maxValue="7162.8416666666699"/>
    </cacheField>
    <cacheField name="TotalBioVolume" numFmtId="0">
      <sharedItems containsSemiMixedTypes="0" containsString="0" containsNumber="1" minValue="0" maxValue="8.3194371000000003E-2"/>
    </cacheField>
    <cacheField name="PotentiallyToxicCellMl" numFmtId="0">
      <sharedItems containsSemiMixedTypes="0" containsString="0" containsNumber="1" minValue="0" maxValue="850.34"/>
    </cacheField>
    <cacheField name="PotentiallyToxicBioVolume" numFmtId="0">
      <sharedItems containsSemiMixedTypes="0" containsString="0" containsNumber="1" minValue="0" maxValue="8.3194371000000003E-2"/>
    </cacheField>
    <cacheField name="ToxinClus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s v="5608.1"/>
    <x v="0"/>
    <x v="0"/>
    <x v="0"/>
    <s v="20A"/>
    <s v="160"/>
    <s v="Aphanocapsa holsatica"/>
    <b v="0"/>
    <n v="10"/>
    <n v="14.65"/>
    <n v="33"/>
    <n v="2439.2931631944398"/>
    <n v="1.21964658159722E-3"/>
    <n v="0"/>
    <n v="0"/>
    <m/>
  </r>
  <r>
    <s v="5608.2"/>
    <x v="0"/>
    <x v="0"/>
    <x v="0"/>
    <s v="20A"/>
    <s v="160"/>
    <s v="Aphanocapsa delicatissima"/>
    <b v="0"/>
    <n v="10"/>
    <n v="145.25"/>
    <m/>
    <n v="3650.5359722222202"/>
    <n v="3.6505359722222198E-4"/>
    <n v="0"/>
    <n v="0"/>
    <m/>
  </r>
  <r>
    <s v="5608.3"/>
    <x v="0"/>
    <x v="0"/>
    <x v="0"/>
    <s v="20A"/>
    <s v="160"/>
    <s v="Pseudanabaena mucicola (rod)"/>
    <b v="0"/>
    <n v="10"/>
    <n v="3"/>
    <m/>
    <n v="9.4247916666666693"/>
    <n v="4.3354041666666601E-4"/>
    <n v="0"/>
    <n v="0"/>
    <m/>
  </r>
  <r>
    <s v="5609.1"/>
    <x v="0"/>
    <x v="1"/>
    <x v="0"/>
    <s v="20A"/>
    <s v="Whole Plate"/>
    <s v="Aphanocapsa delicatissima"/>
    <b v="0"/>
    <n v="10"/>
    <n v="167.6"/>
    <n v="6"/>
    <n v="435.76"/>
    <n v="4.3575999999999997E-5"/>
    <n v="0"/>
    <n v="0"/>
    <m/>
  </r>
  <r>
    <s v="5609.2"/>
    <x v="0"/>
    <x v="1"/>
    <x v="0"/>
    <s v="20A"/>
    <s v="Whole Plate"/>
    <s v="Woronichinia naegeliana"/>
    <b v="1"/>
    <n v="10"/>
    <n v="265.92857142857099"/>
    <m/>
    <n v="372.3"/>
    <n v="0"/>
    <n v="372.3"/>
    <n v="0"/>
    <m/>
  </r>
  <r>
    <s v="5609.3"/>
    <x v="0"/>
    <x v="1"/>
    <x v="0"/>
    <s v="20A"/>
    <s v="Whole Plate"/>
    <s v="Aphanocapsa holsatica"/>
    <b v="0"/>
    <n v="10"/>
    <n v="22.75"/>
    <m/>
    <n v="18.2"/>
    <n v="9.0999999999999993E-6"/>
    <n v="0"/>
    <n v="0"/>
    <m/>
  </r>
  <r>
    <s v="5609.4"/>
    <x v="0"/>
    <x v="1"/>
    <x v="0"/>
    <s v="20A"/>
    <s v="Whole Plate"/>
    <s v="Dolichospermum lemmermannii"/>
    <b v="1"/>
    <n v="10"/>
    <n v="35.4"/>
    <m/>
    <n v="17.7"/>
    <n v="1.9469999999999999E-3"/>
    <n v="17.7"/>
    <n v="1.9469999999999999E-3"/>
    <m/>
  </r>
  <r>
    <s v="5609.5"/>
    <x v="0"/>
    <x v="1"/>
    <x v="0"/>
    <s v="20A"/>
    <s v="Whole Plate"/>
    <s v="Coelosphaerium kuetzingianum"/>
    <b v="0"/>
    <n v="10"/>
    <n v="52.6"/>
    <m/>
    <n v="52.6"/>
    <n v="4.6761399999999999E-4"/>
    <n v="0"/>
    <n v="0"/>
    <m/>
  </r>
  <r>
    <s v="5609.6"/>
    <x v="0"/>
    <x v="1"/>
    <x v="0"/>
    <s v="20A"/>
    <s v="Whole Plate"/>
    <s v="Dolichospermum planctonicum "/>
    <b v="1"/>
    <n v="10"/>
    <n v="87.5"/>
    <m/>
    <n v="17.5"/>
    <n v="6.4749999999999999E-3"/>
    <n v="17.5"/>
    <n v="6.4749999999999999E-3"/>
    <m/>
  </r>
  <r>
    <s v="5609.7"/>
    <x v="0"/>
    <x v="1"/>
    <x v="0"/>
    <s v="20A"/>
    <s v="Whole Plate"/>
    <s v="Dolichospermum sp"/>
    <b v="1"/>
    <n v="10"/>
    <n v="17"/>
    <m/>
    <n v="1.7"/>
    <n v="3.2299999999999999E-4"/>
    <n v="1.7"/>
    <n v="3.2299999999999999E-4"/>
    <m/>
  </r>
  <r>
    <s v="5609.8"/>
    <x v="0"/>
    <x v="1"/>
    <x v="0"/>
    <s v="20A"/>
    <s v="Whole Plate"/>
    <s v="Microcystis wesenbergii"/>
    <b v="1"/>
    <n v="10"/>
    <n v="47"/>
    <m/>
    <n v="4.7"/>
    <n v="8.9455100000000005E-4"/>
    <n v="4.7"/>
    <n v="8.9455100000000005E-4"/>
    <s v="Microcystis spp._x000a_"/>
  </r>
  <r>
    <s v="5609.9"/>
    <x v="0"/>
    <x v="1"/>
    <x v="0"/>
    <s v="20A"/>
    <s v="Whole Plate"/>
    <s v="Pseudanabaena mucicola (rod)"/>
    <b v="0"/>
    <n v="10"/>
    <n v="6"/>
    <m/>
    <n v="0.6"/>
    <n v="2.76E-5"/>
    <n v="0"/>
    <n v="0"/>
    <m/>
  </r>
  <r>
    <s v="5610.1"/>
    <x v="0"/>
    <x v="2"/>
    <x v="0"/>
    <s v="20A"/>
    <s v="160"/>
    <s v="Aphanocapsa holsatica"/>
    <b v="0"/>
    <n v="10"/>
    <n v="11.4"/>
    <n v="180"/>
    <n v="7162.8416666666699"/>
    <n v="3.5814208333333399E-3"/>
    <n v="0"/>
    <n v="0"/>
    <m/>
  </r>
  <r>
    <s v="5610.2"/>
    <x v="0"/>
    <x v="2"/>
    <x v="0"/>
    <s v="20A"/>
    <s v="160"/>
    <s v="Aphanocapsa delicatissima"/>
    <b v="0"/>
    <n v="10"/>
    <n v="164.666666666667"/>
    <m/>
    <n v="3103.8980555555599"/>
    <n v="3.1038980555555602E-4"/>
    <n v="0"/>
    <n v="0"/>
    <m/>
  </r>
  <r>
    <s v="5610.3"/>
    <x v="0"/>
    <x v="2"/>
    <x v="0"/>
    <s v="20A"/>
    <s v="160"/>
    <s v="Dolichospermum planctonicum "/>
    <b v="1"/>
    <n v="10"/>
    <n v="3"/>
    <m/>
    <n v="9.4247916666666693"/>
    <n v="3.4871729166666599E-3"/>
    <n v="9.4247916666666605"/>
    <n v="3.4871729166666599E-3"/>
    <m/>
  </r>
  <r>
    <s v="5611.1"/>
    <x v="1"/>
    <x v="3"/>
    <x v="0"/>
    <s v="20A"/>
    <s v="Whole Plate"/>
    <s v="Microcystis aeruginosa"/>
    <b v="1"/>
    <n v="10"/>
    <n v="51.85"/>
    <n v="144"/>
    <n v="850.34"/>
    <n v="7.3979580000000003E-2"/>
    <n v="850.34"/>
    <n v="7.3979580000000003E-2"/>
    <s v="Microcystis spp._x000a_"/>
  </r>
  <r>
    <s v="5611.2"/>
    <x v="1"/>
    <x v="3"/>
    <x v="0"/>
    <s v="20A"/>
    <s v="Whole Plate"/>
    <s v="Dolichospermum sp"/>
    <b v="1"/>
    <n v="10"/>
    <n v="23.8"/>
    <m/>
    <n v="11.9"/>
    <n v="2.261E-3"/>
    <n v="11.9"/>
    <n v="2.261E-3"/>
    <m/>
  </r>
  <r>
    <s v="5611.3"/>
    <x v="1"/>
    <x v="3"/>
    <x v="0"/>
    <s v="20A"/>
    <s v="Whole Plate"/>
    <s v="Phormidium sp"/>
    <b v="1"/>
    <n v="10"/>
    <n v="23.25"/>
    <m/>
    <n v="9.3000000000000007"/>
    <n v="8.6806199999999996E-4"/>
    <n v="9.3000000000000007"/>
    <n v="8.6806199999999996E-4"/>
    <m/>
  </r>
  <r>
    <s v="5611.4"/>
    <x v="1"/>
    <x v="3"/>
    <x v="0"/>
    <s v="20A"/>
    <s v="Whole Plate"/>
    <s v="Oscillatoria sp"/>
    <b v="1"/>
    <n v="10"/>
    <n v="16"/>
    <m/>
    <n v="1.6"/>
    <n v="4.3271999999999998E-3"/>
    <n v="1.6"/>
    <n v="4.3271999999999998E-3"/>
    <m/>
  </r>
  <r>
    <s v="5611.5"/>
    <x v="1"/>
    <x v="3"/>
    <x v="0"/>
    <s v="20A"/>
    <s v="Whole Plate"/>
    <s v="Pseudanabaena limnetica (cylinder)"/>
    <b v="1"/>
    <n v="10"/>
    <n v="66"/>
    <m/>
    <n v="19.8"/>
    <n v="1.5642E-3"/>
    <n v="19.8"/>
    <n v="1.5642E-3"/>
    <m/>
  </r>
  <r>
    <s v="5611.6"/>
    <x v="1"/>
    <x v="3"/>
    <x v="0"/>
    <s v="20A"/>
    <s v="Whole Plate"/>
    <s v="Aphanocapsa holsatica"/>
    <b v="0"/>
    <n v="10"/>
    <n v="13"/>
    <m/>
    <n v="2.6"/>
    <n v="1.3E-6"/>
    <n v="0"/>
    <n v="0"/>
    <m/>
  </r>
  <r>
    <s v="5611.7"/>
    <x v="1"/>
    <x v="3"/>
    <x v="0"/>
    <s v="20A"/>
    <s v="Whole Plate"/>
    <s v="Dolichospermum planctonicum "/>
    <b v="1"/>
    <n v="10"/>
    <n v="19"/>
    <m/>
    <n v="1.9"/>
    <n v="7.0299999999999996E-4"/>
    <n v="1.9"/>
    <n v="7.0299999999999996E-4"/>
    <m/>
  </r>
  <r>
    <s v="5612.1"/>
    <x v="2"/>
    <x v="4"/>
    <x v="0"/>
    <s v="20A"/>
    <s v="Whole Plate"/>
    <s v="Woronichinia naegeliana"/>
    <b v="1"/>
    <n v="10"/>
    <n v="196.7"/>
    <n v="9"/>
    <n v="570.42999999999995"/>
    <n v="0"/>
    <n v="570.42999999999995"/>
    <n v="0"/>
    <m/>
  </r>
  <r>
    <s v="5612.2"/>
    <x v="2"/>
    <x v="4"/>
    <x v="0"/>
    <s v="20A"/>
    <s v="Whole Plate"/>
    <s v="Pseudanabaena limnetica (cylinder)"/>
    <b v="1"/>
    <n v="10"/>
    <n v="23.7222222222222"/>
    <m/>
    <n v="42.7"/>
    <n v="3.3733000000000001E-3"/>
    <n v="42.7"/>
    <n v="3.3733000000000001E-3"/>
    <m/>
  </r>
  <r>
    <s v="5612.3"/>
    <x v="2"/>
    <x v="4"/>
    <x v="0"/>
    <s v="20A"/>
    <s v="Whole Plate"/>
    <s v="Dolichospermum circinale"/>
    <b v="1"/>
    <n v="10"/>
    <n v="30.75"/>
    <n v="27"/>
    <n v="144.52500000000001"/>
    <n v="8.3194371000000003E-2"/>
    <n v="144.52500000000001"/>
    <n v="8.3194371000000003E-2"/>
    <m/>
  </r>
  <r>
    <s v="5612.4"/>
    <x v="2"/>
    <x v="4"/>
    <x v="0"/>
    <s v="20A"/>
    <s v="Whole Plate"/>
    <s v="Aphanocapsa delicatissima"/>
    <b v="0"/>
    <n v="10"/>
    <n v="58.75"/>
    <m/>
    <n v="23.5"/>
    <n v="2.3499999999999999E-6"/>
    <n v="0"/>
    <n v="0"/>
    <m/>
  </r>
  <r>
    <s v="5612.5"/>
    <x v="2"/>
    <x v="4"/>
    <x v="0"/>
    <s v="20A"/>
    <s v="Whole Plate"/>
    <s v="Limnothrix cf planktonica"/>
    <b v="0"/>
    <n v="10"/>
    <n v="11"/>
    <m/>
    <n v="2.2000000000000002"/>
    <n v="3.4539999999999999E-4"/>
    <n v="0"/>
    <n v="0"/>
    <m/>
  </r>
  <r>
    <s v="5612.6"/>
    <x v="2"/>
    <x v="4"/>
    <x v="0"/>
    <s v="20A"/>
    <s v="Whole Plate"/>
    <s v="Dolichospermum circinale"/>
    <b v="1"/>
    <n v="10"/>
    <n v="26"/>
    <m/>
    <n v="5.2"/>
    <n v="2.993328E-3"/>
    <n v="5.2"/>
    <n v="2.993328E-3"/>
    <m/>
  </r>
  <r>
    <s v="5612.7"/>
    <x v="2"/>
    <x v="4"/>
    <x v="0"/>
    <s v="20A"/>
    <s v="Whole Plate"/>
    <s v="Phormidium sp"/>
    <b v="1"/>
    <n v="10"/>
    <n v="53.3333333333333"/>
    <m/>
    <n v="64"/>
    <n v="5.9737599999999998E-3"/>
    <n v="64"/>
    <n v="5.9737599999999998E-3"/>
    <m/>
  </r>
  <r>
    <s v="5612.8"/>
    <x v="2"/>
    <x v="4"/>
    <x v="0"/>
    <s v="20A"/>
    <s v="Whole Plate"/>
    <s v="Dolichospermum planctonicum "/>
    <b v="1"/>
    <n v="10"/>
    <n v="24.625"/>
    <m/>
    <n v="39.4"/>
    <n v="1.4578000000000001E-2"/>
    <n v="39.4"/>
    <n v="1.4578000000000001E-2"/>
    <m/>
  </r>
  <r>
    <s v="5612.9"/>
    <x v="2"/>
    <x v="4"/>
    <x v="0"/>
    <s v="20A"/>
    <s v="Whole Plate"/>
    <s v="Pseudanabaena galeata (cylinder)"/>
    <b v="1"/>
    <n v="10"/>
    <n v="28"/>
    <m/>
    <n v="2.8"/>
    <n v="1.6799999999999999E-4"/>
    <n v="2.8"/>
    <n v="1.6799999999999999E-4"/>
    <m/>
  </r>
  <r>
    <s v="5612.10"/>
    <x v="2"/>
    <x v="4"/>
    <x v="0"/>
    <s v="20A"/>
    <s v="Whole Plate"/>
    <s v="Dolichospermum spiroides"/>
    <b v="1"/>
    <n v="10"/>
    <n v="39.25"/>
    <m/>
    <n v="15.7"/>
    <n v="4.0819999999999997E-3"/>
    <n v="15.7"/>
    <n v="4.0819999999999997E-3"/>
    <m/>
  </r>
  <r>
    <s v="5612.11"/>
    <x v="2"/>
    <x v="4"/>
    <x v="0"/>
    <s v="20A"/>
    <s v="Whole Plate"/>
    <s v="Oscillatoria sp"/>
    <b v="1"/>
    <n v="10"/>
    <n v="32"/>
    <m/>
    <n v="3.2"/>
    <n v="8.6543999999999996E-3"/>
    <n v="3.2"/>
    <n v="8.6543999999999996E-3"/>
    <m/>
  </r>
  <r>
    <s v="5613.1"/>
    <x v="3"/>
    <x v="5"/>
    <x v="0"/>
    <s v="5A"/>
    <s v="Whole Plate"/>
    <s v="Pseudanabaena limnetica (cylinder)"/>
    <b v="1"/>
    <n v="10"/>
    <n v="10.4"/>
    <m/>
    <n v="5.2"/>
    <n v="4.1080000000000001E-4"/>
    <n v="5.2"/>
    <n v="4.1080000000000001E-4"/>
    <m/>
  </r>
  <r>
    <s v="5613.2"/>
    <x v="3"/>
    <x v="5"/>
    <x v="0"/>
    <s v="5A"/>
    <s v="Whole Plate"/>
    <s v="Dolichospermum planctonicum "/>
    <b v="1"/>
    <n v="10"/>
    <n v="15.875"/>
    <m/>
    <n v="12.7"/>
    <n v="4.6990000000000001E-3"/>
    <n v="12.7"/>
    <n v="4.6990000000000001E-3"/>
    <m/>
  </r>
  <r>
    <s v="5613.3"/>
    <x v="3"/>
    <x v="5"/>
    <x v="0"/>
    <s v="20A"/>
    <s v="Whole Plate"/>
    <s v="Microcystis sp. (large)"/>
    <b v="1"/>
    <n v="10"/>
    <n v="89"/>
    <m/>
    <n v="8.9"/>
    <n v="8.2823399999999996E-4"/>
    <n v="8.9"/>
    <n v="8.2823399999999996E-4"/>
    <s v="Microcystis spp._x000a_"/>
  </r>
  <r>
    <s v="5613.4"/>
    <x v="3"/>
    <x v="5"/>
    <x v="0"/>
    <s v="20A"/>
    <s v="Whole Plate"/>
    <s v="Pseudanabaena mucicola (rod)"/>
    <b v="0"/>
    <n v="10"/>
    <n v="4"/>
    <m/>
    <n v="0.4"/>
    <n v="1.84E-5"/>
    <n v="0"/>
    <n v="0"/>
    <m/>
  </r>
  <r>
    <s v="5613.5"/>
    <x v="3"/>
    <x v="5"/>
    <x v="0"/>
    <s v="20A"/>
    <s v="Whole Plate"/>
    <s v="Phormidium sp"/>
    <b v="1"/>
    <n v="10"/>
    <n v="43.6666666666667"/>
    <m/>
    <n v="13.1"/>
    <n v="1.2227539999999999E-3"/>
    <n v="13.1"/>
    <n v="1.2227539999999999E-3"/>
    <m/>
  </r>
  <r>
    <s v="5614.1"/>
    <x v="0"/>
    <x v="6"/>
    <x v="0"/>
    <s v="20A"/>
    <s v="Whole Plate"/>
    <s v="Aphanocapsa holsatica"/>
    <b v="0"/>
    <n v="10"/>
    <n v="15.55"/>
    <n v="636"/>
    <n v="1020.08"/>
    <n v="5.1004000000000002E-4"/>
    <n v="0"/>
    <n v="0"/>
    <m/>
  </r>
  <r>
    <s v="5614.2"/>
    <x v="0"/>
    <x v="6"/>
    <x v="0"/>
    <s v="20A"/>
    <s v="Whole Plate"/>
    <s v="Aphanocapsa delicatissima"/>
    <b v="0"/>
    <n v="10"/>
    <n v="101.3"/>
    <n v="70"/>
    <n v="911.7"/>
    <n v="9.1169999999999996E-5"/>
    <n v="0"/>
    <n v="0"/>
    <m/>
  </r>
  <r>
    <s v="5614.3"/>
    <x v="0"/>
    <x v="6"/>
    <x v="0"/>
    <s v="20A"/>
    <s v="Whole Plate"/>
    <s v="Dolichospermum planctonicum "/>
    <b v="1"/>
    <n v="10"/>
    <n v="23.0625"/>
    <m/>
    <n v="36.9"/>
    <n v="1.3653E-2"/>
    <n v="36.9"/>
    <n v="1.3653E-2"/>
    <m/>
  </r>
  <r>
    <s v="5614.4"/>
    <x v="0"/>
    <x v="6"/>
    <x v="0"/>
    <s v="20A"/>
    <s v="Whole Plate"/>
    <s v="Microcystis sp. (large)"/>
    <b v="1"/>
    <n v="10"/>
    <n v="91"/>
    <m/>
    <n v="9.1"/>
    <n v="8.4684599999999995E-4"/>
    <n v="9.1"/>
    <n v="8.4684599999999995E-4"/>
    <s v="Microcystis spp._x000a_"/>
  </r>
  <r>
    <s v="5614.5"/>
    <x v="0"/>
    <x v="6"/>
    <x v="0"/>
    <s v="20A"/>
    <s v="Whole Plate"/>
    <s v="Dolichospermum lemmermannii"/>
    <b v="1"/>
    <n v="10"/>
    <n v="29.6666666666667"/>
    <m/>
    <n v="8.9"/>
    <n v="9.7900000000000005E-4"/>
    <n v="8.9"/>
    <n v="9.7900000000000005E-4"/>
    <m/>
  </r>
  <r>
    <s v="5614.6"/>
    <x v="0"/>
    <x v="6"/>
    <x v="0"/>
    <s v="20A"/>
    <s v="Whole Plate"/>
    <s v="Phormidium sp"/>
    <b v="1"/>
    <n v="10"/>
    <n v="32"/>
    <m/>
    <n v="3.2"/>
    <n v="2.9868800000000002E-4"/>
    <n v="3.2"/>
    <n v="2.9868800000000002E-4"/>
    <m/>
  </r>
  <r>
    <s v="5614.7"/>
    <x v="0"/>
    <x v="6"/>
    <x v="0"/>
    <s v="20A"/>
    <s v="Whole Plate"/>
    <s v="Microcystis wesenbergii"/>
    <b v="1"/>
    <n v="10"/>
    <n v="133"/>
    <m/>
    <n v="39.9"/>
    <n v="7.5941669999999998E-3"/>
    <n v="39.9"/>
    <n v="7.5941669999999998E-3"/>
    <s v="Microcystis spp._x000a_"/>
  </r>
  <r>
    <s v="5614.8"/>
    <x v="3"/>
    <x v="7"/>
    <x v="0"/>
    <s v="20A"/>
    <s v="Whole Plate"/>
    <s v="Microcystis aeruginosa"/>
    <b v="1"/>
    <n v="10"/>
    <n v="264"/>
    <m/>
    <n v="26.4"/>
    <n v="2.2967999999999999E-3"/>
    <n v="26.4"/>
    <n v="2.2967999999999999E-3"/>
    <s v="Microcystis spp._x000a_"/>
  </r>
  <r>
    <s v="5614.9"/>
    <x v="3"/>
    <x v="7"/>
    <x v="0"/>
    <s v="20A"/>
    <s v="Whole Plate"/>
    <s v="Dolichospermum circinale"/>
    <b v="1"/>
    <n v="10"/>
    <n v="39.3333333333333"/>
    <m/>
    <n v="11.8"/>
    <n v="6.7925520000000003E-3"/>
    <n v="11.8"/>
    <n v="6.7925520000000003E-3"/>
    <m/>
  </r>
  <r>
    <s v="5614.10"/>
    <x v="3"/>
    <x v="7"/>
    <x v="0"/>
    <s v="20A"/>
    <s v="Whole Plate"/>
    <s v="Dolichospermum planctonicum "/>
    <b v="1"/>
    <n v="10"/>
    <n v="11"/>
    <m/>
    <n v="1.1000000000000001"/>
    <n v="4.0700000000000003E-4"/>
    <n v="1.1000000000000001"/>
    <n v="4.0700000000000003E-4"/>
    <m/>
  </r>
  <r>
    <s v="5615.1"/>
    <x v="1"/>
    <x v="8"/>
    <x v="0"/>
    <s v="20A"/>
    <s v="160"/>
    <s v="Microcystis aeruginosa"/>
    <b v="1"/>
    <n v="10"/>
    <n v="12.4"/>
    <n v="1"/>
    <n v="818.07191666666699"/>
    <n v="7.1172256749999996E-2"/>
    <n v="818.07191666666699"/>
    <n v="7.1172256749999996E-2"/>
    <s v="Microcystis spp._x000a_"/>
  </r>
  <r>
    <s v="5615.2"/>
    <x v="1"/>
    <x v="8"/>
    <x v="0"/>
    <s v="20A"/>
    <s v="160"/>
    <s v="Microcystis wesenbergii"/>
    <b v="1"/>
    <n v="10"/>
    <n v="5"/>
    <m/>
    <n v="15.707986111111101"/>
    <n v="2.9897009965277801E-3"/>
    <n v="15.707986111111101"/>
    <n v="2.9897009965277801E-3"/>
    <s v="Microcystis spp._x000a_"/>
  </r>
  <r>
    <s v="5615.3"/>
    <x v="1"/>
    <x v="8"/>
    <x v="0"/>
    <s v="20A"/>
    <s v="160"/>
    <s v="Pseudanabaena mucicola (rod)"/>
    <b v="0"/>
    <n v="10"/>
    <n v="9"/>
    <m/>
    <n v="28.274374999999999"/>
    <n v="1.3006212499999999E-3"/>
    <n v="0"/>
    <n v="0"/>
    <m/>
  </r>
  <r>
    <s v="5616.1"/>
    <x v="4"/>
    <x v="9"/>
    <x v="0"/>
    <s v="20A"/>
    <s v="Whole Plate"/>
    <s v="Aphanocapsa holsatica"/>
    <b v="0"/>
    <n v="10"/>
    <n v="18.5"/>
    <n v="119"/>
    <n v="257.14999999999998"/>
    <n v="1.2857499999999999E-4"/>
    <n v="0"/>
    <n v="0"/>
    <m/>
  </r>
  <r>
    <s v="5616.2"/>
    <x v="4"/>
    <x v="9"/>
    <x v="0"/>
    <s v="20A"/>
    <s v="Whole Plate"/>
    <s v="Aphanocapsa delicatissima"/>
    <b v="0"/>
    <n v="10"/>
    <n v="36.799999999999997"/>
    <n v="42"/>
    <n v="228.16"/>
    <n v="2.2816E-5"/>
    <n v="0"/>
    <n v="0"/>
    <m/>
  </r>
  <r>
    <s v="5616.3"/>
    <x v="4"/>
    <x v="9"/>
    <x v="0"/>
    <s v="20A"/>
    <s v="Whole Plate"/>
    <s v="Phormidium sp"/>
    <b v="1"/>
    <n v="10"/>
    <n v="39"/>
    <m/>
    <n v="11.7"/>
    <n v="1.092078E-3"/>
    <n v="11.7"/>
    <n v="1.092078E-3"/>
    <m/>
  </r>
  <r>
    <s v="5616.4"/>
    <x v="4"/>
    <x v="9"/>
    <x v="0"/>
    <s v="20A"/>
    <s v="Whole Plate"/>
    <s v="Pseudanabaena limnetica (cylinder)"/>
    <b v="1"/>
    <n v="10"/>
    <n v="8"/>
    <m/>
    <n v="0.8"/>
    <n v="6.3200000000000005E-5"/>
    <n v="0.8"/>
    <n v="6.3200000000000005E-5"/>
    <m/>
  </r>
  <r>
    <s v="5616.5"/>
    <x v="4"/>
    <x v="9"/>
    <x v="0"/>
    <s v="20A"/>
    <s v="Whole Plate"/>
    <s v="Dolichospermum planctonicum "/>
    <b v="1"/>
    <n v="10"/>
    <n v="30.6666666666667"/>
    <m/>
    <n v="9.1999999999999993"/>
    <n v="3.4039999999999999E-3"/>
    <n v="9.1999999999999993"/>
    <n v="3.4039999999999999E-3"/>
    <m/>
  </r>
  <r>
    <s v="5616.6"/>
    <x v="4"/>
    <x v="9"/>
    <x v="0"/>
    <s v="20A"/>
    <s v="Whole Plate"/>
    <s v="Dolichospermum lemmermannii"/>
    <b v="1"/>
    <n v="10"/>
    <n v="54"/>
    <m/>
    <n v="5.4"/>
    <n v="5.9400000000000002E-4"/>
    <n v="5.4"/>
    <n v="5.9400000000000002E-4"/>
    <m/>
  </r>
  <r>
    <s v="5616.7"/>
    <x v="4"/>
    <x v="9"/>
    <x v="0"/>
    <s v="20A"/>
    <s v="Whole Plate"/>
    <s v="Limnothrix cf planktonica"/>
    <b v="0"/>
    <n v="10"/>
    <n v="33"/>
    <m/>
    <n v="3.3"/>
    <n v="5.1809999999999996E-4"/>
    <n v="0"/>
    <n v="0"/>
    <m/>
  </r>
  <r>
    <s v="5617.1"/>
    <x v="0"/>
    <x v="10"/>
    <x v="0"/>
    <s v="20A"/>
    <s v="Whole Plate"/>
    <s v="Aphanocapsa holsatica"/>
    <b v="0"/>
    <n v="10"/>
    <n v="20.5"/>
    <n v="101"/>
    <n v="248.05"/>
    <n v="1.2402499999999999E-4"/>
    <n v="0"/>
    <n v="0"/>
    <m/>
  </r>
  <r>
    <s v="5617.2"/>
    <x v="0"/>
    <x v="10"/>
    <x v="0"/>
    <s v="20A"/>
    <s v="Whole Plate"/>
    <s v="Aphanocapsa delicatissima"/>
    <b v="0"/>
    <n v="10"/>
    <n v="85"/>
    <m/>
    <n v="8.5"/>
    <n v="8.5000000000000001E-7"/>
    <n v="0"/>
    <n v="0"/>
    <m/>
  </r>
  <r>
    <s v="5617.3"/>
    <x v="0"/>
    <x v="10"/>
    <x v="0"/>
    <s v="20A"/>
    <s v="Whole Plate"/>
    <s v="Pseudanabaena mucicola (rod)"/>
    <b v="0"/>
    <n v="10"/>
    <n v="6"/>
    <m/>
    <n v="0.6"/>
    <n v="2.76E-5"/>
    <n v="0"/>
    <n v="0"/>
    <m/>
  </r>
  <r>
    <s v="5617.4"/>
    <x v="0"/>
    <x v="10"/>
    <x v="0"/>
    <s v="20A"/>
    <s v="Whole Plate"/>
    <s v="Oscillatoria sp"/>
    <b v="1"/>
    <n v="10"/>
    <n v="78"/>
    <m/>
    <n v="7.8"/>
    <n v="2.1095099999999999E-2"/>
    <n v="7.8"/>
    <n v="2.1095099999999999E-2"/>
    <m/>
  </r>
  <r>
    <s v="5617.5"/>
    <x v="0"/>
    <x v="10"/>
    <x v="0"/>
    <s v="20A"/>
    <s v="Whole Plate"/>
    <s v="Dolichospermum planctonicum "/>
    <b v="1"/>
    <n v="10"/>
    <n v="66"/>
    <m/>
    <n v="6.6"/>
    <n v="2.4420000000000002E-3"/>
    <n v="6.6"/>
    <n v="2.4420000000000002E-3"/>
    <m/>
  </r>
  <r>
    <s v="5617.6"/>
    <x v="0"/>
    <x v="10"/>
    <x v="0"/>
    <s v="20A"/>
    <s v="Whole Plate"/>
    <s v="Microcystis aeruginosa"/>
    <b v="1"/>
    <n v="10"/>
    <n v="10"/>
    <m/>
    <n v="1"/>
    <n v="8.7000000000000001E-5"/>
    <n v="1"/>
    <n v="8.7000000000000001E-5"/>
    <s v="Microcystis spp._x000a_"/>
  </r>
  <r>
    <s v="5617.7"/>
    <x v="0"/>
    <x v="10"/>
    <x v="0"/>
    <s v="20A"/>
    <s v="Whole Plate"/>
    <s v="Dolichospermum lemmermannii"/>
    <b v="1"/>
    <n v="10"/>
    <n v="52"/>
    <m/>
    <n v="15.6"/>
    <n v="1.7160000000000001E-3"/>
    <n v="15.6"/>
    <n v="1.7160000000000001E-3"/>
    <m/>
  </r>
  <r>
    <s v="5618.1"/>
    <x v="3"/>
    <x v="11"/>
    <x v="0"/>
    <s v="20A"/>
    <s v="Whole Plate"/>
    <s v="Dolichospermum sp"/>
    <b v="1"/>
    <n v="10"/>
    <n v="27"/>
    <m/>
    <n v="5.4"/>
    <n v="1.026E-3"/>
    <n v="5.4"/>
    <n v="1.026E-3"/>
    <m/>
  </r>
  <r>
    <s v="5618.2"/>
    <x v="3"/>
    <x v="11"/>
    <x v="0"/>
    <s v="20A"/>
    <s v="Whole Plate"/>
    <s v="Dolichospermum planctonicum "/>
    <b v="1"/>
    <n v="10"/>
    <n v="8"/>
    <m/>
    <n v="0.8"/>
    <n v="2.9599999999999998E-4"/>
    <n v="0.8"/>
    <n v="2.9599999999999998E-4"/>
    <m/>
  </r>
  <r>
    <s v="5619.1"/>
    <x v="3"/>
    <x v="12"/>
    <x v="0"/>
    <s v="20A"/>
    <s v="Whole Plate"/>
    <s v="Dolichospermum circinale"/>
    <b v="1"/>
    <n v="10"/>
    <n v="113"/>
    <m/>
    <n v="11.3"/>
    <n v="6.504732E-3"/>
    <n v="11.3"/>
    <n v="6.504732E-3"/>
    <m/>
  </r>
  <r>
    <s v="5619.2"/>
    <x v="3"/>
    <x v="12"/>
    <x v="0"/>
    <s v="20A"/>
    <s v="Whole Plate"/>
    <s v="Dolichospermum planctonicum "/>
    <b v="1"/>
    <n v="10"/>
    <n v="51"/>
    <m/>
    <n v="15.3"/>
    <n v="5.6610000000000002E-3"/>
    <n v="15.3"/>
    <n v="5.6610000000000002E-3"/>
    <m/>
  </r>
  <r>
    <s v="5619.3"/>
    <x v="3"/>
    <x v="12"/>
    <x v="0"/>
    <s v="20A"/>
    <s v="Whole Plate"/>
    <s v="Limnothrix cf planktonica"/>
    <b v="0"/>
    <n v="10"/>
    <n v="24"/>
    <m/>
    <n v="2.4"/>
    <n v="3.768E-4"/>
    <n v="0"/>
    <n v="0"/>
    <m/>
  </r>
  <r>
    <s v="5619.4"/>
    <x v="3"/>
    <x v="12"/>
    <x v="0"/>
    <s v="20A"/>
    <s v="Whole Plate"/>
    <s v="Microcystis wesenbergii"/>
    <b v="1"/>
    <n v="10"/>
    <n v="39.5"/>
    <m/>
    <n v="7.9"/>
    <n v="1.5036069999999999E-3"/>
    <n v="7.9"/>
    <n v="1.5036069999999999E-3"/>
    <s v="Microcystis spp._x000a_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5609.8"/>
    <x v="0"/>
    <x v="0"/>
    <x v="0"/>
    <s v="20A"/>
    <s v="Whole Plate"/>
    <s v="Microcystis wesenbergii"/>
    <b v="1"/>
    <n v="10"/>
    <n v="47"/>
    <m/>
    <n v="4.7"/>
    <n v="8.9455100000000005E-4"/>
    <n v="4.7"/>
    <n v="8.9455100000000005E-4"/>
    <x v="0"/>
  </r>
  <r>
    <s v="5611.1"/>
    <x v="1"/>
    <x v="1"/>
    <x v="0"/>
    <s v="20A"/>
    <s v="Whole Plate"/>
    <s v="Microcystis aeruginosa"/>
    <b v="1"/>
    <n v="10"/>
    <n v="51.85"/>
    <n v="144"/>
    <n v="850.34"/>
    <n v="7.3979580000000003E-2"/>
    <n v="850.34"/>
    <n v="7.3979580000000003E-2"/>
    <x v="0"/>
  </r>
  <r>
    <s v="5613.3"/>
    <x v="2"/>
    <x v="2"/>
    <x v="0"/>
    <s v="20A"/>
    <s v="Whole Plate"/>
    <s v="Microcystis sp. (large)"/>
    <b v="1"/>
    <n v="10"/>
    <n v="89"/>
    <m/>
    <n v="8.9"/>
    <n v="8.2823399999999996E-4"/>
    <n v="8.9"/>
    <n v="8.2823399999999996E-4"/>
    <x v="0"/>
  </r>
  <r>
    <s v="5614.4"/>
    <x v="0"/>
    <x v="3"/>
    <x v="0"/>
    <s v="20A"/>
    <s v="Whole Plate"/>
    <s v="Microcystis sp. (large)"/>
    <b v="1"/>
    <n v="10"/>
    <n v="91"/>
    <m/>
    <n v="9.1"/>
    <n v="8.4684599999999995E-4"/>
    <n v="9.1"/>
    <n v="8.4684599999999995E-4"/>
    <x v="0"/>
  </r>
  <r>
    <s v="5614.7"/>
    <x v="0"/>
    <x v="3"/>
    <x v="0"/>
    <s v="20A"/>
    <s v="Whole Plate"/>
    <s v="Microcystis wesenbergii"/>
    <b v="1"/>
    <n v="10"/>
    <n v="133"/>
    <m/>
    <n v="39.9"/>
    <n v="7.5941669999999998E-3"/>
    <n v="39.9"/>
    <n v="7.5941669999999998E-3"/>
    <x v="0"/>
  </r>
  <r>
    <s v="5614.8"/>
    <x v="2"/>
    <x v="4"/>
    <x v="0"/>
    <s v="20A"/>
    <s v="Whole Plate"/>
    <s v="Microcystis aeruginosa"/>
    <b v="1"/>
    <n v="10"/>
    <n v="264"/>
    <m/>
    <n v="26.4"/>
    <n v="2.2967999999999999E-3"/>
    <n v="26.4"/>
    <n v="2.2967999999999999E-3"/>
    <x v="0"/>
  </r>
  <r>
    <s v="5615.1"/>
    <x v="1"/>
    <x v="5"/>
    <x v="0"/>
    <s v="20A"/>
    <s v="160"/>
    <s v="Microcystis aeruginosa"/>
    <b v="1"/>
    <n v="10"/>
    <n v="12.4"/>
    <n v="1"/>
    <n v="818.07191666666699"/>
    <n v="7.1172256749999996E-2"/>
    <n v="818.07191666666699"/>
    <n v="7.1172256749999996E-2"/>
    <x v="0"/>
  </r>
  <r>
    <s v="5615.2"/>
    <x v="1"/>
    <x v="5"/>
    <x v="0"/>
    <s v="20A"/>
    <s v="160"/>
    <s v="Microcystis wesenbergii"/>
    <b v="1"/>
    <n v="10"/>
    <n v="5"/>
    <m/>
    <n v="15.707986111111101"/>
    <n v="2.9897009965277801E-3"/>
    <n v="15.707986111111101"/>
    <n v="2.9897009965277801E-3"/>
    <x v="0"/>
  </r>
  <r>
    <s v="5617.6"/>
    <x v="0"/>
    <x v="6"/>
    <x v="0"/>
    <s v="20A"/>
    <s v="Whole Plate"/>
    <s v="Microcystis aeruginosa"/>
    <b v="1"/>
    <n v="10"/>
    <n v="10"/>
    <m/>
    <n v="1"/>
    <n v="8.7000000000000001E-5"/>
    <n v="1"/>
    <n v="8.7000000000000001E-5"/>
    <x v="0"/>
  </r>
  <r>
    <s v="5619.4"/>
    <x v="2"/>
    <x v="7"/>
    <x v="0"/>
    <s v="20A"/>
    <s v="Whole Plate"/>
    <s v="Microcystis wesenbergii"/>
    <b v="1"/>
    <n v="10"/>
    <n v="39.5"/>
    <m/>
    <n v="7.9"/>
    <n v="1.5036069999999999E-3"/>
    <n v="7.9"/>
    <n v="1.5036069999999999E-3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s v="5608.1"/>
    <x v="0"/>
    <x v="0"/>
    <x v="0"/>
    <s v="20A"/>
    <s v="160"/>
    <s v="Aphanocapsa holsatica"/>
    <b v="0"/>
    <n v="10"/>
    <n v="14.65"/>
    <n v="33"/>
    <n v="2439.2931631944398"/>
    <n v="1.21964658159722E-3"/>
    <n v="0"/>
    <n v="0"/>
    <m/>
  </r>
  <r>
    <s v="5608.2"/>
    <x v="0"/>
    <x v="0"/>
    <x v="0"/>
    <s v="20A"/>
    <s v="160"/>
    <s v="Aphanocapsa delicatissima"/>
    <b v="0"/>
    <n v="10"/>
    <n v="145.25"/>
    <m/>
    <n v="3650.5359722222202"/>
    <n v="3.6505359722222198E-4"/>
    <n v="0"/>
    <n v="0"/>
    <m/>
  </r>
  <r>
    <s v="5608.3"/>
    <x v="0"/>
    <x v="0"/>
    <x v="0"/>
    <s v="20A"/>
    <s v="160"/>
    <s v="Pseudanabaena mucicola (rod)"/>
    <b v="0"/>
    <n v="10"/>
    <n v="3"/>
    <m/>
    <n v="9.4247916666666693"/>
    <n v="4.3354041666666601E-4"/>
    <n v="0"/>
    <n v="0"/>
    <m/>
  </r>
  <r>
    <s v="5609.1"/>
    <x v="0"/>
    <x v="1"/>
    <x v="0"/>
    <s v="20A"/>
    <s v="Whole Plate"/>
    <s v="Aphanocapsa delicatissima"/>
    <b v="0"/>
    <n v="10"/>
    <n v="167.6"/>
    <n v="6"/>
    <n v="435.76"/>
    <n v="4.3575999999999997E-5"/>
    <n v="0"/>
    <n v="0"/>
    <m/>
  </r>
  <r>
    <s v="5609.2"/>
    <x v="0"/>
    <x v="1"/>
    <x v="0"/>
    <s v="20A"/>
    <s v="Whole Plate"/>
    <s v="Woronichinia naegeliana"/>
    <b v="1"/>
    <n v="10"/>
    <n v="265.92857142857099"/>
    <m/>
    <n v="372.3"/>
    <n v="0"/>
    <n v="372.3"/>
    <n v="0"/>
    <m/>
  </r>
  <r>
    <s v="5609.3"/>
    <x v="0"/>
    <x v="1"/>
    <x v="0"/>
    <s v="20A"/>
    <s v="Whole Plate"/>
    <s v="Aphanocapsa holsatica"/>
    <b v="0"/>
    <n v="10"/>
    <n v="22.75"/>
    <m/>
    <n v="18.2"/>
    <n v="9.0999999999999993E-6"/>
    <n v="0"/>
    <n v="0"/>
    <m/>
  </r>
  <r>
    <s v="5609.4"/>
    <x v="0"/>
    <x v="1"/>
    <x v="0"/>
    <s v="20A"/>
    <s v="Whole Plate"/>
    <s v="Dolichospermum lemmermannii"/>
    <b v="1"/>
    <n v="10"/>
    <n v="35.4"/>
    <m/>
    <n v="17.7"/>
    <n v="1.9469999999999999E-3"/>
    <n v="17.7"/>
    <n v="1.9469999999999999E-3"/>
    <m/>
  </r>
  <r>
    <s v="5609.5"/>
    <x v="0"/>
    <x v="1"/>
    <x v="0"/>
    <s v="20A"/>
    <s v="Whole Plate"/>
    <s v="Coelosphaerium kuetzingianum"/>
    <b v="0"/>
    <n v="10"/>
    <n v="52.6"/>
    <m/>
    <n v="52.6"/>
    <n v="4.6761399999999999E-4"/>
    <n v="0"/>
    <n v="0"/>
    <m/>
  </r>
  <r>
    <s v="5609.6"/>
    <x v="0"/>
    <x v="1"/>
    <x v="0"/>
    <s v="20A"/>
    <s v="Whole Plate"/>
    <s v="Dolichospermum planctonicum "/>
    <b v="1"/>
    <n v="10"/>
    <n v="87.5"/>
    <m/>
    <n v="17.5"/>
    <n v="6.4749999999999999E-3"/>
    <n v="17.5"/>
    <n v="6.4749999999999999E-3"/>
    <m/>
  </r>
  <r>
    <s v="5609.7"/>
    <x v="0"/>
    <x v="1"/>
    <x v="0"/>
    <s v="20A"/>
    <s v="Whole Plate"/>
    <s v="Dolichospermum sp"/>
    <b v="1"/>
    <n v="10"/>
    <n v="17"/>
    <m/>
    <n v="1.7"/>
    <n v="3.2299999999999999E-4"/>
    <n v="1.7"/>
    <n v="3.2299999999999999E-4"/>
    <m/>
  </r>
  <r>
    <s v="5609.8"/>
    <x v="0"/>
    <x v="1"/>
    <x v="0"/>
    <s v="20A"/>
    <s v="Whole Plate"/>
    <s v="Microcystis wesenbergii"/>
    <b v="1"/>
    <n v="10"/>
    <n v="47"/>
    <m/>
    <n v="4.7"/>
    <n v="8.9455100000000005E-4"/>
    <n v="4.7"/>
    <n v="8.9455100000000005E-4"/>
    <s v="Microcystis spp._x000a_"/>
  </r>
  <r>
    <s v="5609.9"/>
    <x v="0"/>
    <x v="1"/>
    <x v="0"/>
    <s v="20A"/>
    <s v="Whole Plate"/>
    <s v="Pseudanabaena mucicola (rod)"/>
    <b v="0"/>
    <n v="10"/>
    <n v="6"/>
    <m/>
    <n v="0.6"/>
    <n v="2.76E-5"/>
    <n v="0"/>
    <n v="0"/>
    <m/>
  </r>
  <r>
    <s v="5610.1"/>
    <x v="0"/>
    <x v="2"/>
    <x v="0"/>
    <s v="20A"/>
    <s v="160"/>
    <s v="Aphanocapsa holsatica"/>
    <b v="0"/>
    <n v="10"/>
    <n v="11.4"/>
    <n v="180"/>
    <n v="7162.8416666666699"/>
    <n v="3.5814208333333399E-3"/>
    <n v="0"/>
    <n v="0"/>
    <m/>
  </r>
  <r>
    <s v="5610.2"/>
    <x v="0"/>
    <x v="2"/>
    <x v="0"/>
    <s v="20A"/>
    <s v="160"/>
    <s v="Aphanocapsa delicatissima"/>
    <b v="0"/>
    <n v="10"/>
    <n v="164.666666666667"/>
    <m/>
    <n v="3103.8980555555599"/>
    <n v="3.1038980555555602E-4"/>
    <n v="0"/>
    <n v="0"/>
    <m/>
  </r>
  <r>
    <s v="5610.3"/>
    <x v="0"/>
    <x v="2"/>
    <x v="0"/>
    <s v="20A"/>
    <s v="160"/>
    <s v="Dolichospermum planctonicum "/>
    <b v="1"/>
    <n v="10"/>
    <n v="3"/>
    <m/>
    <n v="9.4247916666666693"/>
    <n v="3.4871729166666599E-3"/>
    <n v="9.4247916666666605"/>
    <n v="3.4871729166666599E-3"/>
    <m/>
  </r>
  <r>
    <s v="5611.1"/>
    <x v="1"/>
    <x v="3"/>
    <x v="0"/>
    <s v="20A"/>
    <s v="Whole Plate"/>
    <s v="Microcystis aeruginosa"/>
    <b v="1"/>
    <n v="10"/>
    <n v="51.85"/>
    <n v="144"/>
    <n v="850.34"/>
    <n v="7.3979580000000003E-2"/>
    <n v="850.34"/>
    <n v="7.3979580000000003E-2"/>
    <s v="Microcystis spp._x000a_"/>
  </r>
  <r>
    <s v="5611.2"/>
    <x v="1"/>
    <x v="3"/>
    <x v="0"/>
    <s v="20A"/>
    <s v="Whole Plate"/>
    <s v="Dolichospermum sp"/>
    <b v="1"/>
    <n v="10"/>
    <n v="23.8"/>
    <m/>
    <n v="11.9"/>
    <n v="2.261E-3"/>
    <n v="11.9"/>
    <n v="2.261E-3"/>
    <m/>
  </r>
  <r>
    <s v="5611.3"/>
    <x v="1"/>
    <x v="3"/>
    <x v="0"/>
    <s v="20A"/>
    <s v="Whole Plate"/>
    <s v="Phormidium sp"/>
    <b v="1"/>
    <n v="10"/>
    <n v="23.25"/>
    <m/>
    <n v="9.3000000000000007"/>
    <n v="8.6806199999999996E-4"/>
    <n v="9.3000000000000007"/>
    <n v="8.6806199999999996E-4"/>
    <m/>
  </r>
  <r>
    <s v="5611.4"/>
    <x v="1"/>
    <x v="3"/>
    <x v="0"/>
    <s v="20A"/>
    <s v="Whole Plate"/>
    <s v="Oscillatoria sp"/>
    <b v="1"/>
    <n v="10"/>
    <n v="16"/>
    <m/>
    <n v="1.6"/>
    <n v="4.3271999999999998E-3"/>
    <n v="1.6"/>
    <n v="4.3271999999999998E-3"/>
    <m/>
  </r>
  <r>
    <s v="5611.5"/>
    <x v="1"/>
    <x v="3"/>
    <x v="0"/>
    <s v="20A"/>
    <s v="Whole Plate"/>
    <s v="Pseudanabaena limnetica (cylinder)"/>
    <b v="1"/>
    <n v="10"/>
    <n v="66"/>
    <m/>
    <n v="19.8"/>
    <n v="1.5642E-3"/>
    <n v="19.8"/>
    <n v="1.5642E-3"/>
    <m/>
  </r>
  <r>
    <s v="5611.6"/>
    <x v="1"/>
    <x v="3"/>
    <x v="0"/>
    <s v="20A"/>
    <s v="Whole Plate"/>
    <s v="Aphanocapsa holsatica"/>
    <b v="0"/>
    <n v="10"/>
    <n v="13"/>
    <m/>
    <n v="2.6"/>
    <n v="1.3E-6"/>
    <n v="0"/>
    <n v="0"/>
    <m/>
  </r>
  <r>
    <s v="5611.7"/>
    <x v="1"/>
    <x v="3"/>
    <x v="0"/>
    <s v="20A"/>
    <s v="Whole Plate"/>
    <s v="Dolichospermum planctonicum "/>
    <b v="1"/>
    <n v="10"/>
    <n v="19"/>
    <m/>
    <n v="1.9"/>
    <n v="7.0299999999999996E-4"/>
    <n v="1.9"/>
    <n v="7.0299999999999996E-4"/>
    <m/>
  </r>
  <r>
    <s v="5612.1"/>
    <x v="2"/>
    <x v="4"/>
    <x v="0"/>
    <s v="20A"/>
    <s v="Whole Plate"/>
    <s v="Woronichinia naegeliana"/>
    <b v="1"/>
    <n v="10"/>
    <n v="196.7"/>
    <n v="9"/>
    <n v="570.42999999999995"/>
    <n v="0"/>
    <n v="570.42999999999995"/>
    <n v="0"/>
    <m/>
  </r>
  <r>
    <s v="5612.2"/>
    <x v="2"/>
    <x v="4"/>
    <x v="0"/>
    <s v="20A"/>
    <s v="Whole Plate"/>
    <s v="Pseudanabaena limnetica (cylinder)"/>
    <b v="1"/>
    <n v="10"/>
    <n v="23.7222222222222"/>
    <m/>
    <n v="42.7"/>
    <n v="3.3733000000000001E-3"/>
    <n v="42.7"/>
    <n v="3.3733000000000001E-3"/>
    <m/>
  </r>
  <r>
    <s v="5612.3"/>
    <x v="2"/>
    <x v="4"/>
    <x v="0"/>
    <s v="20A"/>
    <s v="Whole Plate"/>
    <s v="Dolichospermum circinale"/>
    <b v="1"/>
    <n v="10"/>
    <n v="30.75"/>
    <n v="27"/>
    <n v="144.52500000000001"/>
    <n v="8.3194371000000003E-2"/>
    <n v="144.52500000000001"/>
    <n v="8.3194371000000003E-2"/>
    <m/>
  </r>
  <r>
    <s v="5612.4"/>
    <x v="2"/>
    <x v="4"/>
    <x v="0"/>
    <s v="20A"/>
    <s v="Whole Plate"/>
    <s v="Aphanocapsa delicatissima"/>
    <b v="0"/>
    <n v="10"/>
    <n v="58.75"/>
    <m/>
    <n v="23.5"/>
    <n v="2.3499999999999999E-6"/>
    <n v="0"/>
    <n v="0"/>
    <m/>
  </r>
  <r>
    <s v="5612.5"/>
    <x v="2"/>
    <x v="4"/>
    <x v="0"/>
    <s v="20A"/>
    <s v="Whole Plate"/>
    <s v="Limnothrix cf planktonica"/>
    <b v="0"/>
    <n v="10"/>
    <n v="11"/>
    <m/>
    <n v="2.2000000000000002"/>
    <n v="3.4539999999999999E-4"/>
    <n v="0"/>
    <n v="0"/>
    <m/>
  </r>
  <r>
    <s v="5612.6"/>
    <x v="2"/>
    <x v="4"/>
    <x v="0"/>
    <s v="20A"/>
    <s v="Whole Plate"/>
    <s v="Dolichospermum circinale"/>
    <b v="1"/>
    <n v="10"/>
    <n v="26"/>
    <m/>
    <n v="5.2"/>
    <n v="2.993328E-3"/>
    <n v="5.2"/>
    <n v="2.993328E-3"/>
    <m/>
  </r>
  <r>
    <s v="5612.7"/>
    <x v="2"/>
    <x v="4"/>
    <x v="0"/>
    <s v="20A"/>
    <s v="Whole Plate"/>
    <s v="Phormidium sp"/>
    <b v="1"/>
    <n v="10"/>
    <n v="53.3333333333333"/>
    <m/>
    <n v="64"/>
    <n v="5.9737599999999998E-3"/>
    <n v="64"/>
    <n v="5.9737599999999998E-3"/>
    <m/>
  </r>
  <r>
    <s v="5612.8"/>
    <x v="2"/>
    <x v="4"/>
    <x v="0"/>
    <s v="20A"/>
    <s v="Whole Plate"/>
    <s v="Dolichospermum planctonicum "/>
    <b v="1"/>
    <n v="10"/>
    <n v="24.625"/>
    <m/>
    <n v="39.4"/>
    <n v="1.4578000000000001E-2"/>
    <n v="39.4"/>
    <n v="1.4578000000000001E-2"/>
    <m/>
  </r>
  <r>
    <s v="5612.9"/>
    <x v="2"/>
    <x v="4"/>
    <x v="0"/>
    <s v="20A"/>
    <s v="Whole Plate"/>
    <s v="Pseudanabaena galeata (cylinder)"/>
    <b v="1"/>
    <n v="10"/>
    <n v="28"/>
    <m/>
    <n v="2.8"/>
    <n v="1.6799999999999999E-4"/>
    <n v="2.8"/>
    <n v="1.6799999999999999E-4"/>
    <m/>
  </r>
  <r>
    <s v="5612.10"/>
    <x v="2"/>
    <x v="4"/>
    <x v="0"/>
    <s v="20A"/>
    <s v="Whole Plate"/>
    <s v="Dolichospermum spiroides"/>
    <b v="1"/>
    <n v="10"/>
    <n v="39.25"/>
    <m/>
    <n v="15.7"/>
    <n v="4.0819999999999997E-3"/>
    <n v="15.7"/>
    <n v="4.0819999999999997E-3"/>
    <m/>
  </r>
  <r>
    <s v="5612.11"/>
    <x v="2"/>
    <x v="4"/>
    <x v="0"/>
    <s v="20A"/>
    <s v="Whole Plate"/>
    <s v="Oscillatoria sp"/>
    <b v="1"/>
    <n v="10"/>
    <n v="32"/>
    <m/>
    <n v="3.2"/>
    <n v="8.6543999999999996E-3"/>
    <n v="3.2"/>
    <n v="8.6543999999999996E-3"/>
    <m/>
  </r>
  <r>
    <s v="5613.1"/>
    <x v="3"/>
    <x v="5"/>
    <x v="0"/>
    <s v="5A"/>
    <s v="Whole Plate"/>
    <s v="Pseudanabaena limnetica (cylinder)"/>
    <b v="1"/>
    <n v="10"/>
    <n v="10.4"/>
    <m/>
    <n v="5.2"/>
    <n v="4.1080000000000001E-4"/>
    <n v="5.2"/>
    <n v="4.1080000000000001E-4"/>
    <m/>
  </r>
  <r>
    <s v="5613.2"/>
    <x v="3"/>
    <x v="5"/>
    <x v="0"/>
    <s v="5A"/>
    <s v="Whole Plate"/>
    <s v="Dolichospermum planctonicum "/>
    <b v="1"/>
    <n v="10"/>
    <n v="15.875"/>
    <m/>
    <n v="12.7"/>
    <n v="4.6990000000000001E-3"/>
    <n v="12.7"/>
    <n v="4.6990000000000001E-3"/>
    <m/>
  </r>
  <r>
    <s v="5613.3"/>
    <x v="3"/>
    <x v="5"/>
    <x v="0"/>
    <s v="20A"/>
    <s v="Whole Plate"/>
    <s v="Microcystis sp. (large)"/>
    <b v="1"/>
    <n v="10"/>
    <n v="89"/>
    <m/>
    <n v="8.9"/>
    <n v="8.2823399999999996E-4"/>
    <n v="8.9"/>
    <n v="8.2823399999999996E-4"/>
    <s v="Microcystis spp._x000a_"/>
  </r>
  <r>
    <s v="5613.4"/>
    <x v="3"/>
    <x v="5"/>
    <x v="0"/>
    <s v="20A"/>
    <s v="Whole Plate"/>
    <s v="Pseudanabaena mucicola (rod)"/>
    <b v="0"/>
    <n v="10"/>
    <n v="4"/>
    <m/>
    <n v="0.4"/>
    <n v="1.84E-5"/>
    <n v="0"/>
    <n v="0"/>
    <m/>
  </r>
  <r>
    <s v="5613.5"/>
    <x v="3"/>
    <x v="5"/>
    <x v="0"/>
    <s v="20A"/>
    <s v="Whole Plate"/>
    <s v="Phormidium sp"/>
    <b v="1"/>
    <n v="10"/>
    <n v="43.6666666666667"/>
    <m/>
    <n v="13.1"/>
    <n v="1.2227539999999999E-3"/>
    <n v="13.1"/>
    <n v="1.2227539999999999E-3"/>
    <m/>
  </r>
  <r>
    <s v="5614.1"/>
    <x v="0"/>
    <x v="6"/>
    <x v="0"/>
    <s v="20A"/>
    <s v="Whole Plate"/>
    <s v="Aphanocapsa holsatica"/>
    <b v="0"/>
    <n v="10"/>
    <n v="15.55"/>
    <n v="636"/>
    <n v="1020.08"/>
    <n v="5.1004000000000002E-4"/>
    <n v="0"/>
    <n v="0"/>
    <m/>
  </r>
  <r>
    <s v="5614.2"/>
    <x v="0"/>
    <x v="6"/>
    <x v="0"/>
    <s v="20A"/>
    <s v="Whole Plate"/>
    <s v="Aphanocapsa delicatissima"/>
    <b v="0"/>
    <n v="10"/>
    <n v="101.3"/>
    <n v="70"/>
    <n v="911.7"/>
    <n v="9.1169999999999996E-5"/>
    <n v="0"/>
    <n v="0"/>
    <m/>
  </r>
  <r>
    <s v="5614.3"/>
    <x v="0"/>
    <x v="6"/>
    <x v="0"/>
    <s v="20A"/>
    <s v="Whole Plate"/>
    <s v="Dolichospermum planctonicum "/>
    <b v="1"/>
    <n v="10"/>
    <n v="23.0625"/>
    <m/>
    <n v="36.9"/>
    <n v="1.3653E-2"/>
    <n v="36.9"/>
    <n v="1.3653E-2"/>
    <m/>
  </r>
  <r>
    <s v="5614.4"/>
    <x v="0"/>
    <x v="6"/>
    <x v="0"/>
    <s v="20A"/>
    <s v="Whole Plate"/>
    <s v="Microcystis sp. (large)"/>
    <b v="1"/>
    <n v="10"/>
    <n v="91"/>
    <m/>
    <n v="9.1"/>
    <n v="8.4684599999999995E-4"/>
    <n v="9.1"/>
    <n v="8.4684599999999995E-4"/>
    <s v="Microcystis spp._x000a_"/>
  </r>
  <r>
    <s v="5614.5"/>
    <x v="0"/>
    <x v="6"/>
    <x v="0"/>
    <s v="20A"/>
    <s v="Whole Plate"/>
    <s v="Dolichospermum lemmermannii"/>
    <b v="1"/>
    <n v="10"/>
    <n v="29.6666666666667"/>
    <m/>
    <n v="8.9"/>
    <n v="9.7900000000000005E-4"/>
    <n v="8.9"/>
    <n v="9.7900000000000005E-4"/>
    <m/>
  </r>
  <r>
    <s v="5614.6"/>
    <x v="0"/>
    <x v="6"/>
    <x v="0"/>
    <s v="20A"/>
    <s v="Whole Plate"/>
    <s v="Phormidium sp"/>
    <b v="1"/>
    <n v="10"/>
    <n v="32"/>
    <m/>
    <n v="3.2"/>
    <n v="2.9868800000000002E-4"/>
    <n v="3.2"/>
    <n v="2.9868800000000002E-4"/>
    <m/>
  </r>
  <r>
    <s v="5614.7"/>
    <x v="0"/>
    <x v="6"/>
    <x v="0"/>
    <s v="20A"/>
    <s v="Whole Plate"/>
    <s v="Microcystis wesenbergii"/>
    <b v="1"/>
    <n v="10"/>
    <n v="133"/>
    <m/>
    <n v="39.9"/>
    <n v="7.5941669999999998E-3"/>
    <n v="39.9"/>
    <n v="7.5941669999999998E-3"/>
    <s v="Microcystis spp._x000a_"/>
  </r>
  <r>
    <s v="5614.8"/>
    <x v="3"/>
    <x v="7"/>
    <x v="0"/>
    <s v="20A"/>
    <s v="Whole Plate"/>
    <s v="Microcystis aeruginosa"/>
    <b v="1"/>
    <n v="10"/>
    <n v="264"/>
    <m/>
    <n v="26.4"/>
    <n v="2.2967999999999999E-3"/>
    <n v="26.4"/>
    <n v="2.2967999999999999E-3"/>
    <s v="Microcystis spp._x000a_"/>
  </r>
  <r>
    <s v="5614.9"/>
    <x v="3"/>
    <x v="7"/>
    <x v="0"/>
    <s v="20A"/>
    <s v="Whole Plate"/>
    <s v="Dolichospermum circinale"/>
    <b v="1"/>
    <n v="10"/>
    <n v="39.3333333333333"/>
    <m/>
    <n v="11.8"/>
    <n v="6.7925520000000003E-3"/>
    <n v="11.8"/>
    <n v="6.7925520000000003E-3"/>
    <m/>
  </r>
  <r>
    <s v="5614.10"/>
    <x v="3"/>
    <x v="7"/>
    <x v="0"/>
    <s v="20A"/>
    <s v="Whole Plate"/>
    <s v="Dolichospermum planctonicum "/>
    <b v="1"/>
    <n v="10"/>
    <n v="11"/>
    <m/>
    <n v="1.1000000000000001"/>
    <n v="4.0700000000000003E-4"/>
    <n v="1.1000000000000001"/>
    <n v="4.0700000000000003E-4"/>
    <m/>
  </r>
  <r>
    <s v="5615.1"/>
    <x v="1"/>
    <x v="8"/>
    <x v="0"/>
    <s v="20A"/>
    <s v="160"/>
    <s v="Microcystis aeruginosa"/>
    <b v="1"/>
    <n v="10"/>
    <n v="12.4"/>
    <n v="1"/>
    <n v="818.07191666666699"/>
    <n v="7.1172256749999996E-2"/>
    <n v="818.07191666666699"/>
    <n v="7.1172256749999996E-2"/>
    <s v="Microcystis spp._x000a_"/>
  </r>
  <r>
    <s v="5615.2"/>
    <x v="1"/>
    <x v="8"/>
    <x v="0"/>
    <s v="20A"/>
    <s v="160"/>
    <s v="Microcystis wesenbergii"/>
    <b v="1"/>
    <n v="10"/>
    <n v="5"/>
    <m/>
    <n v="15.707986111111101"/>
    <n v="2.9897009965277801E-3"/>
    <n v="15.707986111111101"/>
    <n v="2.9897009965277801E-3"/>
    <s v="Microcystis spp._x000a_"/>
  </r>
  <r>
    <s v="5615.3"/>
    <x v="1"/>
    <x v="8"/>
    <x v="0"/>
    <s v="20A"/>
    <s v="160"/>
    <s v="Pseudanabaena mucicola (rod)"/>
    <b v="0"/>
    <n v="10"/>
    <n v="9"/>
    <m/>
    <n v="28.274374999999999"/>
    <n v="1.3006212499999999E-3"/>
    <n v="0"/>
    <n v="0"/>
    <m/>
  </r>
  <r>
    <s v="5616.1"/>
    <x v="4"/>
    <x v="9"/>
    <x v="0"/>
    <s v="20A"/>
    <s v="Whole Plate"/>
    <s v="Aphanocapsa holsatica"/>
    <b v="0"/>
    <n v="10"/>
    <n v="18.5"/>
    <n v="119"/>
    <n v="257.14999999999998"/>
    <n v="1.2857499999999999E-4"/>
    <n v="0"/>
    <n v="0"/>
    <m/>
  </r>
  <r>
    <s v="5616.2"/>
    <x v="4"/>
    <x v="9"/>
    <x v="0"/>
    <s v="20A"/>
    <s v="Whole Plate"/>
    <s v="Aphanocapsa delicatissima"/>
    <b v="0"/>
    <n v="10"/>
    <n v="36.799999999999997"/>
    <n v="42"/>
    <n v="228.16"/>
    <n v="2.2816E-5"/>
    <n v="0"/>
    <n v="0"/>
    <m/>
  </r>
  <r>
    <s v="5616.3"/>
    <x v="4"/>
    <x v="9"/>
    <x v="0"/>
    <s v="20A"/>
    <s v="Whole Plate"/>
    <s v="Phormidium sp"/>
    <b v="1"/>
    <n v="10"/>
    <n v="39"/>
    <m/>
    <n v="11.7"/>
    <n v="1.092078E-3"/>
    <n v="11.7"/>
    <n v="1.092078E-3"/>
    <m/>
  </r>
  <r>
    <s v="5616.4"/>
    <x v="4"/>
    <x v="9"/>
    <x v="0"/>
    <s v="20A"/>
    <s v="Whole Plate"/>
    <s v="Pseudanabaena limnetica (cylinder)"/>
    <b v="1"/>
    <n v="10"/>
    <n v="8"/>
    <m/>
    <n v="0.8"/>
    <n v="6.3200000000000005E-5"/>
    <n v="0.8"/>
    <n v="6.3200000000000005E-5"/>
    <m/>
  </r>
  <r>
    <s v="5616.5"/>
    <x v="4"/>
    <x v="9"/>
    <x v="0"/>
    <s v="20A"/>
    <s v="Whole Plate"/>
    <s v="Dolichospermum planctonicum "/>
    <b v="1"/>
    <n v="10"/>
    <n v="30.6666666666667"/>
    <m/>
    <n v="9.1999999999999993"/>
    <n v="3.4039999999999999E-3"/>
    <n v="9.1999999999999993"/>
    <n v="3.4039999999999999E-3"/>
    <m/>
  </r>
  <r>
    <s v="5616.6"/>
    <x v="4"/>
    <x v="9"/>
    <x v="0"/>
    <s v="20A"/>
    <s v="Whole Plate"/>
    <s v="Dolichospermum lemmermannii"/>
    <b v="1"/>
    <n v="10"/>
    <n v="54"/>
    <m/>
    <n v="5.4"/>
    <n v="5.9400000000000002E-4"/>
    <n v="5.4"/>
    <n v="5.9400000000000002E-4"/>
    <m/>
  </r>
  <r>
    <s v="5616.7"/>
    <x v="4"/>
    <x v="9"/>
    <x v="0"/>
    <s v="20A"/>
    <s v="Whole Plate"/>
    <s v="Limnothrix cf planktonica"/>
    <b v="0"/>
    <n v="10"/>
    <n v="33"/>
    <m/>
    <n v="3.3"/>
    <n v="5.1809999999999996E-4"/>
    <n v="0"/>
    <n v="0"/>
    <m/>
  </r>
  <r>
    <s v="5617.1"/>
    <x v="0"/>
    <x v="10"/>
    <x v="0"/>
    <s v="20A"/>
    <s v="Whole Plate"/>
    <s v="Aphanocapsa holsatica"/>
    <b v="0"/>
    <n v="10"/>
    <n v="20.5"/>
    <n v="101"/>
    <n v="248.05"/>
    <n v="1.2402499999999999E-4"/>
    <n v="0"/>
    <n v="0"/>
    <m/>
  </r>
  <r>
    <s v="5617.2"/>
    <x v="0"/>
    <x v="10"/>
    <x v="0"/>
    <s v="20A"/>
    <s v="Whole Plate"/>
    <s v="Aphanocapsa delicatissima"/>
    <b v="0"/>
    <n v="10"/>
    <n v="85"/>
    <m/>
    <n v="8.5"/>
    <n v="8.5000000000000001E-7"/>
    <n v="0"/>
    <n v="0"/>
    <m/>
  </r>
  <r>
    <s v="5617.3"/>
    <x v="0"/>
    <x v="10"/>
    <x v="0"/>
    <s v="20A"/>
    <s v="Whole Plate"/>
    <s v="Pseudanabaena mucicola (rod)"/>
    <b v="0"/>
    <n v="10"/>
    <n v="6"/>
    <m/>
    <n v="0.6"/>
    <n v="2.76E-5"/>
    <n v="0"/>
    <n v="0"/>
    <m/>
  </r>
  <r>
    <s v="5617.4"/>
    <x v="0"/>
    <x v="10"/>
    <x v="0"/>
    <s v="20A"/>
    <s v="Whole Plate"/>
    <s v="Oscillatoria sp"/>
    <b v="1"/>
    <n v="10"/>
    <n v="78"/>
    <m/>
    <n v="7.8"/>
    <n v="2.1095099999999999E-2"/>
    <n v="7.8"/>
    <n v="2.1095099999999999E-2"/>
    <m/>
  </r>
  <r>
    <s v="5617.5"/>
    <x v="0"/>
    <x v="10"/>
    <x v="0"/>
    <s v="20A"/>
    <s v="Whole Plate"/>
    <s v="Dolichospermum planctonicum "/>
    <b v="1"/>
    <n v="10"/>
    <n v="66"/>
    <m/>
    <n v="6.6"/>
    <n v="2.4420000000000002E-3"/>
    <n v="6.6"/>
    <n v="2.4420000000000002E-3"/>
    <m/>
  </r>
  <r>
    <s v="5617.6"/>
    <x v="0"/>
    <x v="10"/>
    <x v="0"/>
    <s v="20A"/>
    <s v="Whole Plate"/>
    <s v="Microcystis aeruginosa"/>
    <b v="1"/>
    <n v="10"/>
    <n v="10"/>
    <m/>
    <n v="1"/>
    <n v="8.7000000000000001E-5"/>
    <n v="1"/>
    <n v="8.7000000000000001E-5"/>
    <s v="Microcystis spp._x000a_"/>
  </r>
  <r>
    <s v="5617.7"/>
    <x v="0"/>
    <x v="10"/>
    <x v="0"/>
    <s v="20A"/>
    <s v="Whole Plate"/>
    <s v="Dolichospermum lemmermannii"/>
    <b v="1"/>
    <n v="10"/>
    <n v="52"/>
    <m/>
    <n v="15.6"/>
    <n v="1.7160000000000001E-3"/>
    <n v="15.6"/>
    <n v="1.7160000000000001E-3"/>
    <m/>
  </r>
  <r>
    <s v="5618.1"/>
    <x v="3"/>
    <x v="11"/>
    <x v="0"/>
    <s v="20A"/>
    <s v="Whole Plate"/>
    <s v="Dolichospermum sp"/>
    <b v="1"/>
    <n v="10"/>
    <n v="27"/>
    <m/>
    <n v="5.4"/>
    <n v="1.026E-3"/>
    <n v="5.4"/>
    <n v="1.026E-3"/>
    <m/>
  </r>
  <r>
    <s v="5618.2"/>
    <x v="3"/>
    <x v="11"/>
    <x v="0"/>
    <s v="20A"/>
    <s v="Whole Plate"/>
    <s v="Dolichospermum planctonicum "/>
    <b v="1"/>
    <n v="10"/>
    <n v="8"/>
    <m/>
    <n v="0.8"/>
    <n v="2.9599999999999998E-4"/>
    <n v="0.8"/>
    <n v="2.9599999999999998E-4"/>
    <m/>
  </r>
  <r>
    <s v="5619.1"/>
    <x v="3"/>
    <x v="12"/>
    <x v="0"/>
    <s v="20A"/>
    <s v="Whole Plate"/>
    <s v="Dolichospermum circinale"/>
    <b v="1"/>
    <n v="10"/>
    <n v="113"/>
    <m/>
    <n v="11.3"/>
    <n v="6.504732E-3"/>
    <n v="11.3"/>
    <n v="6.504732E-3"/>
    <m/>
  </r>
  <r>
    <s v="5619.2"/>
    <x v="3"/>
    <x v="12"/>
    <x v="0"/>
    <s v="20A"/>
    <s v="Whole Plate"/>
    <s v="Dolichospermum planctonicum "/>
    <b v="1"/>
    <n v="10"/>
    <n v="51"/>
    <m/>
    <n v="15.3"/>
    <n v="5.6610000000000002E-3"/>
    <n v="15.3"/>
    <n v="5.6610000000000002E-3"/>
    <m/>
  </r>
  <r>
    <s v="5619.3"/>
    <x v="3"/>
    <x v="12"/>
    <x v="0"/>
    <s v="20A"/>
    <s v="Whole Plate"/>
    <s v="Limnothrix cf planktonica"/>
    <b v="0"/>
    <n v="10"/>
    <n v="24"/>
    <m/>
    <n v="2.4"/>
    <n v="3.768E-4"/>
    <n v="0"/>
    <n v="0"/>
    <m/>
  </r>
  <r>
    <s v="5619.4"/>
    <x v="3"/>
    <x v="12"/>
    <x v="0"/>
    <s v="20A"/>
    <s v="Whole Plate"/>
    <s v="Microcystis wesenbergii"/>
    <b v="1"/>
    <n v="10"/>
    <n v="39.5"/>
    <m/>
    <n v="7.9"/>
    <n v="1.5036069999999999E-3"/>
    <n v="7.9"/>
    <n v="1.5036069999999999E-3"/>
    <s v="Microcystis spp._x000a_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AlertWarning" cacheId="131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D23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5">
        <item x="0"/>
        <item x="1"/>
        <item x="2"/>
        <item x="3"/>
        <item x="4"/>
      </items>
    </pivotField>
    <pivotField name="Site"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dataField="1" compact="0" outline="0" defaultSubtotal="0"/>
    <pivotField name="ToxinCluster" compact="0" outline="0" defaultSubtotal="0"/>
  </pivotFields>
  <rowFields count="2">
    <field x="1"/>
    <field x="2"/>
  </rowFields>
  <rowItems count="13">
    <i>
      <x/>
      <x/>
    </i>
    <i r="1">
      <x v="1"/>
    </i>
    <i r="1">
      <x v="2"/>
    </i>
    <i r="1">
      <x v="6"/>
    </i>
    <i r="1">
      <x v="10"/>
    </i>
    <i>
      <x v="1"/>
      <x v="3"/>
    </i>
    <i r="1">
      <x v="8"/>
    </i>
    <i>
      <x v="2"/>
      <x v="4"/>
    </i>
    <i>
      <x v="3"/>
      <x v="5"/>
    </i>
    <i r="1">
      <x v="7"/>
    </i>
    <i r="1">
      <x v="11"/>
    </i>
    <i r="1">
      <x v="12"/>
    </i>
    <i>
      <x v="4"/>
      <x v="9"/>
    </i>
  </rowItems>
  <colFields count="2">
    <field x="3"/>
    <field x="-2"/>
  </colFields>
  <colItems count="2">
    <i>
      <x/>
      <x/>
    </i>
    <i r="1" i="1">
      <x v="1"/>
    </i>
  </colItems>
  <dataFields count="2">
    <dataField name="TotalBioVolume" fld="12" baseField="0" baseItem="0"/>
    <dataField name="PotentiallyToxicBioVolume" fld="14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AlertWarning" cacheId="118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37:C51" firstHeaderRow="1" firstDataRow="2" firstDataCol="2"/>
  <pivotFields count="16">
    <pivotField name="SampleId" compact="0" outline="0" defaultSubtotal="0"/>
    <pivotField name="Location" axis="axisRow" compact="0" outline="0" showAll="0" defaultSubtotal="0">
      <items count="5">
        <item x="0"/>
        <item x="1"/>
        <item x="2"/>
        <item x="3"/>
        <item x="4"/>
      </items>
    </pivotField>
    <pivotField name="Site"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compact="0" outline="0" defaultSubtotal="0"/>
    <pivotField name="ToxinCluster" compact="0" outline="0" defaultSubtotal="0"/>
  </pivotFields>
  <rowFields count="2">
    <field x="1"/>
    <field x="2"/>
  </rowFields>
  <rowItems count="13">
    <i>
      <x/>
      <x/>
    </i>
    <i r="1">
      <x v="1"/>
    </i>
    <i r="1">
      <x v="2"/>
    </i>
    <i r="1">
      <x v="6"/>
    </i>
    <i r="1">
      <x v="10"/>
    </i>
    <i>
      <x v="1"/>
      <x v="3"/>
    </i>
    <i r="1">
      <x v="8"/>
    </i>
    <i>
      <x v="2"/>
      <x v="4"/>
    </i>
    <i>
      <x v="3"/>
      <x v="5"/>
    </i>
    <i r="1">
      <x v="7"/>
    </i>
    <i r="1">
      <x v="11"/>
    </i>
    <i r="1">
      <x v="12"/>
    </i>
    <i>
      <x v="4"/>
      <x v="9"/>
    </i>
  </rowItems>
  <colFields count="1">
    <field x="3"/>
  </colFields>
  <colItems count="1">
    <i>
      <x/>
    </i>
  </colItems>
  <dataFields count="1">
    <dataField name="TotalBioVolume" fld="12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CellsPermL" cacheId="125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D18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3">
        <item x="0"/>
        <item x="1"/>
        <item x="2"/>
      </items>
    </pivotField>
    <pivotField name="Site" axis="axisRow" compact="0" outline="0"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dataField="1" compact="0" outline="0" defaultSubtotal="0"/>
    <pivotField name="TotalBioVolume" compact="0" outline="0" defaultSubtotal="0"/>
    <pivotField name="PotentiallyToxicCellMl" compact="0" outline="0" defaultSubtotal="0"/>
    <pivotField name="PotentiallyToxicBioVolume" compact="0" outline="0" defaultSubtotal="0"/>
    <pivotField name="ToxinCluster" axis="axisCol" compact="0" outline="0" showAll="0" defaultSubtotal="0">
      <items count="2">
        <item m="1" x="1"/>
        <item x="0"/>
      </items>
    </pivotField>
  </pivotFields>
  <rowFields count="2">
    <field x="1"/>
    <field x="2"/>
  </rowFields>
  <rowItems count="8">
    <i>
      <x/>
      <x/>
    </i>
    <i r="1">
      <x v="3"/>
    </i>
    <i r="1">
      <x v="6"/>
    </i>
    <i>
      <x v="1"/>
      <x v="1"/>
    </i>
    <i r="1">
      <x v="5"/>
    </i>
    <i>
      <x v="2"/>
      <x v="2"/>
    </i>
    <i r="1">
      <x v="4"/>
    </i>
    <i r="1">
      <x v="7"/>
    </i>
  </rowItems>
  <colFields count="2">
    <field x="3"/>
    <field x="15"/>
  </colFields>
  <colItems count="1">
    <i>
      <x/>
      <x v="1"/>
    </i>
  </colItems>
  <dataFields count="1">
    <dataField name="CellsPerMl" fld="11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72" totalsRowShown="0">
  <autoFilter ref="A1:P72" xr:uid="{00000000-0009-0000-0100-000001000000}"/>
  <tableColumns count="16">
    <tableColumn id="1" xr3:uid="{00000000-0010-0000-0000-000001000000}" name="SampleId"/>
    <tableColumn id="2" xr3:uid="{00000000-0010-0000-0000-000002000000}" name="Location"/>
    <tableColumn id="3" xr3:uid="{00000000-0010-0000-0000-000003000000}" name="Site"/>
    <tableColumn id="4" xr3:uid="{00000000-0010-0000-0000-000004000000}" name="SampleDate"/>
    <tableColumn id="5" xr3:uid="{00000000-0010-0000-0000-000005000000}" name="MicroscopeType"/>
    <tableColumn id="6" xr3:uid="{00000000-0010-0000-0000-000006000000}" name="WholePlate"/>
    <tableColumn id="7" xr3:uid="{00000000-0010-0000-0000-000007000000}" name="Species"/>
    <tableColumn id="8" xr3:uid="{00000000-0010-0000-0000-000008000000}" name="IsSpeciesToxic"/>
    <tableColumn id="9" xr3:uid="{00000000-0010-0000-0000-000009000000}" name="VolumeInMillilitres"/>
    <tableColumn id="10" xr3:uid="{00000000-0010-0000-0000-00000A000000}" name="Average"/>
    <tableColumn id="11" xr3:uid="{00000000-0010-0000-0000-00000B000000}" name="NumberOfColonies"/>
    <tableColumn id="12" xr3:uid="{00000000-0010-0000-0000-00000C000000}" name="CellsPerMl"/>
    <tableColumn id="13" xr3:uid="{00000000-0010-0000-0000-00000D000000}" name="TotalBioVolume"/>
    <tableColumn id="14" xr3:uid="{00000000-0010-0000-0000-00000E000000}" name="PotentiallyToxicCellMl"/>
    <tableColumn id="15" xr3:uid="{00000000-0010-0000-0000-00000F000000}" name="PotentiallyToxicBioVolume"/>
    <tableColumn id="16" xr3:uid="{00000000-0010-0000-0000-000010000000}" name="ToxinClust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1" displayName="Table11" ref="A1:P11" totalsRowShown="0">
  <autoFilter ref="A1:P11" xr:uid="{00000000-0009-0000-0100-000002000000}"/>
  <tableColumns count="16">
    <tableColumn id="1" xr3:uid="{00000000-0010-0000-0100-000001000000}" name="SampleId"/>
    <tableColumn id="2" xr3:uid="{00000000-0010-0000-0100-000002000000}" name="Location"/>
    <tableColumn id="3" xr3:uid="{00000000-0010-0000-0100-000003000000}" name="Site"/>
    <tableColumn id="4" xr3:uid="{00000000-0010-0000-0100-000004000000}" name="SampleDate"/>
    <tableColumn id="5" xr3:uid="{00000000-0010-0000-0100-000005000000}" name="MicroscopeType"/>
    <tableColumn id="6" xr3:uid="{00000000-0010-0000-0100-000006000000}" name="WholePlate"/>
    <tableColumn id="7" xr3:uid="{00000000-0010-0000-0100-000007000000}" name="Species"/>
    <tableColumn id="8" xr3:uid="{00000000-0010-0000-0100-000008000000}" name="IsSpeciesToxic"/>
    <tableColumn id="9" xr3:uid="{00000000-0010-0000-0100-000009000000}" name="VolumeInMillilitres"/>
    <tableColumn id="10" xr3:uid="{00000000-0010-0000-0100-00000A000000}" name="Average"/>
    <tableColumn id="11" xr3:uid="{00000000-0010-0000-0100-00000B000000}" name="NumberOfColonies"/>
    <tableColumn id="12" xr3:uid="{00000000-0010-0000-0100-00000C000000}" name="CellsPerMl"/>
    <tableColumn id="13" xr3:uid="{00000000-0010-0000-0100-00000D000000}" name="TotalBioVolume"/>
    <tableColumn id="14" xr3:uid="{00000000-0010-0000-0100-00000E000000}" name="PotentiallyToxicCellMl"/>
    <tableColumn id="15" xr3:uid="{00000000-0010-0000-0100-00000F000000}" name="PotentiallyToxicBioVolume"/>
    <tableColumn id="16" xr3:uid="{00000000-0010-0000-0100-000010000000}" name="ToxinClus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2"/>
  <sheetViews>
    <sheetView tabSelected="1" workbookViewId="0"/>
  </sheetViews>
  <sheetFormatPr defaultRowHeight="15" x14ac:dyDescent="0.25"/>
  <cols>
    <col min="1" max="1" width="12.42578125" customWidth="1"/>
    <col min="2" max="2" width="11.85546875" customWidth="1"/>
    <col min="3" max="3" width="13.85546875" customWidth="1"/>
    <col min="4" max="4" width="14.85546875" customWidth="1"/>
    <col min="5" max="5" width="18.5703125" customWidth="1"/>
    <col min="6" max="6" width="14.42578125" customWidth="1"/>
    <col min="7" max="7" width="32.140625" customWidth="1"/>
    <col min="8" max="8" width="16.5703125" customWidth="1"/>
    <col min="9" max="9" width="20.7109375" customWidth="1"/>
    <col min="10" max="10" width="18.28515625" customWidth="1"/>
    <col min="11" max="11" width="20.85546875" customWidth="1"/>
    <col min="12" max="12" width="18.28515625" customWidth="1"/>
    <col min="13" max="13" width="22.5703125" customWidth="1"/>
    <col min="14" max="14" width="23.42578125" customWidth="1"/>
    <col min="15" max="15" width="27.42578125" customWidth="1"/>
    <col min="16" max="16" width="15.140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b">
        <v>0</v>
      </c>
      <c r="I2">
        <v>10</v>
      </c>
      <c r="J2">
        <v>14.65</v>
      </c>
      <c r="K2">
        <v>33</v>
      </c>
      <c r="L2">
        <v>2439.2931631944398</v>
      </c>
      <c r="M2">
        <v>1.21964658159722E-3</v>
      </c>
      <c r="N2">
        <v>0</v>
      </c>
      <c r="O2">
        <v>0</v>
      </c>
    </row>
    <row r="3" spans="1:16" x14ac:dyDescent="0.25">
      <c r="A3" t="s">
        <v>23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24</v>
      </c>
      <c r="H3" t="b">
        <v>0</v>
      </c>
      <c r="I3">
        <v>10</v>
      </c>
      <c r="J3">
        <v>145.25</v>
      </c>
      <c r="L3">
        <v>3650.5359722222202</v>
      </c>
      <c r="M3">
        <v>3.6505359722222198E-4</v>
      </c>
      <c r="N3">
        <v>0</v>
      </c>
      <c r="O3">
        <v>0</v>
      </c>
    </row>
    <row r="4" spans="1:16" x14ac:dyDescent="0.25">
      <c r="A4" t="s">
        <v>25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26</v>
      </c>
      <c r="H4" t="b">
        <v>0</v>
      </c>
      <c r="I4">
        <v>10</v>
      </c>
      <c r="J4">
        <v>3</v>
      </c>
      <c r="L4">
        <v>9.4247916666666693</v>
      </c>
      <c r="M4">
        <v>4.3354041666666601E-4</v>
      </c>
      <c r="N4">
        <v>0</v>
      </c>
      <c r="O4">
        <v>0</v>
      </c>
    </row>
    <row r="5" spans="1:16" x14ac:dyDescent="0.25">
      <c r="A5" t="s">
        <v>27</v>
      </c>
      <c r="B5" t="s">
        <v>17</v>
      </c>
      <c r="C5" t="s">
        <v>28</v>
      </c>
      <c r="D5" t="s">
        <v>19</v>
      </c>
      <c r="E5" t="s">
        <v>20</v>
      </c>
      <c r="F5" t="s">
        <v>29</v>
      </c>
      <c r="G5" t="s">
        <v>24</v>
      </c>
      <c r="H5" t="b">
        <v>0</v>
      </c>
      <c r="I5">
        <v>10</v>
      </c>
      <c r="J5">
        <v>167.6</v>
      </c>
      <c r="K5">
        <v>6</v>
      </c>
      <c r="L5">
        <v>435.76</v>
      </c>
      <c r="M5">
        <v>4.3575999999999997E-5</v>
      </c>
      <c r="N5">
        <v>0</v>
      </c>
      <c r="O5">
        <v>0</v>
      </c>
    </row>
    <row r="6" spans="1:16" x14ac:dyDescent="0.25">
      <c r="A6" t="s">
        <v>30</v>
      </c>
      <c r="B6" t="s">
        <v>17</v>
      </c>
      <c r="C6" t="s">
        <v>28</v>
      </c>
      <c r="D6" t="s">
        <v>19</v>
      </c>
      <c r="E6" t="s">
        <v>20</v>
      </c>
      <c r="F6" t="s">
        <v>29</v>
      </c>
      <c r="G6" t="s">
        <v>31</v>
      </c>
      <c r="H6" t="b">
        <v>1</v>
      </c>
      <c r="I6">
        <v>10</v>
      </c>
      <c r="J6">
        <v>265.92857142857099</v>
      </c>
      <c r="L6">
        <v>372.3</v>
      </c>
      <c r="M6">
        <v>0</v>
      </c>
      <c r="N6">
        <v>372.3</v>
      </c>
      <c r="O6">
        <v>0</v>
      </c>
    </row>
    <row r="7" spans="1:16" x14ac:dyDescent="0.25">
      <c r="A7" t="s">
        <v>32</v>
      </c>
      <c r="B7" t="s">
        <v>17</v>
      </c>
      <c r="C7" t="s">
        <v>28</v>
      </c>
      <c r="D7" t="s">
        <v>19</v>
      </c>
      <c r="E7" t="s">
        <v>20</v>
      </c>
      <c r="F7" t="s">
        <v>29</v>
      </c>
      <c r="G7" t="s">
        <v>22</v>
      </c>
      <c r="H7" t="b">
        <v>0</v>
      </c>
      <c r="I7">
        <v>10</v>
      </c>
      <c r="J7">
        <v>22.75</v>
      </c>
      <c r="L7">
        <v>18.2</v>
      </c>
      <c r="M7">
        <v>9.0999999999999993E-6</v>
      </c>
      <c r="N7">
        <v>0</v>
      </c>
      <c r="O7">
        <v>0</v>
      </c>
    </row>
    <row r="8" spans="1:16" x14ac:dyDescent="0.25">
      <c r="A8" t="s">
        <v>33</v>
      </c>
      <c r="B8" t="s">
        <v>17</v>
      </c>
      <c r="C8" t="s">
        <v>28</v>
      </c>
      <c r="D8" t="s">
        <v>19</v>
      </c>
      <c r="E8" t="s">
        <v>20</v>
      </c>
      <c r="F8" t="s">
        <v>29</v>
      </c>
      <c r="G8" t="s">
        <v>34</v>
      </c>
      <c r="H8" t="b">
        <v>1</v>
      </c>
      <c r="I8">
        <v>10</v>
      </c>
      <c r="J8">
        <v>35.4</v>
      </c>
      <c r="L8">
        <v>17.7</v>
      </c>
      <c r="M8">
        <v>1.9469999999999999E-3</v>
      </c>
      <c r="N8">
        <v>17.7</v>
      </c>
      <c r="O8">
        <v>1.9469999999999999E-3</v>
      </c>
    </row>
    <row r="9" spans="1:16" x14ac:dyDescent="0.25">
      <c r="A9" t="s">
        <v>35</v>
      </c>
      <c r="B9" t="s">
        <v>17</v>
      </c>
      <c r="C9" t="s">
        <v>28</v>
      </c>
      <c r="D9" t="s">
        <v>19</v>
      </c>
      <c r="E9" t="s">
        <v>20</v>
      </c>
      <c r="F9" t="s">
        <v>29</v>
      </c>
      <c r="G9" t="s">
        <v>36</v>
      </c>
      <c r="H9" t="b">
        <v>0</v>
      </c>
      <c r="I9">
        <v>10</v>
      </c>
      <c r="J9">
        <v>52.6</v>
      </c>
      <c r="L9">
        <v>52.6</v>
      </c>
      <c r="M9">
        <v>4.6761399999999999E-4</v>
      </c>
      <c r="N9">
        <v>0</v>
      </c>
      <c r="O9">
        <v>0</v>
      </c>
    </row>
    <row r="10" spans="1:16" x14ac:dyDescent="0.25">
      <c r="A10" t="s">
        <v>37</v>
      </c>
      <c r="B10" t="s">
        <v>17</v>
      </c>
      <c r="C10" t="s">
        <v>28</v>
      </c>
      <c r="D10" t="s">
        <v>19</v>
      </c>
      <c r="E10" t="s">
        <v>20</v>
      </c>
      <c r="F10" t="s">
        <v>29</v>
      </c>
      <c r="G10" t="s">
        <v>38</v>
      </c>
      <c r="H10" t="b">
        <v>1</v>
      </c>
      <c r="I10">
        <v>10</v>
      </c>
      <c r="J10">
        <v>87.5</v>
      </c>
      <c r="L10">
        <v>17.5</v>
      </c>
      <c r="M10">
        <v>6.4749999999999999E-3</v>
      </c>
      <c r="N10">
        <v>17.5</v>
      </c>
      <c r="O10">
        <v>6.4749999999999999E-3</v>
      </c>
    </row>
    <row r="11" spans="1:16" x14ac:dyDescent="0.25">
      <c r="A11" t="s">
        <v>39</v>
      </c>
      <c r="B11" t="s">
        <v>17</v>
      </c>
      <c r="C11" t="s">
        <v>28</v>
      </c>
      <c r="D11" t="s">
        <v>19</v>
      </c>
      <c r="E11" t="s">
        <v>20</v>
      </c>
      <c r="F11" t="s">
        <v>29</v>
      </c>
      <c r="G11" t="s">
        <v>40</v>
      </c>
      <c r="H11" t="b">
        <v>1</v>
      </c>
      <c r="I11">
        <v>10</v>
      </c>
      <c r="J11">
        <v>17</v>
      </c>
      <c r="L11">
        <v>1.7</v>
      </c>
      <c r="M11">
        <v>3.2299999999999999E-4</v>
      </c>
      <c r="N11">
        <v>1.7</v>
      </c>
      <c r="O11">
        <v>3.2299999999999999E-4</v>
      </c>
    </row>
    <row r="12" spans="1:16" ht="30" x14ac:dyDescent="0.25">
      <c r="A12" t="s">
        <v>41</v>
      </c>
      <c r="B12" t="s">
        <v>17</v>
      </c>
      <c r="C12" t="s">
        <v>28</v>
      </c>
      <c r="D12" t="s">
        <v>19</v>
      </c>
      <c r="E12" t="s">
        <v>20</v>
      </c>
      <c r="F12" t="s">
        <v>29</v>
      </c>
      <c r="G12" t="s">
        <v>42</v>
      </c>
      <c r="H12" t="b">
        <v>1</v>
      </c>
      <c r="I12">
        <v>10</v>
      </c>
      <c r="J12">
        <v>47</v>
      </c>
      <c r="L12">
        <v>4.7</v>
      </c>
      <c r="M12">
        <v>8.9455100000000005E-4</v>
      </c>
      <c r="N12">
        <v>4.7</v>
      </c>
      <c r="O12">
        <v>8.9455100000000005E-4</v>
      </c>
      <c r="P12" s="1" t="s">
        <v>43</v>
      </c>
    </row>
    <row r="13" spans="1:16" x14ac:dyDescent="0.25">
      <c r="A13" t="s">
        <v>44</v>
      </c>
      <c r="B13" t="s">
        <v>17</v>
      </c>
      <c r="C13" t="s">
        <v>28</v>
      </c>
      <c r="D13" t="s">
        <v>19</v>
      </c>
      <c r="E13" t="s">
        <v>20</v>
      </c>
      <c r="F13" t="s">
        <v>29</v>
      </c>
      <c r="G13" t="s">
        <v>26</v>
      </c>
      <c r="H13" t="b">
        <v>0</v>
      </c>
      <c r="I13">
        <v>10</v>
      </c>
      <c r="J13">
        <v>6</v>
      </c>
      <c r="L13">
        <v>0.6</v>
      </c>
      <c r="M13">
        <v>2.76E-5</v>
      </c>
      <c r="N13">
        <v>0</v>
      </c>
      <c r="O13">
        <v>0</v>
      </c>
    </row>
    <row r="14" spans="1:16" x14ac:dyDescent="0.25">
      <c r="A14" t="s">
        <v>45</v>
      </c>
      <c r="B14" t="s">
        <v>17</v>
      </c>
      <c r="C14" t="s">
        <v>46</v>
      </c>
      <c r="D14" t="s">
        <v>19</v>
      </c>
      <c r="E14" t="s">
        <v>20</v>
      </c>
      <c r="F14" t="s">
        <v>21</v>
      </c>
      <c r="G14" t="s">
        <v>22</v>
      </c>
      <c r="H14" t="b">
        <v>0</v>
      </c>
      <c r="I14">
        <v>10</v>
      </c>
      <c r="J14">
        <v>11.4</v>
      </c>
      <c r="K14">
        <v>180</v>
      </c>
      <c r="L14">
        <v>7162.8416666666699</v>
      </c>
      <c r="M14">
        <v>3.5814208333333399E-3</v>
      </c>
      <c r="N14">
        <v>0</v>
      </c>
      <c r="O14">
        <v>0</v>
      </c>
    </row>
    <row r="15" spans="1:16" x14ac:dyDescent="0.25">
      <c r="A15" t="s">
        <v>47</v>
      </c>
      <c r="B15" t="s">
        <v>17</v>
      </c>
      <c r="C15" t="s">
        <v>46</v>
      </c>
      <c r="D15" t="s">
        <v>19</v>
      </c>
      <c r="E15" t="s">
        <v>20</v>
      </c>
      <c r="F15" t="s">
        <v>21</v>
      </c>
      <c r="G15" t="s">
        <v>24</v>
      </c>
      <c r="H15" t="b">
        <v>0</v>
      </c>
      <c r="I15">
        <v>10</v>
      </c>
      <c r="J15">
        <v>164.666666666667</v>
      </c>
      <c r="L15">
        <v>3103.8980555555599</v>
      </c>
      <c r="M15">
        <v>3.1038980555555602E-4</v>
      </c>
      <c r="N15">
        <v>0</v>
      </c>
      <c r="O15">
        <v>0</v>
      </c>
    </row>
    <row r="16" spans="1:16" x14ac:dyDescent="0.25">
      <c r="A16" t="s">
        <v>48</v>
      </c>
      <c r="B16" t="s">
        <v>17</v>
      </c>
      <c r="C16" t="s">
        <v>46</v>
      </c>
      <c r="D16" t="s">
        <v>19</v>
      </c>
      <c r="E16" t="s">
        <v>20</v>
      </c>
      <c r="F16" t="s">
        <v>21</v>
      </c>
      <c r="G16" t="s">
        <v>38</v>
      </c>
      <c r="H16" t="b">
        <v>1</v>
      </c>
      <c r="I16">
        <v>10</v>
      </c>
      <c r="J16">
        <v>3</v>
      </c>
      <c r="L16">
        <v>9.4247916666666693</v>
      </c>
      <c r="M16">
        <v>3.4871729166666599E-3</v>
      </c>
      <c r="N16">
        <v>9.4247916666666605</v>
      </c>
      <c r="O16">
        <v>3.4871729166666599E-3</v>
      </c>
    </row>
    <row r="17" spans="1:16" ht="30" x14ac:dyDescent="0.25">
      <c r="A17" t="s">
        <v>49</v>
      </c>
      <c r="B17" t="s">
        <v>50</v>
      </c>
      <c r="C17" t="s">
        <v>51</v>
      </c>
      <c r="D17" t="s">
        <v>19</v>
      </c>
      <c r="E17" t="s">
        <v>20</v>
      </c>
      <c r="F17" t="s">
        <v>29</v>
      </c>
      <c r="G17" t="s">
        <v>52</v>
      </c>
      <c r="H17" t="b">
        <v>1</v>
      </c>
      <c r="I17">
        <v>10</v>
      </c>
      <c r="J17">
        <v>51.85</v>
      </c>
      <c r="K17">
        <v>144</v>
      </c>
      <c r="L17">
        <v>850.34</v>
      </c>
      <c r="M17">
        <v>7.3979580000000003E-2</v>
      </c>
      <c r="N17">
        <v>850.34</v>
      </c>
      <c r="O17">
        <v>7.3979580000000003E-2</v>
      </c>
      <c r="P17" s="1" t="s">
        <v>43</v>
      </c>
    </row>
    <row r="18" spans="1:16" x14ac:dyDescent="0.25">
      <c r="A18" t="s">
        <v>53</v>
      </c>
      <c r="B18" t="s">
        <v>50</v>
      </c>
      <c r="C18" t="s">
        <v>51</v>
      </c>
      <c r="D18" t="s">
        <v>19</v>
      </c>
      <c r="E18" t="s">
        <v>20</v>
      </c>
      <c r="F18" t="s">
        <v>29</v>
      </c>
      <c r="G18" t="s">
        <v>40</v>
      </c>
      <c r="H18" t="b">
        <v>1</v>
      </c>
      <c r="I18">
        <v>10</v>
      </c>
      <c r="J18">
        <v>23.8</v>
      </c>
      <c r="L18">
        <v>11.9</v>
      </c>
      <c r="M18">
        <v>2.261E-3</v>
      </c>
      <c r="N18">
        <v>11.9</v>
      </c>
      <c r="O18">
        <v>2.261E-3</v>
      </c>
    </row>
    <row r="19" spans="1:16" x14ac:dyDescent="0.25">
      <c r="A19" t="s">
        <v>54</v>
      </c>
      <c r="B19" t="s">
        <v>50</v>
      </c>
      <c r="C19" t="s">
        <v>51</v>
      </c>
      <c r="D19" t="s">
        <v>19</v>
      </c>
      <c r="E19" t="s">
        <v>20</v>
      </c>
      <c r="F19" t="s">
        <v>29</v>
      </c>
      <c r="G19" t="s">
        <v>55</v>
      </c>
      <c r="H19" t="b">
        <v>1</v>
      </c>
      <c r="I19">
        <v>10</v>
      </c>
      <c r="J19">
        <v>23.25</v>
      </c>
      <c r="L19">
        <v>9.3000000000000007</v>
      </c>
      <c r="M19">
        <v>8.6806199999999996E-4</v>
      </c>
      <c r="N19">
        <v>9.3000000000000007</v>
      </c>
      <c r="O19">
        <v>8.6806199999999996E-4</v>
      </c>
    </row>
    <row r="20" spans="1:16" x14ac:dyDescent="0.25">
      <c r="A20" t="s">
        <v>56</v>
      </c>
      <c r="B20" t="s">
        <v>50</v>
      </c>
      <c r="C20" t="s">
        <v>51</v>
      </c>
      <c r="D20" t="s">
        <v>19</v>
      </c>
      <c r="E20" t="s">
        <v>20</v>
      </c>
      <c r="F20" t="s">
        <v>29</v>
      </c>
      <c r="G20" t="s">
        <v>57</v>
      </c>
      <c r="H20" t="b">
        <v>1</v>
      </c>
      <c r="I20">
        <v>10</v>
      </c>
      <c r="J20">
        <v>16</v>
      </c>
      <c r="L20">
        <v>1.6</v>
      </c>
      <c r="M20">
        <v>4.3271999999999998E-3</v>
      </c>
      <c r="N20">
        <v>1.6</v>
      </c>
      <c r="O20">
        <v>4.3271999999999998E-3</v>
      </c>
    </row>
    <row r="21" spans="1:16" x14ac:dyDescent="0.25">
      <c r="A21" t="s">
        <v>58</v>
      </c>
      <c r="B21" t="s">
        <v>50</v>
      </c>
      <c r="C21" t="s">
        <v>51</v>
      </c>
      <c r="D21" t="s">
        <v>19</v>
      </c>
      <c r="E21" t="s">
        <v>20</v>
      </c>
      <c r="F21" t="s">
        <v>29</v>
      </c>
      <c r="G21" t="s">
        <v>59</v>
      </c>
      <c r="H21" t="b">
        <v>1</v>
      </c>
      <c r="I21">
        <v>10</v>
      </c>
      <c r="J21">
        <v>66</v>
      </c>
      <c r="L21">
        <v>19.8</v>
      </c>
      <c r="M21">
        <v>1.5642E-3</v>
      </c>
      <c r="N21">
        <v>19.8</v>
      </c>
      <c r="O21">
        <v>1.5642E-3</v>
      </c>
    </row>
    <row r="22" spans="1:16" x14ac:dyDescent="0.25">
      <c r="A22" t="s">
        <v>60</v>
      </c>
      <c r="B22" t="s">
        <v>50</v>
      </c>
      <c r="C22" t="s">
        <v>51</v>
      </c>
      <c r="D22" t="s">
        <v>19</v>
      </c>
      <c r="E22" t="s">
        <v>20</v>
      </c>
      <c r="F22" t="s">
        <v>29</v>
      </c>
      <c r="G22" t="s">
        <v>22</v>
      </c>
      <c r="H22" t="b">
        <v>0</v>
      </c>
      <c r="I22">
        <v>10</v>
      </c>
      <c r="J22">
        <v>13</v>
      </c>
      <c r="L22">
        <v>2.6</v>
      </c>
      <c r="M22">
        <v>1.3E-6</v>
      </c>
      <c r="N22">
        <v>0</v>
      </c>
      <c r="O22">
        <v>0</v>
      </c>
    </row>
    <row r="23" spans="1:16" x14ac:dyDescent="0.25">
      <c r="A23" t="s">
        <v>61</v>
      </c>
      <c r="B23" t="s">
        <v>50</v>
      </c>
      <c r="C23" t="s">
        <v>51</v>
      </c>
      <c r="D23" t="s">
        <v>19</v>
      </c>
      <c r="E23" t="s">
        <v>20</v>
      </c>
      <c r="F23" t="s">
        <v>29</v>
      </c>
      <c r="G23" t="s">
        <v>38</v>
      </c>
      <c r="H23" t="b">
        <v>1</v>
      </c>
      <c r="I23">
        <v>10</v>
      </c>
      <c r="J23">
        <v>19</v>
      </c>
      <c r="L23">
        <v>1.9</v>
      </c>
      <c r="M23">
        <v>7.0299999999999996E-4</v>
      </c>
      <c r="N23">
        <v>1.9</v>
      </c>
      <c r="O23">
        <v>7.0299999999999996E-4</v>
      </c>
    </row>
    <row r="24" spans="1:16" x14ac:dyDescent="0.25">
      <c r="A24" t="s">
        <v>62</v>
      </c>
      <c r="B24" t="s">
        <v>63</v>
      </c>
      <c r="C24" t="s">
        <v>64</v>
      </c>
      <c r="D24" t="s">
        <v>19</v>
      </c>
      <c r="E24" t="s">
        <v>20</v>
      </c>
      <c r="F24" t="s">
        <v>29</v>
      </c>
      <c r="G24" t="s">
        <v>31</v>
      </c>
      <c r="H24" t="b">
        <v>1</v>
      </c>
      <c r="I24">
        <v>10</v>
      </c>
      <c r="J24">
        <v>196.7</v>
      </c>
      <c r="K24">
        <v>9</v>
      </c>
      <c r="L24">
        <v>570.42999999999995</v>
      </c>
      <c r="M24">
        <v>0</v>
      </c>
      <c r="N24">
        <v>570.42999999999995</v>
      </c>
      <c r="O24">
        <v>0</v>
      </c>
    </row>
    <row r="25" spans="1:16" x14ac:dyDescent="0.25">
      <c r="A25" t="s">
        <v>65</v>
      </c>
      <c r="B25" t="s">
        <v>63</v>
      </c>
      <c r="C25" t="s">
        <v>64</v>
      </c>
      <c r="D25" t="s">
        <v>19</v>
      </c>
      <c r="E25" t="s">
        <v>20</v>
      </c>
      <c r="F25" t="s">
        <v>29</v>
      </c>
      <c r="G25" t="s">
        <v>59</v>
      </c>
      <c r="H25" t="b">
        <v>1</v>
      </c>
      <c r="I25">
        <v>10</v>
      </c>
      <c r="J25">
        <v>23.7222222222222</v>
      </c>
      <c r="L25">
        <v>42.7</v>
      </c>
      <c r="M25">
        <v>3.3733000000000001E-3</v>
      </c>
      <c r="N25">
        <v>42.7</v>
      </c>
      <c r="O25">
        <v>3.3733000000000001E-3</v>
      </c>
    </row>
    <row r="26" spans="1:16" x14ac:dyDescent="0.25">
      <c r="A26" t="s">
        <v>66</v>
      </c>
      <c r="B26" t="s">
        <v>63</v>
      </c>
      <c r="C26" t="s">
        <v>64</v>
      </c>
      <c r="D26" t="s">
        <v>19</v>
      </c>
      <c r="E26" t="s">
        <v>20</v>
      </c>
      <c r="F26" t="s">
        <v>29</v>
      </c>
      <c r="G26" t="s">
        <v>67</v>
      </c>
      <c r="H26" t="b">
        <v>1</v>
      </c>
      <c r="I26">
        <v>10</v>
      </c>
      <c r="J26">
        <v>30.75</v>
      </c>
      <c r="K26">
        <v>27</v>
      </c>
      <c r="L26">
        <v>144.52500000000001</v>
      </c>
      <c r="M26">
        <v>8.3194371000000003E-2</v>
      </c>
      <c r="N26">
        <v>144.52500000000001</v>
      </c>
      <c r="O26">
        <v>8.3194371000000003E-2</v>
      </c>
    </row>
    <row r="27" spans="1:16" x14ac:dyDescent="0.25">
      <c r="A27" t="s">
        <v>68</v>
      </c>
      <c r="B27" t="s">
        <v>63</v>
      </c>
      <c r="C27" t="s">
        <v>64</v>
      </c>
      <c r="D27" t="s">
        <v>19</v>
      </c>
      <c r="E27" t="s">
        <v>20</v>
      </c>
      <c r="F27" t="s">
        <v>29</v>
      </c>
      <c r="G27" t="s">
        <v>24</v>
      </c>
      <c r="H27" t="b">
        <v>0</v>
      </c>
      <c r="I27">
        <v>10</v>
      </c>
      <c r="J27">
        <v>58.75</v>
      </c>
      <c r="L27">
        <v>23.5</v>
      </c>
      <c r="M27">
        <v>2.3499999999999999E-6</v>
      </c>
      <c r="N27">
        <v>0</v>
      </c>
      <c r="O27">
        <v>0</v>
      </c>
    </row>
    <row r="28" spans="1:16" x14ac:dyDescent="0.25">
      <c r="A28" t="s">
        <v>69</v>
      </c>
      <c r="B28" t="s">
        <v>63</v>
      </c>
      <c r="C28" t="s">
        <v>64</v>
      </c>
      <c r="D28" t="s">
        <v>19</v>
      </c>
      <c r="E28" t="s">
        <v>20</v>
      </c>
      <c r="F28" t="s">
        <v>29</v>
      </c>
      <c r="G28" t="s">
        <v>70</v>
      </c>
      <c r="H28" t="b">
        <v>0</v>
      </c>
      <c r="I28">
        <v>10</v>
      </c>
      <c r="J28">
        <v>11</v>
      </c>
      <c r="L28">
        <v>2.2000000000000002</v>
      </c>
      <c r="M28">
        <v>3.4539999999999999E-4</v>
      </c>
      <c r="N28">
        <v>0</v>
      </c>
      <c r="O28">
        <v>0</v>
      </c>
    </row>
    <row r="29" spans="1:16" x14ac:dyDescent="0.25">
      <c r="A29" t="s">
        <v>71</v>
      </c>
      <c r="B29" t="s">
        <v>63</v>
      </c>
      <c r="C29" t="s">
        <v>64</v>
      </c>
      <c r="D29" t="s">
        <v>19</v>
      </c>
      <c r="E29" t="s">
        <v>20</v>
      </c>
      <c r="F29" t="s">
        <v>29</v>
      </c>
      <c r="G29" t="s">
        <v>67</v>
      </c>
      <c r="H29" t="b">
        <v>1</v>
      </c>
      <c r="I29">
        <v>10</v>
      </c>
      <c r="J29">
        <v>26</v>
      </c>
      <c r="L29">
        <v>5.2</v>
      </c>
      <c r="M29">
        <v>2.993328E-3</v>
      </c>
      <c r="N29">
        <v>5.2</v>
      </c>
      <c r="O29">
        <v>2.993328E-3</v>
      </c>
    </row>
    <row r="30" spans="1:16" x14ac:dyDescent="0.25">
      <c r="A30" t="s">
        <v>72</v>
      </c>
      <c r="B30" t="s">
        <v>63</v>
      </c>
      <c r="C30" t="s">
        <v>64</v>
      </c>
      <c r="D30" t="s">
        <v>19</v>
      </c>
      <c r="E30" t="s">
        <v>20</v>
      </c>
      <c r="F30" t="s">
        <v>29</v>
      </c>
      <c r="G30" t="s">
        <v>55</v>
      </c>
      <c r="H30" t="b">
        <v>1</v>
      </c>
      <c r="I30">
        <v>10</v>
      </c>
      <c r="J30">
        <v>53.3333333333333</v>
      </c>
      <c r="L30">
        <v>64</v>
      </c>
      <c r="M30">
        <v>5.9737599999999998E-3</v>
      </c>
      <c r="N30">
        <v>64</v>
      </c>
      <c r="O30">
        <v>5.9737599999999998E-3</v>
      </c>
    </row>
    <row r="31" spans="1:16" x14ac:dyDescent="0.25">
      <c r="A31" t="s">
        <v>73</v>
      </c>
      <c r="B31" t="s">
        <v>63</v>
      </c>
      <c r="C31" t="s">
        <v>64</v>
      </c>
      <c r="D31" t="s">
        <v>19</v>
      </c>
      <c r="E31" t="s">
        <v>20</v>
      </c>
      <c r="F31" t="s">
        <v>29</v>
      </c>
      <c r="G31" t="s">
        <v>38</v>
      </c>
      <c r="H31" t="b">
        <v>1</v>
      </c>
      <c r="I31">
        <v>10</v>
      </c>
      <c r="J31">
        <v>24.625</v>
      </c>
      <c r="L31">
        <v>39.4</v>
      </c>
      <c r="M31">
        <v>1.4578000000000001E-2</v>
      </c>
      <c r="N31">
        <v>39.4</v>
      </c>
      <c r="O31">
        <v>1.4578000000000001E-2</v>
      </c>
    </row>
    <row r="32" spans="1:16" x14ac:dyDescent="0.25">
      <c r="A32" t="s">
        <v>74</v>
      </c>
      <c r="B32" t="s">
        <v>63</v>
      </c>
      <c r="C32" t="s">
        <v>64</v>
      </c>
      <c r="D32" t="s">
        <v>19</v>
      </c>
      <c r="E32" t="s">
        <v>20</v>
      </c>
      <c r="F32" t="s">
        <v>29</v>
      </c>
      <c r="G32" t="s">
        <v>75</v>
      </c>
      <c r="H32" t="b">
        <v>1</v>
      </c>
      <c r="I32">
        <v>10</v>
      </c>
      <c r="J32">
        <v>28</v>
      </c>
      <c r="L32">
        <v>2.8</v>
      </c>
      <c r="M32">
        <v>1.6799999999999999E-4</v>
      </c>
      <c r="N32">
        <v>2.8</v>
      </c>
      <c r="O32">
        <v>1.6799999999999999E-4</v>
      </c>
    </row>
    <row r="33" spans="1:16" x14ac:dyDescent="0.25">
      <c r="A33" t="s">
        <v>76</v>
      </c>
      <c r="B33" t="s">
        <v>63</v>
      </c>
      <c r="C33" t="s">
        <v>64</v>
      </c>
      <c r="D33" t="s">
        <v>19</v>
      </c>
      <c r="E33" t="s">
        <v>20</v>
      </c>
      <c r="F33" t="s">
        <v>29</v>
      </c>
      <c r="G33" t="s">
        <v>77</v>
      </c>
      <c r="H33" t="b">
        <v>1</v>
      </c>
      <c r="I33">
        <v>10</v>
      </c>
      <c r="J33">
        <v>39.25</v>
      </c>
      <c r="L33">
        <v>15.7</v>
      </c>
      <c r="M33">
        <v>4.0819999999999997E-3</v>
      </c>
      <c r="N33">
        <v>15.7</v>
      </c>
      <c r="O33">
        <v>4.0819999999999997E-3</v>
      </c>
    </row>
    <row r="34" spans="1:16" x14ac:dyDescent="0.25">
      <c r="A34" t="s">
        <v>78</v>
      </c>
      <c r="B34" t="s">
        <v>63</v>
      </c>
      <c r="C34" t="s">
        <v>64</v>
      </c>
      <c r="D34" t="s">
        <v>19</v>
      </c>
      <c r="E34" t="s">
        <v>20</v>
      </c>
      <c r="F34" t="s">
        <v>29</v>
      </c>
      <c r="G34" t="s">
        <v>57</v>
      </c>
      <c r="H34" t="b">
        <v>1</v>
      </c>
      <c r="I34">
        <v>10</v>
      </c>
      <c r="J34">
        <v>32</v>
      </c>
      <c r="L34">
        <v>3.2</v>
      </c>
      <c r="M34">
        <v>8.6543999999999996E-3</v>
      </c>
      <c r="N34">
        <v>3.2</v>
      </c>
      <c r="O34">
        <v>8.6543999999999996E-3</v>
      </c>
    </row>
    <row r="35" spans="1:16" x14ac:dyDescent="0.25">
      <c r="A35" t="s">
        <v>79</v>
      </c>
      <c r="B35" t="s">
        <v>80</v>
      </c>
      <c r="C35" t="s">
        <v>81</v>
      </c>
      <c r="D35" t="s">
        <v>19</v>
      </c>
      <c r="E35" t="s">
        <v>82</v>
      </c>
      <c r="F35" t="s">
        <v>29</v>
      </c>
      <c r="G35" t="s">
        <v>59</v>
      </c>
      <c r="H35" t="b">
        <v>1</v>
      </c>
      <c r="I35">
        <v>10</v>
      </c>
      <c r="J35">
        <v>10.4</v>
      </c>
      <c r="L35">
        <v>5.2</v>
      </c>
      <c r="M35">
        <v>4.1080000000000001E-4</v>
      </c>
      <c r="N35">
        <v>5.2</v>
      </c>
      <c r="O35">
        <v>4.1080000000000001E-4</v>
      </c>
    </row>
    <row r="36" spans="1:16" x14ac:dyDescent="0.25">
      <c r="A36" t="s">
        <v>83</v>
      </c>
      <c r="B36" t="s">
        <v>80</v>
      </c>
      <c r="C36" t="s">
        <v>81</v>
      </c>
      <c r="D36" t="s">
        <v>19</v>
      </c>
      <c r="E36" t="s">
        <v>82</v>
      </c>
      <c r="F36" t="s">
        <v>29</v>
      </c>
      <c r="G36" t="s">
        <v>38</v>
      </c>
      <c r="H36" t="b">
        <v>1</v>
      </c>
      <c r="I36">
        <v>10</v>
      </c>
      <c r="J36">
        <v>15.875</v>
      </c>
      <c r="L36">
        <v>12.7</v>
      </c>
      <c r="M36">
        <v>4.6990000000000001E-3</v>
      </c>
      <c r="N36">
        <v>12.7</v>
      </c>
      <c r="O36">
        <v>4.6990000000000001E-3</v>
      </c>
    </row>
    <row r="37" spans="1:16" x14ac:dyDescent="0.25">
      <c r="A37" t="s">
        <v>84</v>
      </c>
      <c r="B37" t="s">
        <v>80</v>
      </c>
      <c r="C37" t="s">
        <v>81</v>
      </c>
      <c r="D37" t="s">
        <v>19</v>
      </c>
      <c r="E37" t="s">
        <v>20</v>
      </c>
      <c r="F37" t="s">
        <v>29</v>
      </c>
      <c r="G37" t="s">
        <v>85</v>
      </c>
      <c r="H37" t="b">
        <v>1</v>
      </c>
      <c r="I37">
        <v>10</v>
      </c>
      <c r="J37">
        <v>89</v>
      </c>
      <c r="L37">
        <v>8.9</v>
      </c>
      <c r="M37">
        <v>8.2823399999999996E-4</v>
      </c>
      <c r="N37">
        <v>8.9</v>
      </c>
      <c r="O37">
        <v>8.2823399999999996E-4</v>
      </c>
      <c r="P37" s="1" t="s">
        <v>43</v>
      </c>
    </row>
    <row r="38" spans="1:16" x14ac:dyDescent="0.25">
      <c r="A38" t="s">
        <v>86</v>
      </c>
      <c r="B38" t="s">
        <v>80</v>
      </c>
      <c r="C38" t="s">
        <v>81</v>
      </c>
      <c r="D38" t="s">
        <v>19</v>
      </c>
      <c r="E38" t="s">
        <v>20</v>
      </c>
      <c r="F38" t="s">
        <v>29</v>
      </c>
      <c r="G38" t="s">
        <v>26</v>
      </c>
      <c r="H38" t="b">
        <v>0</v>
      </c>
      <c r="I38">
        <v>10</v>
      </c>
      <c r="J38">
        <v>4</v>
      </c>
      <c r="L38">
        <v>0.4</v>
      </c>
      <c r="M38">
        <v>1.84E-5</v>
      </c>
      <c r="N38">
        <v>0</v>
      </c>
      <c r="O38">
        <v>0</v>
      </c>
    </row>
    <row r="39" spans="1:16" x14ac:dyDescent="0.25">
      <c r="A39" t="s">
        <v>87</v>
      </c>
      <c r="B39" t="s">
        <v>80</v>
      </c>
      <c r="C39" t="s">
        <v>81</v>
      </c>
      <c r="D39" t="s">
        <v>19</v>
      </c>
      <c r="E39" t="s">
        <v>20</v>
      </c>
      <c r="F39" t="s">
        <v>29</v>
      </c>
      <c r="G39" t="s">
        <v>55</v>
      </c>
      <c r="H39" t="b">
        <v>1</v>
      </c>
      <c r="I39">
        <v>10</v>
      </c>
      <c r="J39">
        <v>43.6666666666667</v>
      </c>
      <c r="L39">
        <v>13.1</v>
      </c>
      <c r="M39">
        <v>1.2227539999999999E-3</v>
      </c>
      <c r="N39">
        <v>13.1</v>
      </c>
      <c r="O39">
        <v>1.2227539999999999E-3</v>
      </c>
    </row>
    <row r="40" spans="1:16" x14ac:dyDescent="0.25">
      <c r="A40" t="s">
        <v>88</v>
      </c>
      <c r="B40" t="s">
        <v>17</v>
      </c>
      <c r="C40" t="s">
        <v>89</v>
      </c>
      <c r="D40" t="s">
        <v>19</v>
      </c>
      <c r="E40" t="s">
        <v>20</v>
      </c>
      <c r="F40" t="s">
        <v>29</v>
      </c>
      <c r="G40" t="s">
        <v>22</v>
      </c>
      <c r="H40" t="b">
        <v>0</v>
      </c>
      <c r="I40">
        <v>10</v>
      </c>
      <c r="J40">
        <v>15.55</v>
      </c>
      <c r="K40">
        <v>636</v>
      </c>
      <c r="L40">
        <v>1020.08</v>
      </c>
      <c r="M40">
        <v>5.1004000000000002E-4</v>
      </c>
      <c r="N40">
        <v>0</v>
      </c>
      <c r="O40">
        <v>0</v>
      </c>
    </row>
    <row r="41" spans="1:16" x14ac:dyDescent="0.25">
      <c r="A41" t="s">
        <v>90</v>
      </c>
      <c r="B41" t="s">
        <v>17</v>
      </c>
      <c r="C41" t="s">
        <v>89</v>
      </c>
      <c r="D41" t="s">
        <v>19</v>
      </c>
      <c r="E41" t="s">
        <v>20</v>
      </c>
      <c r="F41" t="s">
        <v>29</v>
      </c>
      <c r="G41" t="s">
        <v>24</v>
      </c>
      <c r="H41" t="b">
        <v>0</v>
      </c>
      <c r="I41">
        <v>10</v>
      </c>
      <c r="J41">
        <v>101.3</v>
      </c>
      <c r="K41">
        <v>70</v>
      </c>
      <c r="L41">
        <v>911.7</v>
      </c>
      <c r="M41">
        <v>9.1169999999999996E-5</v>
      </c>
      <c r="N41">
        <v>0</v>
      </c>
      <c r="O41">
        <v>0</v>
      </c>
    </row>
    <row r="42" spans="1:16" x14ac:dyDescent="0.25">
      <c r="A42" t="s">
        <v>91</v>
      </c>
      <c r="B42" t="s">
        <v>17</v>
      </c>
      <c r="C42" t="s">
        <v>89</v>
      </c>
      <c r="D42" t="s">
        <v>19</v>
      </c>
      <c r="E42" t="s">
        <v>20</v>
      </c>
      <c r="F42" t="s">
        <v>29</v>
      </c>
      <c r="G42" t="s">
        <v>38</v>
      </c>
      <c r="H42" t="b">
        <v>1</v>
      </c>
      <c r="I42">
        <v>10</v>
      </c>
      <c r="J42">
        <v>23.0625</v>
      </c>
      <c r="L42">
        <v>36.9</v>
      </c>
      <c r="M42">
        <v>1.3653E-2</v>
      </c>
      <c r="N42">
        <v>36.9</v>
      </c>
      <c r="O42">
        <v>1.3653E-2</v>
      </c>
    </row>
    <row r="43" spans="1:16" x14ac:dyDescent="0.25">
      <c r="A43" t="s">
        <v>92</v>
      </c>
      <c r="B43" t="s">
        <v>17</v>
      </c>
      <c r="C43" t="s">
        <v>89</v>
      </c>
      <c r="D43" t="s">
        <v>19</v>
      </c>
      <c r="E43" t="s">
        <v>20</v>
      </c>
      <c r="F43" t="s">
        <v>29</v>
      </c>
      <c r="G43" t="s">
        <v>85</v>
      </c>
      <c r="H43" t="b">
        <v>1</v>
      </c>
      <c r="I43">
        <v>10</v>
      </c>
      <c r="J43">
        <v>91</v>
      </c>
      <c r="L43">
        <v>9.1</v>
      </c>
      <c r="M43">
        <v>8.4684599999999995E-4</v>
      </c>
      <c r="N43">
        <v>9.1</v>
      </c>
      <c r="O43">
        <v>8.4684599999999995E-4</v>
      </c>
      <c r="P43" s="1" t="s">
        <v>43</v>
      </c>
    </row>
    <row r="44" spans="1:16" x14ac:dyDescent="0.25">
      <c r="A44" t="s">
        <v>93</v>
      </c>
      <c r="B44" t="s">
        <v>17</v>
      </c>
      <c r="C44" t="s">
        <v>89</v>
      </c>
      <c r="D44" t="s">
        <v>19</v>
      </c>
      <c r="E44" t="s">
        <v>20</v>
      </c>
      <c r="F44" t="s">
        <v>29</v>
      </c>
      <c r="G44" t="s">
        <v>34</v>
      </c>
      <c r="H44" t="b">
        <v>1</v>
      </c>
      <c r="I44">
        <v>10</v>
      </c>
      <c r="J44">
        <v>29.6666666666667</v>
      </c>
      <c r="L44">
        <v>8.9</v>
      </c>
      <c r="M44">
        <v>9.7900000000000005E-4</v>
      </c>
      <c r="N44">
        <v>8.9</v>
      </c>
      <c r="O44">
        <v>9.7900000000000005E-4</v>
      </c>
    </row>
    <row r="45" spans="1:16" x14ac:dyDescent="0.25">
      <c r="A45" t="s">
        <v>94</v>
      </c>
      <c r="B45" t="s">
        <v>17</v>
      </c>
      <c r="C45" t="s">
        <v>89</v>
      </c>
      <c r="D45" t="s">
        <v>19</v>
      </c>
      <c r="E45" t="s">
        <v>20</v>
      </c>
      <c r="F45" t="s">
        <v>29</v>
      </c>
      <c r="G45" t="s">
        <v>55</v>
      </c>
      <c r="H45" t="b">
        <v>1</v>
      </c>
      <c r="I45">
        <v>10</v>
      </c>
      <c r="J45">
        <v>32</v>
      </c>
      <c r="L45">
        <v>3.2</v>
      </c>
      <c r="M45">
        <v>2.9868800000000002E-4</v>
      </c>
      <c r="N45">
        <v>3.2</v>
      </c>
      <c r="O45">
        <v>2.9868800000000002E-4</v>
      </c>
    </row>
    <row r="46" spans="1:16" x14ac:dyDescent="0.25">
      <c r="A46" t="s">
        <v>95</v>
      </c>
      <c r="B46" t="s">
        <v>17</v>
      </c>
      <c r="C46" t="s">
        <v>89</v>
      </c>
      <c r="D46" t="s">
        <v>19</v>
      </c>
      <c r="E46" t="s">
        <v>20</v>
      </c>
      <c r="F46" t="s">
        <v>29</v>
      </c>
      <c r="G46" t="s">
        <v>42</v>
      </c>
      <c r="H46" t="b">
        <v>1</v>
      </c>
      <c r="I46">
        <v>10</v>
      </c>
      <c r="J46">
        <v>133</v>
      </c>
      <c r="L46">
        <v>39.9</v>
      </c>
      <c r="M46">
        <v>7.5941669999999998E-3</v>
      </c>
      <c r="N46">
        <v>39.9</v>
      </c>
      <c r="O46">
        <v>7.5941669999999998E-3</v>
      </c>
      <c r="P46" s="1" t="s">
        <v>43</v>
      </c>
    </row>
    <row r="47" spans="1:16" x14ac:dyDescent="0.25">
      <c r="A47" t="s">
        <v>96</v>
      </c>
      <c r="B47" t="s">
        <v>80</v>
      </c>
      <c r="C47" t="s">
        <v>97</v>
      </c>
      <c r="D47" t="s">
        <v>19</v>
      </c>
      <c r="E47" t="s">
        <v>20</v>
      </c>
      <c r="F47" t="s">
        <v>29</v>
      </c>
      <c r="G47" t="s">
        <v>52</v>
      </c>
      <c r="H47" t="b">
        <v>1</v>
      </c>
      <c r="I47">
        <v>10</v>
      </c>
      <c r="J47">
        <v>264</v>
      </c>
      <c r="L47">
        <v>26.4</v>
      </c>
      <c r="M47">
        <v>2.2967999999999999E-3</v>
      </c>
      <c r="N47">
        <v>26.4</v>
      </c>
      <c r="O47">
        <v>2.2967999999999999E-3</v>
      </c>
      <c r="P47" s="1" t="s">
        <v>43</v>
      </c>
    </row>
    <row r="48" spans="1:16" x14ac:dyDescent="0.25">
      <c r="A48" t="s">
        <v>98</v>
      </c>
      <c r="B48" t="s">
        <v>80</v>
      </c>
      <c r="C48" t="s">
        <v>97</v>
      </c>
      <c r="D48" t="s">
        <v>19</v>
      </c>
      <c r="E48" t="s">
        <v>20</v>
      </c>
      <c r="F48" t="s">
        <v>29</v>
      </c>
      <c r="G48" t="s">
        <v>67</v>
      </c>
      <c r="H48" t="b">
        <v>1</v>
      </c>
      <c r="I48">
        <v>10</v>
      </c>
      <c r="J48">
        <v>39.3333333333333</v>
      </c>
      <c r="L48">
        <v>11.8</v>
      </c>
      <c r="M48">
        <v>6.7925520000000003E-3</v>
      </c>
      <c r="N48">
        <v>11.8</v>
      </c>
      <c r="O48">
        <v>6.7925520000000003E-3</v>
      </c>
    </row>
    <row r="49" spans="1:16" x14ac:dyDescent="0.25">
      <c r="A49" t="s">
        <v>99</v>
      </c>
      <c r="B49" t="s">
        <v>80</v>
      </c>
      <c r="C49" t="s">
        <v>97</v>
      </c>
      <c r="D49" t="s">
        <v>19</v>
      </c>
      <c r="E49" t="s">
        <v>20</v>
      </c>
      <c r="F49" t="s">
        <v>29</v>
      </c>
      <c r="G49" t="s">
        <v>38</v>
      </c>
      <c r="H49" t="b">
        <v>1</v>
      </c>
      <c r="I49">
        <v>10</v>
      </c>
      <c r="J49">
        <v>11</v>
      </c>
      <c r="L49">
        <v>1.1000000000000001</v>
      </c>
      <c r="M49">
        <v>4.0700000000000003E-4</v>
      </c>
      <c r="N49">
        <v>1.1000000000000001</v>
      </c>
      <c r="O49">
        <v>4.0700000000000003E-4</v>
      </c>
    </row>
    <row r="50" spans="1:16" x14ac:dyDescent="0.25">
      <c r="A50" t="s">
        <v>100</v>
      </c>
      <c r="B50" t="s">
        <v>50</v>
      </c>
      <c r="C50" t="s">
        <v>101</v>
      </c>
      <c r="D50" t="s">
        <v>19</v>
      </c>
      <c r="E50" t="s">
        <v>20</v>
      </c>
      <c r="F50" t="s">
        <v>21</v>
      </c>
      <c r="G50" t="s">
        <v>52</v>
      </c>
      <c r="H50" t="b">
        <v>1</v>
      </c>
      <c r="I50">
        <v>10</v>
      </c>
      <c r="J50">
        <v>12.4</v>
      </c>
      <c r="K50">
        <v>1</v>
      </c>
      <c r="L50">
        <v>818.07191666666699</v>
      </c>
      <c r="M50">
        <v>7.1172256749999996E-2</v>
      </c>
      <c r="N50">
        <v>818.07191666666699</v>
      </c>
      <c r="O50">
        <v>7.1172256749999996E-2</v>
      </c>
      <c r="P50" s="1" t="s">
        <v>43</v>
      </c>
    </row>
    <row r="51" spans="1:16" x14ac:dyDescent="0.25">
      <c r="A51" t="s">
        <v>102</v>
      </c>
      <c r="B51" t="s">
        <v>50</v>
      </c>
      <c r="C51" t="s">
        <v>101</v>
      </c>
      <c r="D51" t="s">
        <v>19</v>
      </c>
      <c r="E51" t="s">
        <v>20</v>
      </c>
      <c r="F51" t="s">
        <v>21</v>
      </c>
      <c r="G51" t="s">
        <v>42</v>
      </c>
      <c r="H51" t="b">
        <v>1</v>
      </c>
      <c r="I51">
        <v>10</v>
      </c>
      <c r="J51">
        <v>5</v>
      </c>
      <c r="L51">
        <v>15.707986111111101</v>
      </c>
      <c r="M51">
        <v>2.9897009965277801E-3</v>
      </c>
      <c r="N51">
        <v>15.707986111111101</v>
      </c>
      <c r="O51">
        <v>2.9897009965277801E-3</v>
      </c>
      <c r="P51" s="1" t="s">
        <v>43</v>
      </c>
    </row>
    <row r="52" spans="1:16" x14ac:dyDescent="0.25">
      <c r="A52" t="s">
        <v>103</v>
      </c>
      <c r="B52" t="s">
        <v>50</v>
      </c>
      <c r="C52" t="s">
        <v>101</v>
      </c>
      <c r="D52" t="s">
        <v>19</v>
      </c>
      <c r="E52" t="s">
        <v>20</v>
      </c>
      <c r="F52" t="s">
        <v>21</v>
      </c>
      <c r="G52" t="s">
        <v>26</v>
      </c>
      <c r="H52" t="b">
        <v>0</v>
      </c>
      <c r="I52">
        <v>10</v>
      </c>
      <c r="J52">
        <v>9</v>
      </c>
      <c r="L52">
        <v>28.274374999999999</v>
      </c>
      <c r="M52">
        <v>1.3006212499999999E-3</v>
      </c>
      <c r="N52">
        <v>0</v>
      </c>
      <c r="O52">
        <v>0</v>
      </c>
    </row>
    <row r="53" spans="1:16" x14ac:dyDescent="0.25">
      <c r="A53" t="s">
        <v>104</v>
      </c>
      <c r="B53" t="s">
        <v>105</v>
      </c>
      <c r="C53" t="s">
        <v>106</v>
      </c>
      <c r="D53" t="s">
        <v>19</v>
      </c>
      <c r="E53" t="s">
        <v>20</v>
      </c>
      <c r="F53" t="s">
        <v>29</v>
      </c>
      <c r="G53" t="s">
        <v>22</v>
      </c>
      <c r="H53" t="b">
        <v>0</v>
      </c>
      <c r="I53">
        <v>10</v>
      </c>
      <c r="J53">
        <v>18.5</v>
      </c>
      <c r="K53">
        <v>119</v>
      </c>
      <c r="L53">
        <v>257.14999999999998</v>
      </c>
      <c r="M53">
        <v>1.2857499999999999E-4</v>
      </c>
      <c r="N53">
        <v>0</v>
      </c>
      <c r="O53">
        <v>0</v>
      </c>
    </row>
    <row r="54" spans="1:16" x14ac:dyDescent="0.25">
      <c r="A54" t="s">
        <v>107</v>
      </c>
      <c r="B54" t="s">
        <v>105</v>
      </c>
      <c r="C54" t="s">
        <v>106</v>
      </c>
      <c r="D54" t="s">
        <v>19</v>
      </c>
      <c r="E54" t="s">
        <v>20</v>
      </c>
      <c r="F54" t="s">
        <v>29</v>
      </c>
      <c r="G54" t="s">
        <v>24</v>
      </c>
      <c r="H54" t="b">
        <v>0</v>
      </c>
      <c r="I54">
        <v>10</v>
      </c>
      <c r="J54">
        <v>36.799999999999997</v>
      </c>
      <c r="K54">
        <v>42</v>
      </c>
      <c r="L54">
        <v>228.16</v>
      </c>
      <c r="M54">
        <v>2.2816E-5</v>
      </c>
      <c r="N54">
        <v>0</v>
      </c>
      <c r="O54">
        <v>0</v>
      </c>
    </row>
    <row r="55" spans="1:16" x14ac:dyDescent="0.25">
      <c r="A55" t="s">
        <v>108</v>
      </c>
      <c r="B55" t="s">
        <v>105</v>
      </c>
      <c r="C55" t="s">
        <v>106</v>
      </c>
      <c r="D55" t="s">
        <v>19</v>
      </c>
      <c r="E55" t="s">
        <v>20</v>
      </c>
      <c r="F55" t="s">
        <v>29</v>
      </c>
      <c r="G55" t="s">
        <v>55</v>
      </c>
      <c r="H55" t="b">
        <v>1</v>
      </c>
      <c r="I55">
        <v>10</v>
      </c>
      <c r="J55">
        <v>39</v>
      </c>
      <c r="L55">
        <v>11.7</v>
      </c>
      <c r="M55">
        <v>1.092078E-3</v>
      </c>
      <c r="N55">
        <v>11.7</v>
      </c>
      <c r="O55">
        <v>1.092078E-3</v>
      </c>
    </row>
    <row r="56" spans="1:16" x14ac:dyDescent="0.25">
      <c r="A56" t="s">
        <v>109</v>
      </c>
      <c r="B56" t="s">
        <v>105</v>
      </c>
      <c r="C56" t="s">
        <v>106</v>
      </c>
      <c r="D56" t="s">
        <v>19</v>
      </c>
      <c r="E56" t="s">
        <v>20</v>
      </c>
      <c r="F56" t="s">
        <v>29</v>
      </c>
      <c r="G56" t="s">
        <v>59</v>
      </c>
      <c r="H56" t="b">
        <v>1</v>
      </c>
      <c r="I56">
        <v>10</v>
      </c>
      <c r="J56">
        <v>8</v>
      </c>
      <c r="L56">
        <v>0.8</v>
      </c>
      <c r="M56">
        <v>6.3200000000000005E-5</v>
      </c>
      <c r="N56">
        <v>0.8</v>
      </c>
      <c r="O56">
        <v>6.3200000000000005E-5</v>
      </c>
    </row>
    <row r="57" spans="1:16" x14ac:dyDescent="0.25">
      <c r="A57" t="s">
        <v>110</v>
      </c>
      <c r="B57" t="s">
        <v>105</v>
      </c>
      <c r="C57" t="s">
        <v>106</v>
      </c>
      <c r="D57" t="s">
        <v>19</v>
      </c>
      <c r="E57" t="s">
        <v>20</v>
      </c>
      <c r="F57" t="s">
        <v>29</v>
      </c>
      <c r="G57" t="s">
        <v>38</v>
      </c>
      <c r="H57" t="b">
        <v>1</v>
      </c>
      <c r="I57">
        <v>10</v>
      </c>
      <c r="J57">
        <v>30.6666666666667</v>
      </c>
      <c r="L57">
        <v>9.1999999999999993</v>
      </c>
      <c r="M57">
        <v>3.4039999999999999E-3</v>
      </c>
      <c r="N57">
        <v>9.1999999999999993</v>
      </c>
      <c r="O57">
        <v>3.4039999999999999E-3</v>
      </c>
    </row>
    <row r="58" spans="1:16" x14ac:dyDescent="0.25">
      <c r="A58" t="s">
        <v>111</v>
      </c>
      <c r="B58" t="s">
        <v>105</v>
      </c>
      <c r="C58" t="s">
        <v>106</v>
      </c>
      <c r="D58" t="s">
        <v>19</v>
      </c>
      <c r="E58" t="s">
        <v>20</v>
      </c>
      <c r="F58" t="s">
        <v>29</v>
      </c>
      <c r="G58" t="s">
        <v>34</v>
      </c>
      <c r="H58" t="b">
        <v>1</v>
      </c>
      <c r="I58">
        <v>10</v>
      </c>
      <c r="J58">
        <v>54</v>
      </c>
      <c r="L58">
        <v>5.4</v>
      </c>
      <c r="M58">
        <v>5.9400000000000002E-4</v>
      </c>
      <c r="N58">
        <v>5.4</v>
      </c>
      <c r="O58">
        <v>5.9400000000000002E-4</v>
      </c>
    </row>
    <row r="59" spans="1:16" x14ac:dyDescent="0.25">
      <c r="A59" t="s">
        <v>112</v>
      </c>
      <c r="B59" t="s">
        <v>105</v>
      </c>
      <c r="C59" t="s">
        <v>106</v>
      </c>
      <c r="D59" t="s">
        <v>19</v>
      </c>
      <c r="E59" t="s">
        <v>20</v>
      </c>
      <c r="F59" t="s">
        <v>29</v>
      </c>
      <c r="G59" t="s">
        <v>70</v>
      </c>
      <c r="H59" t="b">
        <v>0</v>
      </c>
      <c r="I59">
        <v>10</v>
      </c>
      <c r="J59">
        <v>33</v>
      </c>
      <c r="L59">
        <v>3.3</v>
      </c>
      <c r="M59">
        <v>5.1809999999999996E-4</v>
      </c>
      <c r="N59">
        <v>0</v>
      </c>
      <c r="O59">
        <v>0</v>
      </c>
    </row>
    <row r="60" spans="1:16" x14ac:dyDescent="0.25">
      <c r="A60" t="s">
        <v>113</v>
      </c>
      <c r="B60" t="s">
        <v>17</v>
      </c>
      <c r="C60" t="s">
        <v>114</v>
      </c>
      <c r="D60" t="s">
        <v>19</v>
      </c>
      <c r="E60" t="s">
        <v>20</v>
      </c>
      <c r="F60" t="s">
        <v>29</v>
      </c>
      <c r="G60" t="s">
        <v>22</v>
      </c>
      <c r="H60" t="b">
        <v>0</v>
      </c>
      <c r="I60">
        <v>10</v>
      </c>
      <c r="J60">
        <v>20.5</v>
      </c>
      <c r="K60">
        <v>101</v>
      </c>
      <c r="L60">
        <v>248.05</v>
      </c>
      <c r="M60">
        <v>1.2402499999999999E-4</v>
      </c>
      <c r="N60">
        <v>0</v>
      </c>
      <c r="O60">
        <v>0</v>
      </c>
    </row>
    <row r="61" spans="1:16" x14ac:dyDescent="0.25">
      <c r="A61" t="s">
        <v>115</v>
      </c>
      <c r="B61" t="s">
        <v>17</v>
      </c>
      <c r="C61" t="s">
        <v>114</v>
      </c>
      <c r="D61" t="s">
        <v>19</v>
      </c>
      <c r="E61" t="s">
        <v>20</v>
      </c>
      <c r="F61" t="s">
        <v>29</v>
      </c>
      <c r="G61" t="s">
        <v>24</v>
      </c>
      <c r="H61" t="b">
        <v>0</v>
      </c>
      <c r="I61">
        <v>10</v>
      </c>
      <c r="J61">
        <v>85</v>
      </c>
      <c r="L61">
        <v>8.5</v>
      </c>
      <c r="M61">
        <v>8.5000000000000001E-7</v>
      </c>
      <c r="N61">
        <v>0</v>
      </c>
      <c r="O61">
        <v>0</v>
      </c>
    </row>
    <row r="62" spans="1:16" x14ac:dyDescent="0.25">
      <c r="A62" t="s">
        <v>116</v>
      </c>
      <c r="B62" t="s">
        <v>17</v>
      </c>
      <c r="C62" t="s">
        <v>114</v>
      </c>
      <c r="D62" t="s">
        <v>19</v>
      </c>
      <c r="E62" t="s">
        <v>20</v>
      </c>
      <c r="F62" t="s">
        <v>29</v>
      </c>
      <c r="G62" t="s">
        <v>26</v>
      </c>
      <c r="H62" t="b">
        <v>0</v>
      </c>
      <c r="I62">
        <v>10</v>
      </c>
      <c r="J62">
        <v>6</v>
      </c>
      <c r="L62">
        <v>0.6</v>
      </c>
      <c r="M62">
        <v>2.76E-5</v>
      </c>
      <c r="N62">
        <v>0</v>
      </c>
      <c r="O62">
        <v>0</v>
      </c>
    </row>
    <row r="63" spans="1:16" x14ac:dyDescent="0.25">
      <c r="A63" t="s">
        <v>117</v>
      </c>
      <c r="B63" t="s">
        <v>17</v>
      </c>
      <c r="C63" t="s">
        <v>114</v>
      </c>
      <c r="D63" t="s">
        <v>19</v>
      </c>
      <c r="E63" t="s">
        <v>20</v>
      </c>
      <c r="F63" t="s">
        <v>29</v>
      </c>
      <c r="G63" t="s">
        <v>57</v>
      </c>
      <c r="H63" t="b">
        <v>1</v>
      </c>
      <c r="I63">
        <v>10</v>
      </c>
      <c r="J63">
        <v>78</v>
      </c>
      <c r="L63">
        <v>7.8</v>
      </c>
      <c r="M63">
        <v>2.1095099999999999E-2</v>
      </c>
      <c r="N63">
        <v>7.8</v>
      </c>
      <c r="O63">
        <v>2.1095099999999999E-2</v>
      </c>
    </row>
    <row r="64" spans="1:16" x14ac:dyDescent="0.25">
      <c r="A64" t="s">
        <v>118</v>
      </c>
      <c r="B64" t="s">
        <v>17</v>
      </c>
      <c r="C64" t="s">
        <v>114</v>
      </c>
      <c r="D64" t="s">
        <v>19</v>
      </c>
      <c r="E64" t="s">
        <v>20</v>
      </c>
      <c r="F64" t="s">
        <v>29</v>
      </c>
      <c r="G64" t="s">
        <v>38</v>
      </c>
      <c r="H64" t="b">
        <v>1</v>
      </c>
      <c r="I64">
        <v>10</v>
      </c>
      <c r="J64">
        <v>66</v>
      </c>
      <c r="L64">
        <v>6.6</v>
      </c>
      <c r="M64">
        <v>2.4420000000000002E-3</v>
      </c>
      <c r="N64">
        <v>6.6</v>
      </c>
      <c r="O64">
        <v>2.4420000000000002E-3</v>
      </c>
    </row>
    <row r="65" spans="1:16" x14ac:dyDescent="0.25">
      <c r="A65" t="s">
        <v>119</v>
      </c>
      <c r="B65" t="s">
        <v>17</v>
      </c>
      <c r="C65" t="s">
        <v>114</v>
      </c>
      <c r="D65" t="s">
        <v>19</v>
      </c>
      <c r="E65" t="s">
        <v>20</v>
      </c>
      <c r="F65" t="s">
        <v>29</v>
      </c>
      <c r="G65" t="s">
        <v>52</v>
      </c>
      <c r="H65" t="b">
        <v>1</v>
      </c>
      <c r="I65">
        <v>10</v>
      </c>
      <c r="J65">
        <v>10</v>
      </c>
      <c r="L65">
        <v>1</v>
      </c>
      <c r="M65">
        <v>8.7000000000000001E-5</v>
      </c>
      <c r="N65">
        <v>1</v>
      </c>
      <c r="O65">
        <v>8.7000000000000001E-5</v>
      </c>
      <c r="P65" s="1" t="s">
        <v>43</v>
      </c>
    </row>
    <row r="66" spans="1:16" x14ac:dyDescent="0.25">
      <c r="A66" t="s">
        <v>120</v>
      </c>
      <c r="B66" t="s">
        <v>17</v>
      </c>
      <c r="C66" t="s">
        <v>114</v>
      </c>
      <c r="D66" t="s">
        <v>19</v>
      </c>
      <c r="E66" t="s">
        <v>20</v>
      </c>
      <c r="F66" t="s">
        <v>29</v>
      </c>
      <c r="G66" t="s">
        <v>34</v>
      </c>
      <c r="H66" t="b">
        <v>1</v>
      </c>
      <c r="I66">
        <v>10</v>
      </c>
      <c r="J66">
        <v>52</v>
      </c>
      <c r="L66">
        <v>15.6</v>
      </c>
      <c r="M66">
        <v>1.7160000000000001E-3</v>
      </c>
      <c r="N66">
        <v>15.6</v>
      </c>
      <c r="O66">
        <v>1.7160000000000001E-3</v>
      </c>
    </row>
    <row r="67" spans="1:16" x14ac:dyDescent="0.25">
      <c r="A67" t="s">
        <v>121</v>
      </c>
      <c r="B67" t="s">
        <v>80</v>
      </c>
      <c r="C67" t="s">
        <v>122</v>
      </c>
      <c r="D67" t="s">
        <v>19</v>
      </c>
      <c r="E67" t="s">
        <v>20</v>
      </c>
      <c r="F67" t="s">
        <v>29</v>
      </c>
      <c r="G67" t="s">
        <v>40</v>
      </c>
      <c r="H67" t="b">
        <v>1</v>
      </c>
      <c r="I67">
        <v>10</v>
      </c>
      <c r="J67">
        <v>27</v>
      </c>
      <c r="L67">
        <v>5.4</v>
      </c>
      <c r="M67">
        <v>1.026E-3</v>
      </c>
      <c r="N67">
        <v>5.4</v>
      </c>
      <c r="O67">
        <v>1.026E-3</v>
      </c>
    </row>
    <row r="68" spans="1:16" x14ac:dyDescent="0.25">
      <c r="A68" t="s">
        <v>123</v>
      </c>
      <c r="B68" t="s">
        <v>80</v>
      </c>
      <c r="C68" t="s">
        <v>122</v>
      </c>
      <c r="D68" t="s">
        <v>19</v>
      </c>
      <c r="E68" t="s">
        <v>20</v>
      </c>
      <c r="F68" t="s">
        <v>29</v>
      </c>
      <c r="G68" t="s">
        <v>38</v>
      </c>
      <c r="H68" t="b">
        <v>1</v>
      </c>
      <c r="I68">
        <v>10</v>
      </c>
      <c r="J68">
        <v>8</v>
      </c>
      <c r="L68">
        <v>0.8</v>
      </c>
      <c r="M68">
        <v>2.9599999999999998E-4</v>
      </c>
      <c r="N68">
        <v>0.8</v>
      </c>
      <c r="O68">
        <v>2.9599999999999998E-4</v>
      </c>
    </row>
    <row r="69" spans="1:16" x14ac:dyDescent="0.25">
      <c r="A69" t="s">
        <v>124</v>
      </c>
      <c r="B69" t="s">
        <v>80</v>
      </c>
      <c r="C69" t="s">
        <v>125</v>
      </c>
      <c r="D69" t="s">
        <v>19</v>
      </c>
      <c r="E69" t="s">
        <v>20</v>
      </c>
      <c r="F69" t="s">
        <v>29</v>
      </c>
      <c r="G69" t="s">
        <v>67</v>
      </c>
      <c r="H69" t="b">
        <v>1</v>
      </c>
      <c r="I69">
        <v>10</v>
      </c>
      <c r="J69">
        <v>113</v>
      </c>
      <c r="L69">
        <v>11.3</v>
      </c>
      <c r="M69">
        <v>6.504732E-3</v>
      </c>
      <c r="N69">
        <v>11.3</v>
      </c>
      <c r="O69">
        <v>6.504732E-3</v>
      </c>
    </row>
    <row r="70" spans="1:16" x14ac:dyDescent="0.25">
      <c r="A70" t="s">
        <v>126</v>
      </c>
      <c r="B70" t="s">
        <v>80</v>
      </c>
      <c r="C70" t="s">
        <v>125</v>
      </c>
      <c r="D70" t="s">
        <v>19</v>
      </c>
      <c r="E70" t="s">
        <v>20</v>
      </c>
      <c r="F70" t="s">
        <v>29</v>
      </c>
      <c r="G70" t="s">
        <v>38</v>
      </c>
      <c r="H70" t="b">
        <v>1</v>
      </c>
      <c r="I70">
        <v>10</v>
      </c>
      <c r="J70">
        <v>51</v>
      </c>
      <c r="L70">
        <v>15.3</v>
      </c>
      <c r="M70">
        <v>5.6610000000000002E-3</v>
      </c>
      <c r="N70">
        <v>15.3</v>
      </c>
      <c r="O70">
        <v>5.6610000000000002E-3</v>
      </c>
    </row>
    <row r="71" spans="1:16" x14ac:dyDescent="0.25">
      <c r="A71" t="s">
        <v>127</v>
      </c>
      <c r="B71" t="s">
        <v>80</v>
      </c>
      <c r="C71" t="s">
        <v>125</v>
      </c>
      <c r="D71" t="s">
        <v>19</v>
      </c>
      <c r="E71" t="s">
        <v>20</v>
      </c>
      <c r="F71" t="s">
        <v>29</v>
      </c>
      <c r="G71" t="s">
        <v>70</v>
      </c>
      <c r="H71" t="b">
        <v>0</v>
      </c>
      <c r="I71">
        <v>10</v>
      </c>
      <c r="J71">
        <v>24</v>
      </c>
      <c r="L71">
        <v>2.4</v>
      </c>
      <c r="M71">
        <v>3.768E-4</v>
      </c>
      <c r="N71">
        <v>0</v>
      </c>
      <c r="O71">
        <v>0</v>
      </c>
    </row>
    <row r="72" spans="1:16" x14ac:dyDescent="0.25">
      <c r="A72" t="s">
        <v>128</v>
      </c>
      <c r="B72" t="s">
        <v>80</v>
      </c>
      <c r="C72" t="s">
        <v>125</v>
      </c>
      <c r="D72" t="s">
        <v>19</v>
      </c>
      <c r="E72" t="s">
        <v>20</v>
      </c>
      <c r="F72" t="s">
        <v>29</v>
      </c>
      <c r="G72" t="s">
        <v>42</v>
      </c>
      <c r="H72" t="b">
        <v>1</v>
      </c>
      <c r="I72">
        <v>10</v>
      </c>
      <c r="J72">
        <v>39.5</v>
      </c>
      <c r="L72">
        <v>7.9</v>
      </c>
      <c r="M72">
        <v>1.5036069999999999E-3</v>
      </c>
      <c r="N72">
        <v>7.9</v>
      </c>
      <c r="O72">
        <v>1.5036069999999999E-3</v>
      </c>
      <c r="P72" s="1" t="s">
        <v>43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"/>
  <sheetViews>
    <sheetView workbookViewId="0"/>
  </sheetViews>
  <sheetFormatPr defaultRowHeight="15" x14ac:dyDescent="0.25"/>
  <cols>
    <col min="1" max="1" width="12.42578125" customWidth="1"/>
    <col min="2" max="2" width="11.85546875" customWidth="1"/>
    <col min="3" max="3" width="12.85546875" customWidth="1"/>
    <col min="4" max="4" width="14.85546875" customWidth="1"/>
    <col min="5" max="5" width="18.5703125" customWidth="1"/>
    <col min="6" max="6" width="14.42578125" customWidth="1"/>
    <col min="7" max="7" width="22.28515625" customWidth="1"/>
    <col min="8" max="8" width="16.5703125" customWidth="1"/>
    <col min="9" max="9" width="20.7109375" customWidth="1"/>
    <col min="10" max="10" width="11.5703125" customWidth="1"/>
    <col min="11" max="11" width="20.85546875" customWidth="1"/>
    <col min="12" max="12" width="18.28515625" customWidth="1"/>
    <col min="13" max="13" width="21.42578125" customWidth="1"/>
    <col min="14" max="14" width="23.42578125" customWidth="1"/>
    <col min="15" max="15" width="27.42578125" customWidth="1"/>
    <col min="16" max="16" width="15.140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30" x14ac:dyDescent="0.25">
      <c r="A2" t="s">
        <v>41</v>
      </c>
      <c r="B2" t="s">
        <v>17</v>
      </c>
      <c r="C2" t="s">
        <v>28</v>
      </c>
      <c r="D2" t="s">
        <v>19</v>
      </c>
      <c r="E2" t="s">
        <v>20</v>
      </c>
      <c r="F2" t="s">
        <v>29</v>
      </c>
      <c r="G2" t="s">
        <v>42</v>
      </c>
      <c r="H2" t="b">
        <v>1</v>
      </c>
      <c r="I2">
        <v>10</v>
      </c>
      <c r="J2">
        <v>47</v>
      </c>
      <c r="L2">
        <v>4.7</v>
      </c>
      <c r="M2">
        <v>8.9455100000000005E-4</v>
      </c>
      <c r="N2">
        <v>4.7</v>
      </c>
      <c r="O2">
        <v>8.9455100000000005E-4</v>
      </c>
      <c r="P2" s="1" t="s">
        <v>43</v>
      </c>
    </row>
    <row r="3" spans="1:16" ht="30" x14ac:dyDescent="0.25">
      <c r="A3" t="s">
        <v>49</v>
      </c>
      <c r="B3" t="s">
        <v>50</v>
      </c>
      <c r="C3" t="s">
        <v>51</v>
      </c>
      <c r="D3" t="s">
        <v>19</v>
      </c>
      <c r="E3" t="s">
        <v>20</v>
      </c>
      <c r="F3" t="s">
        <v>29</v>
      </c>
      <c r="G3" t="s">
        <v>52</v>
      </c>
      <c r="H3" t="b">
        <v>1</v>
      </c>
      <c r="I3">
        <v>10</v>
      </c>
      <c r="J3">
        <v>51.85</v>
      </c>
      <c r="K3">
        <v>144</v>
      </c>
      <c r="L3">
        <v>850.34</v>
      </c>
      <c r="M3">
        <v>7.3979580000000003E-2</v>
      </c>
      <c r="N3">
        <v>850.34</v>
      </c>
      <c r="O3">
        <v>7.3979580000000003E-2</v>
      </c>
      <c r="P3" s="1" t="s">
        <v>43</v>
      </c>
    </row>
    <row r="4" spans="1:16" ht="30" x14ac:dyDescent="0.25">
      <c r="A4" t="s">
        <v>84</v>
      </c>
      <c r="B4" t="s">
        <v>80</v>
      </c>
      <c r="C4" t="s">
        <v>81</v>
      </c>
      <c r="D4" t="s">
        <v>19</v>
      </c>
      <c r="E4" t="s">
        <v>20</v>
      </c>
      <c r="F4" t="s">
        <v>29</v>
      </c>
      <c r="G4" t="s">
        <v>85</v>
      </c>
      <c r="H4" t="b">
        <v>1</v>
      </c>
      <c r="I4">
        <v>10</v>
      </c>
      <c r="J4">
        <v>89</v>
      </c>
      <c r="L4">
        <v>8.9</v>
      </c>
      <c r="M4">
        <v>8.2823399999999996E-4</v>
      </c>
      <c r="N4">
        <v>8.9</v>
      </c>
      <c r="O4">
        <v>8.2823399999999996E-4</v>
      </c>
      <c r="P4" s="1" t="s">
        <v>43</v>
      </c>
    </row>
    <row r="5" spans="1:16" ht="30" x14ac:dyDescent="0.25">
      <c r="A5" t="s">
        <v>92</v>
      </c>
      <c r="B5" t="s">
        <v>17</v>
      </c>
      <c r="C5" t="s">
        <v>89</v>
      </c>
      <c r="D5" t="s">
        <v>19</v>
      </c>
      <c r="E5" t="s">
        <v>20</v>
      </c>
      <c r="F5" t="s">
        <v>29</v>
      </c>
      <c r="G5" t="s">
        <v>85</v>
      </c>
      <c r="H5" t="b">
        <v>1</v>
      </c>
      <c r="I5">
        <v>10</v>
      </c>
      <c r="J5">
        <v>91</v>
      </c>
      <c r="L5">
        <v>9.1</v>
      </c>
      <c r="M5">
        <v>8.4684599999999995E-4</v>
      </c>
      <c r="N5">
        <v>9.1</v>
      </c>
      <c r="O5">
        <v>8.4684599999999995E-4</v>
      </c>
      <c r="P5" s="1" t="s">
        <v>43</v>
      </c>
    </row>
    <row r="6" spans="1:16" ht="30" x14ac:dyDescent="0.25">
      <c r="A6" t="s">
        <v>95</v>
      </c>
      <c r="B6" t="s">
        <v>17</v>
      </c>
      <c r="C6" t="s">
        <v>89</v>
      </c>
      <c r="D6" t="s">
        <v>19</v>
      </c>
      <c r="E6" t="s">
        <v>20</v>
      </c>
      <c r="F6" t="s">
        <v>29</v>
      </c>
      <c r="G6" t="s">
        <v>42</v>
      </c>
      <c r="H6" t="b">
        <v>1</v>
      </c>
      <c r="I6">
        <v>10</v>
      </c>
      <c r="J6">
        <v>133</v>
      </c>
      <c r="L6">
        <v>39.9</v>
      </c>
      <c r="M6">
        <v>7.5941669999999998E-3</v>
      </c>
      <c r="N6">
        <v>39.9</v>
      </c>
      <c r="O6">
        <v>7.5941669999999998E-3</v>
      </c>
      <c r="P6" s="1" t="s">
        <v>43</v>
      </c>
    </row>
    <row r="7" spans="1:16" ht="30" x14ac:dyDescent="0.25">
      <c r="A7" t="s">
        <v>96</v>
      </c>
      <c r="B7" t="s">
        <v>80</v>
      </c>
      <c r="C7" t="s">
        <v>97</v>
      </c>
      <c r="D7" t="s">
        <v>19</v>
      </c>
      <c r="E7" t="s">
        <v>20</v>
      </c>
      <c r="F7" t="s">
        <v>29</v>
      </c>
      <c r="G7" t="s">
        <v>52</v>
      </c>
      <c r="H7" t="b">
        <v>1</v>
      </c>
      <c r="I7">
        <v>10</v>
      </c>
      <c r="J7">
        <v>264</v>
      </c>
      <c r="L7">
        <v>26.4</v>
      </c>
      <c r="M7">
        <v>2.2967999999999999E-3</v>
      </c>
      <c r="N7">
        <v>26.4</v>
      </c>
      <c r="O7">
        <v>2.2967999999999999E-3</v>
      </c>
      <c r="P7" s="1" t="s">
        <v>43</v>
      </c>
    </row>
    <row r="8" spans="1:16" ht="30" x14ac:dyDescent="0.25">
      <c r="A8" t="s">
        <v>100</v>
      </c>
      <c r="B8" t="s">
        <v>50</v>
      </c>
      <c r="C8" t="s">
        <v>101</v>
      </c>
      <c r="D8" t="s">
        <v>19</v>
      </c>
      <c r="E8" t="s">
        <v>20</v>
      </c>
      <c r="F8" t="s">
        <v>21</v>
      </c>
      <c r="G8" t="s">
        <v>52</v>
      </c>
      <c r="H8" t="b">
        <v>1</v>
      </c>
      <c r="I8">
        <v>10</v>
      </c>
      <c r="J8">
        <v>12.4</v>
      </c>
      <c r="K8">
        <v>1</v>
      </c>
      <c r="L8">
        <v>818.07191666666699</v>
      </c>
      <c r="M8">
        <v>7.1172256749999996E-2</v>
      </c>
      <c r="N8">
        <v>818.07191666666699</v>
      </c>
      <c r="O8">
        <v>7.1172256749999996E-2</v>
      </c>
      <c r="P8" s="1" t="s">
        <v>43</v>
      </c>
    </row>
    <row r="9" spans="1:16" ht="30" x14ac:dyDescent="0.25">
      <c r="A9" t="s">
        <v>102</v>
      </c>
      <c r="B9" t="s">
        <v>50</v>
      </c>
      <c r="C9" t="s">
        <v>101</v>
      </c>
      <c r="D9" t="s">
        <v>19</v>
      </c>
      <c r="E9" t="s">
        <v>20</v>
      </c>
      <c r="F9" t="s">
        <v>21</v>
      </c>
      <c r="G9" t="s">
        <v>42</v>
      </c>
      <c r="H9" t="b">
        <v>1</v>
      </c>
      <c r="I9">
        <v>10</v>
      </c>
      <c r="J9">
        <v>5</v>
      </c>
      <c r="L9">
        <v>15.707986111111101</v>
      </c>
      <c r="M9">
        <v>2.9897009965277801E-3</v>
      </c>
      <c r="N9">
        <v>15.707986111111101</v>
      </c>
      <c r="O9">
        <v>2.9897009965277801E-3</v>
      </c>
      <c r="P9" s="1" t="s">
        <v>43</v>
      </c>
    </row>
    <row r="10" spans="1:16" ht="30" x14ac:dyDescent="0.25">
      <c r="A10" t="s">
        <v>119</v>
      </c>
      <c r="B10" t="s">
        <v>17</v>
      </c>
      <c r="C10" t="s">
        <v>114</v>
      </c>
      <c r="D10" t="s">
        <v>19</v>
      </c>
      <c r="E10" t="s">
        <v>20</v>
      </c>
      <c r="F10" t="s">
        <v>29</v>
      </c>
      <c r="G10" t="s">
        <v>52</v>
      </c>
      <c r="H10" t="b">
        <v>1</v>
      </c>
      <c r="I10">
        <v>10</v>
      </c>
      <c r="J10">
        <v>10</v>
      </c>
      <c r="L10">
        <v>1</v>
      </c>
      <c r="M10">
        <v>8.7000000000000001E-5</v>
      </c>
      <c r="N10">
        <v>1</v>
      </c>
      <c r="O10">
        <v>8.7000000000000001E-5</v>
      </c>
      <c r="P10" s="1" t="s">
        <v>43</v>
      </c>
    </row>
    <row r="11" spans="1:16" ht="30" x14ac:dyDescent="0.25">
      <c r="A11" t="s">
        <v>128</v>
      </c>
      <c r="B11" t="s">
        <v>80</v>
      </c>
      <c r="C11" t="s">
        <v>125</v>
      </c>
      <c r="D11" t="s">
        <v>19</v>
      </c>
      <c r="E11" t="s">
        <v>20</v>
      </c>
      <c r="F11" t="s">
        <v>29</v>
      </c>
      <c r="G11" t="s">
        <v>42</v>
      </c>
      <c r="H11" t="b">
        <v>1</v>
      </c>
      <c r="I11">
        <v>10</v>
      </c>
      <c r="J11">
        <v>39.5</v>
      </c>
      <c r="L11">
        <v>7.9</v>
      </c>
      <c r="M11">
        <v>1.5036069999999999E-3</v>
      </c>
      <c r="N11">
        <v>7.9</v>
      </c>
      <c r="O11">
        <v>1.5036069999999999E-3</v>
      </c>
      <c r="P11" s="1" t="s">
        <v>43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workbookViewId="0"/>
  </sheetViews>
  <sheetFormatPr defaultRowHeight="15" x14ac:dyDescent="0.25"/>
  <cols>
    <col min="1" max="1" width="24" customWidth="1"/>
    <col min="2" max="2" width="32.140625" customWidth="1"/>
  </cols>
  <sheetData>
    <row r="1" spans="1:4" x14ac:dyDescent="0.25">
      <c r="A1" s="2" t="s">
        <v>129</v>
      </c>
      <c r="B1" s="2" t="s">
        <v>130</v>
      </c>
    </row>
    <row r="2" spans="1:4" x14ac:dyDescent="0.25">
      <c r="A2" s="3" t="s">
        <v>131</v>
      </c>
      <c r="B2" s="3" t="s">
        <v>131</v>
      </c>
    </row>
    <row r="3" spans="1:4" x14ac:dyDescent="0.25">
      <c r="A3" s="4" t="s">
        <v>132</v>
      </c>
      <c r="B3" s="4" t="s">
        <v>133</v>
      </c>
    </row>
    <row r="4" spans="1:4" x14ac:dyDescent="0.25">
      <c r="A4" s="5" t="s">
        <v>134</v>
      </c>
      <c r="B4" s="5" t="s">
        <v>135</v>
      </c>
    </row>
    <row r="8" spans="1:4" x14ac:dyDescent="0.25">
      <c r="C8" s="6" t="s">
        <v>149</v>
      </c>
      <c r="D8" s="6" t="s">
        <v>150</v>
      </c>
    </row>
    <row r="9" spans="1:4" x14ac:dyDescent="0.25">
      <c r="C9" t="s">
        <v>19</v>
      </c>
    </row>
    <row r="10" spans="1:4" x14ac:dyDescent="0.25">
      <c r="A10" s="6" t="s">
        <v>1</v>
      </c>
      <c r="B10" s="6" t="s">
        <v>2</v>
      </c>
      <c r="C10" t="s">
        <v>12</v>
      </c>
      <c r="D10" t="s">
        <v>14</v>
      </c>
    </row>
    <row r="11" spans="1:4" x14ac:dyDescent="0.25">
      <c r="A11" t="s">
        <v>17</v>
      </c>
      <c r="B11" t="s">
        <v>18</v>
      </c>
      <c r="C11">
        <v>2.018240595486108E-3</v>
      </c>
      <c r="D11">
        <v>0</v>
      </c>
    </row>
    <row r="12" spans="1:4" x14ac:dyDescent="0.25">
      <c r="B12" t="s">
        <v>28</v>
      </c>
      <c r="C12">
        <v>1.0187441E-2</v>
      </c>
      <c r="D12">
        <v>9.6395509999999997E-3</v>
      </c>
    </row>
    <row r="13" spans="1:4" x14ac:dyDescent="0.25">
      <c r="B13" t="s">
        <v>46</v>
      </c>
      <c r="C13">
        <v>7.378983555555556E-3</v>
      </c>
      <c r="D13">
        <v>3.4871729166666599E-3</v>
      </c>
    </row>
    <row r="14" spans="1:4" x14ac:dyDescent="0.25">
      <c r="B14" t="s">
        <v>89</v>
      </c>
      <c r="C14">
        <v>2.3972910999999996E-2</v>
      </c>
      <c r="D14">
        <v>2.3371700999999998E-2</v>
      </c>
    </row>
    <row r="15" spans="1:4" x14ac:dyDescent="0.25">
      <c r="B15" t="s">
        <v>114</v>
      </c>
      <c r="C15">
        <v>2.5492574999999996E-2</v>
      </c>
      <c r="D15">
        <v>2.5340099999999997E-2</v>
      </c>
    </row>
    <row r="16" spans="1:4" x14ac:dyDescent="0.25">
      <c r="A16" t="s">
        <v>50</v>
      </c>
      <c r="B16" t="s">
        <v>51</v>
      </c>
      <c r="C16">
        <v>8.3704342000000001E-2</v>
      </c>
      <c r="D16">
        <v>8.3703042000000005E-2</v>
      </c>
    </row>
    <row r="17" spans="1:4" x14ac:dyDescent="0.25">
      <c r="B17" t="s">
        <v>101</v>
      </c>
      <c r="C17">
        <v>7.5462578996527765E-2</v>
      </c>
      <c r="D17">
        <v>7.4161957746527771E-2</v>
      </c>
    </row>
    <row r="18" spans="1:4" x14ac:dyDescent="0.25">
      <c r="A18" t="s">
        <v>63</v>
      </c>
      <c r="B18" t="s">
        <v>64</v>
      </c>
      <c r="C18">
        <v>0.12336490899999999</v>
      </c>
      <c r="D18">
        <v>0.12301715900000001</v>
      </c>
    </row>
    <row r="19" spans="1:4" x14ac:dyDescent="0.25">
      <c r="A19" t="s">
        <v>80</v>
      </c>
      <c r="B19" t="s">
        <v>81</v>
      </c>
      <c r="C19">
        <v>7.1791879999999995E-3</v>
      </c>
      <c r="D19">
        <v>7.1607879999999995E-3</v>
      </c>
    </row>
    <row r="20" spans="1:4" x14ac:dyDescent="0.25">
      <c r="B20" t="s">
        <v>97</v>
      </c>
      <c r="C20">
        <v>9.4963519999999996E-3</v>
      </c>
      <c r="D20">
        <v>9.4963519999999996E-3</v>
      </c>
    </row>
    <row r="21" spans="1:4" x14ac:dyDescent="0.25">
      <c r="B21" t="s">
        <v>122</v>
      </c>
      <c r="C21">
        <v>1.322E-3</v>
      </c>
      <c r="D21">
        <v>1.322E-3</v>
      </c>
    </row>
    <row r="22" spans="1:4" x14ac:dyDescent="0.25">
      <c r="B22" t="s">
        <v>125</v>
      </c>
      <c r="C22">
        <v>1.4046139000000001E-2</v>
      </c>
      <c r="D22">
        <v>1.3669339000000001E-2</v>
      </c>
    </row>
    <row r="23" spans="1:4" x14ac:dyDescent="0.25">
      <c r="A23" t="s">
        <v>105</v>
      </c>
      <c r="B23" t="s">
        <v>106</v>
      </c>
      <c r="C23">
        <v>5.8227689999999993E-3</v>
      </c>
      <c r="D23">
        <v>5.1532779999999999E-3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1"/>
  <sheetViews>
    <sheetView workbookViewId="0"/>
  </sheetViews>
  <sheetFormatPr defaultRowHeight="15" x14ac:dyDescent="0.25"/>
  <cols>
    <col min="1" max="1" width="24.5703125" customWidth="1"/>
    <col min="2" max="2" width="33.7109375" customWidth="1"/>
    <col min="3" max="3" width="31.42578125" customWidth="1"/>
    <col min="4" max="4" width="29.5703125" customWidth="1"/>
  </cols>
  <sheetData>
    <row r="1" spans="1:4" x14ac:dyDescent="0.25">
      <c r="A1" s="2" t="s">
        <v>136</v>
      </c>
      <c r="B1" s="2" t="s">
        <v>137</v>
      </c>
      <c r="C1" s="2" t="s">
        <v>138</v>
      </c>
      <c r="D1" s="2" t="s">
        <v>139</v>
      </c>
    </row>
    <row r="2" spans="1:4" x14ac:dyDescent="0.25">
      <c r="A2" s="3" t="s">
        <v>140</v>
      </c>
      <c r="B2" s="3" t="s">
        <v>140</v>
      </c>
      <c r="C2" s="3" t="s">
        <v>140</v>
      </c>
      <c r="D2" s="3" t="s">
        <v>140</v>
      </c>
    </row>
    <row r="3" spans="1:4" x14ac:dyDescent="0.25">
      <c r="A3" s="4" t="s">
        <v>141</v>
      </c>
      <c r="B3" s="4" t="s">
        <v>142</v>
      </c>
      <c r="C3" s="4" t="s">
        <v>143</v>
      </c>
      <c r="D3" s="4" t="s">
        <v>144</v>
      </c>
    </row>
    <row r="4" spans="1:4" x14ac:dyDescent="0.25">
      <c r="A4" s="5" t="s">
        <v>145</v>
      </c>
      <c r="B4" s="5" t="s">
        <v>146</v>
      </c>
      <c r="C4" s="5" t="s">
        <v>147</v>
      </c>
      <c r="D4" s="5" t="s">
        <v>148</v>
      </c>
    </row>
    <row r="8" spans="1:4" x14ac:dyDescent="0.25">
      <c r="A8" s="6" t="s">
        <v>11</v>
      </c>
      <c r="C8" s="6" t="s">
        <v>149</v>
      </c>
      <c r="D8" s="6" t="s">
        <v>15</v>
      </c>
    </row>
    <row r="9" spans="1:4" x14ac:dyDescent="0.25">
      <c r="C9" t="s">
        <v>19</v>
      </c>
    </row>
    <row r="10" spans="1:4" x14ac:dyDescent="0.25">
      <c r="A10" s="6" t="s">
        <v>1</v>
      </c>
      <c r="B10" s="6" t="s">
        <v>2</v>
      </c>
      <c r="C10" t="s">
        <v>43</v>
      </c>
    </row>
    <row r="11" spans="1:4" x14ac:dyDescent="0.25">
      <c r="A11" t="s">
        <v>17</v>
      </c>
      <c r="B11" t="s">
        <v>28</v>
      </c>
      <c r="C11">
        <v>4.7</v>
      </c>
    </row>
    <row r="12" spans="1:4" x14ac:dyDescent="0.25">
      <c r="B12" t="s">
        <v>89</v>
      </c>
      <c r="C12">
        <v>49</v>
      </c>
    </row>
    <row r="13" spans="1:4" x14ac:dyDescent="0.25">
      <c r="B13" t="s">
        <v>114</v>
      </c>
      <c r="C13">
        <v>1</v>
      </c>
    </row>
    <row r="14" spans="1:4" x14ac:dyDescent="0.25">
      <c r="A14" t="s">
        <v>50</v>
      </c>
      <c r="B14" t="s">
        <v>51</v>
      </c>
      <c r="C14">
        <v>850.34</v>
      </c>
    </row>
    <row r="15" spans="1:4" x14ac:dyDescent="0.25">
      <c r="B15" t="s">
        <v>101</v>
      </c>
      <c r="C15">
        <v>833.77990277777815</v>
      </c>
    </row>
    <row r="16" spans="1:4" x14ac:dyDescent="0.25">
      <c r="A16" t="s">
        <v>80</v>
      </c>
      <c r="B16" t="s">
        <v>81</v>
      </c>
      <c r="C16">
        <v>8.9</v>
      </c>
    </row>
    <row r="17" spans="1:3" x14ac:dyDescent="0.25">
      <c r="B17" t="s">
        <v>97</v>
      </c>
      <c r="C17">
        <v>26.4</v>
      </c>
    </row>
    <row r="18" spans="1:3" x14ac:dyDescent="0.25">
      <c r="B18" t="s">
        <v>125</v>
      </c>
      <c r="C18">
        <v>7.9</v>
      </c>
    </row>
    <row r="30" spans="1:3" x14ac:dyDescent="0.25">
      <c r="A30" s="2" t="s">
        <v>129</v>
      </c>
    </row>
    <row r="31" spans="1:3" x14ac:dyDescent="0.25">
      <c r="A31" s="3" t="s">
        <v>131</v>
      </c>
    </row>
    <row r="32" spans="1:3" x14ac:dyDescent="0.25">
      <c r="A32" s="4" t="s">
        <v>132</v>
      </c>
    </row>
    <row r="33" spans="1:3" x14ac:dyDescent="0.25">
      <c r="A33" s="5" t="s">
        <v>134</v>
      </c>
    </row>
    <row r="37" spans="1:3" x14ac:dyDescent="0.25">
      <c r="A37" s="6" t="s">
        <v>12</v>
      </c>
      <c r="C37" s="6" t="s">
        <v>149</v>
      </c>
    </row>
    <row r="38" spans="1:3" x14ac:dyDescent="0.25">
      <c r="A38" s="6" t="s">
        <v>1</v>
      </c>
      <c r="B38" s="6" t="s">
        <v>2</v>
      </c>
      <c r="C38" t="s">
        <v>19</v>
      </c>
    </row>
    <row r="39" spans="1:3" x14ac:dyDescent="0.25">
      <c r="A39" t="s">
        <v>17</v>
      </c>
      <c r="B39" t="s">
        <v>18</v>
      </c>
      <c r="C39">
        <v>2.018240595486108E-3</v>
      </c>
    </row>
    <row r="40" spans="1:3" x14ac:dyDescent="0.25">
      <c r="B40" t="s">
        <v>28</v>
      </c>
      <c r="C40">
        <v>1.0187441E-2</v>
      </c>
    </row>
    <row r="41" spans="1:3" x14ac:dyDescent="0.25">
      <c r="B41" t="s">
        <v>46</v>
      </c>
      <c r="C41">
        <v>7.378983555555556E-3</v>
      </c>
    </row>
    <row r="42" spans="1:3" x14ac:dyDescent="0.25">
      <c r="B42" t="s">
        <v>89</v>
      </c>
      <c r="C42">
        <v>2.3972910999999996E-2</v>
      </c>
    </row>
    <row r="43" spans="1:3" x14ac:dyDescent="0.25">
      <c r="B43" t="s">
        <v>114</v>
      </c>
      <c r="C43">
        <v>2.5492574999999996E-2</v>
      </c>
    </row>
    <row r="44" spans="1:3" x14ac:dyDescent="0.25">
      <c r="A44" t="s">
        <v>50</v>
      </c>
      <c r="B44" t="s">
        <v>51</v>
      </c>
      <c r="C44">
        <v>8.3704342000000001E-2</v>
      </c>
    </row>
    <row r="45" spans="1:3" x14ac:dyDescent="0.25">
      <c r="B45" t="s">
        <v>101</v>
      </c>
      <c r="C45">
        <v>7.5462578996527765E-2</v>
      </c>
    </row>
    <row r="46" spans="1:3" x14ac:dyDescent="0.25">
      <c r="A46" t="s">
        <v>63</v>
      </c>
      <c r="B46" t="s">
        <v>64</v>
      </c>
      <c r="C46">
        <v>0.12336490899999999</v>
      </c>
    </row>
    <row r="47" spans="1:3" x14ac:dyDescent="0.25">
      <c r="A47" t="s">
        <v>80</v>
      </c>
      <c r="B47" t="s">
        <v>81</v>
      </c>
      <c r="C47">
        <v>7.1791879999999995E-3</v>
      </c>
    </row>
    <row r="48" spans="1:3" x14ac:dyDescent="0.25">
      <c r="B48" t="s">
        <v>97</v>
      </c>
      <c r="C48">
        <v>9.4963519999999996E-3</v>
      </c>
    </row>
    <row r="49" spans="1:3" x14ac:dyDescent="0.25">
      <c r="B49" t="s">
        <v>122</v>
      </c>
      <c r="C49">
        <v>1.322E-3</v>
      </c>
    </row>
    <row r="50" spans="1:3" x14ac:dyDescent="0.25">
      <c r="B50" t="s">
        <v>125</v>
      </c>
      <c r="C50">
        <v>1.4046139000000001E-2</v>
      </c>
    </row>
    <row r="51" spans="1:3" x14ac:dyDescent="0.25">
      <c r="A51" t="s">
        <v>105</v>
      </c>
      <c r="B51" t="s">
        <v>106</v>
      </c>
      <c r="C51">
        <v>5.8227689999999993E-3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Lakes Data</vt:lpstr>
      <vt:lpstr>Toxin Data</vt:lpstr>
      <vt:lpstr>Warnings</vt:lpstr>
      <vt:lpstr>Warnings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 Raeburn</cp:lastModifiedBy>
  <dcterms:created xsi:type="dcterms:W3CDTF">2025-05-08T02:39:18Z</dcterms:created>
  <dcterms:modified xsi:type="dcterms:W3CDTF">2025-05-08T02:39:32Z</dcterms:modified>
</cp:coreProperties>
</file>