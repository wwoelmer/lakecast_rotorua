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oprc-my.sharepoint.com/personal/amber_sutherland_boprc_govt_nz/Documents/Desktop/Amber Sutherland 2025-2026/Cyanobacteria weekly results 2025-2026/"/>
    </mc:Choice>
  </mc:AlternateContent>
  <xr:revisionPtr revIDLastSave="0" documentId="8_{A29F5DEB-9743-41A5-9186-5251D0B6DC40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Lakes Data" sheetId="2" r:id="rId1"/>
    <sheet name="Toxin Data" sheetId="3" r:id="rId2"/>
    <sheet name="Warnings" sheetId="4" r:id="rId3"/>
    <sheet name="Warnings New" sheetId="5" r:id="rId4"/>
  </sheets>
  <calcPr calcId="0"/>
  <pivotCaches>
    <pivotCache cacheId="8" r:id="rId5"/>
    <pivotCache cacheId="15" r:id="rId6"/>
    <pivotCache cacheId="21" r:id="rId7"/>
  </pivotCaches>
</workbook>
</file>

<file path=xl/sharedStrings.xml><?xml version="1.0" encoding="utf-8"?>
<sst xmlns="http://schemas.openxmlformats.org/spreadsheetml/2006/main" count="507" uniqueCount="130">
  <si>
    <t>SampleId</t>
  </si>
  <si>
    <t>Location</t>
  </si>
  <si>
    <t>Site</t>
  </si>
  <si>
    <t>SampleDate</t>
  </si>
  <si>
    <t>MicroscopeType</t>
  </si>
  <si>
    <t>WholePlate</t>
  </si>
  <si>
    <t>Species</t>
  </si>
  <si>
    <t>IsSpeciesToxic</t>
  </si>
  <si>
    <t>VolumeInMillilitres</t>
  </si>
  <si>
    <t>Average</t>
  </si>
  <si>
    <t>NumberOfColonies</t>
  </si>
  <si>
    <t>CellsPerMl</t>
  </si>
  <si>
    <t>TotalBioVolume</t>
  </si>
  <si>
    <t>PotentiallyToxicCellMl</t>
  </si>
  <si>
    <t>PotentiallyToxicBioVolume</t>
  </si>
  <si>
    <t>ToxinCluster</t>
  </si>
  <si>
    <t>5733.1</t>
  </si>
  <si>
    <t>Rotorua</t>
  </si>
  <si>
    <t>Hamurana</t>
  </si>
  <si>
    <t>24/11/2025</t>
  </si>
  <si>
    <t>20A</t>
  </si>
  <si>
    <t>160</t>
  </si>
  <si>
    <t>Dolichospermum circinale</t>
  </si>
  <si>
    <t>5733.2</t>
  </si>
  <si>
    <t>Pseudanabaena sp.</t>
  </si>
  <si>
    <t>5733.3</t>
  </si>
  <si>
    <t>Dolichospermum planctonicum </t>
  </si>
  <si>
    <t>5733.4</t>
  </si>
  <si>
    <t>Dolichospermum spiroides</t>
  </si>
  <si>
    <t>5734.1</t>
  </si>
  <si>
    <t>Holdens Bay</t>
  </si>
  <si>
    <t>5734.2</t>
  </si>
  <si>
    <t>Aphanocapsa sp</t>
  </si>
  <si>
    <t>5734.3</t>
  </si>
  <si>
    <t>5734.4</t>
  </si>
  <si>
    <t>5734.5</t>
  </si>
  <si>
    <t>5734.6</t>
  </si>
  <si>
    <t>Dolichospermum lemmermannii</t>
  </si>
  <si>
    <t>5735.1</t>
  </si>
  <si>
    <t>Kaituna</t>
  </si>
  <si>
    <t>Trout Pool</t>
  </si>
  <si>
    <t>5735.2</t>
  </si>
  <si>
    <t>Oscillatoria sp</t>
  </si>
  <si>
    <t>5735.3</t>
  </si>
  <si>
    <t>5735.4</t>
  </si>
  <si>
    <t>Planktothrix sp</t>
  </si>
  <si>
    <t>5735.5</t>
  </si>
  <si>
    <t>5735.6</t>
  </si>
  <si>
    <t>5735.7</t>
  </si>
  <si>
    <t>Pseudanabaena galeata (cylinder)</t>
  </si>
  <si>
    <t>5736.1</t>
  </si>
  <si>
    <t>Ngongotaha</t>
  </si>
  <si>
    <t>5736.2</t>
  </si>
  <si>
    <t>5736.3</t>
  </si>
  <si>
    <t>5737.1</t>
  </si>
  <si>
    <t>Ohau Channel</t>
  </si>
  <si>
    <t>5737.2</t>
  </si>
  <si>
    <t>5737.3</t>
  </si>
  <si>
    <t>Dolichospermum smithii</t>
  </si>
  <si>
    <t>5738.1</t>
  </si>
  <si>
    <t>Rotoiti</t>
  </si>
  <si>
    <t>Okere Arm</t>
  </si>
  <si>
    <t>5738.2</t>
  </si>
  <si>
    <t>5738.3</t>
  </si>
  <si>
    <t>5738.4</t>
  </si>
  <si>
    <t>5738.5</t>
  </si>
  <si>
    <t>Microcystis wesenbergii</t>
  </si>
  <si>
    <t xml:space="preserve">Microcystis spp.
</t>
  </si>
  <si>
    <t>5739.1</t>
  </si>
  <si>
    <t>Okawa Bay</t>
  </si>
  <si>
    <t>5739.2</t>
  </si>
  <si>
    <t>5739.3</t>
  </si>
  <si>
    <t xml:space="preserve">Dolichospermum flos-aquae
</t>
  </si>
  <si>
    <t>5739.4</t>
  </si>
  <si>
    <t>5739.5</t>
  </si>
  <si>
    <t>5739.6</t>
  </si>
  <si>
    <t>Pseudanabaena limnetica (cylinder)</t>
  </si>
  <si>
    <t>5740.1</t>
  </si>
  <si>
    <t>Lake Okaro</t>
  </si>
  <si>
    <t>Boat ramp</t>
  </si>
  <si>
    <t>17</t>
  </si>
  <si>
    <t>5740.2</t>
  </si>
  <si>
    <t>5740.3</t>
  </si>
  <si>
    <t>Woronichinia naegeliana</t>
  </si>
  <si>
    <t>5740.4</t>
  </si>
  <si>
    <t>5741.1</t>
  </si>
  <si>
    <t>Rotoehu</t>
  </si>
  <si>
    <t>Kennedy Bay</t>
  </si>
  <si>
    <t>Dolichospermum sp</t>
  </si>
  <si>
    <t>5742.1</t>
  </si>
  <si>
    <t>Otautu</t>
  </si>
  <si>
    <t>Whole Plate</t>
  </si>
  <si>
    <t>5742.2</t>
  </si>
  <si>
    <t>5742.3</t>
  </si>
  <si>
    <t>5742.4</t>
  </si>
  <si>
    <t>5743.1</t>
  </si>
  <si>
    <t>Hinehopu</t>
  </si>
  <si>
    <t>5743.2</t>
  </si>
  <si>
    <t>5743.3</t>
  </si>
  <si>
    <t>5744.1</t>
  </si>
  <si>
    <t>Te Weta</t>
  </si>
  <si>
    <t>5744.2</t>
  </si>
  <si>
    <t>5744.3</t>
  </si>
  <si>
    <t>5744.4</t>
  </si>
  <si>
    <t>5745.1</t>
  </si>
  <si>
    <t>Otaramarae</t>
  </si>
  <si>
    <t>5745.2</t>
  </si>
  <si>
    <t>5745.3</t>
  </si>
  <si>
    <t>Total Biovolume (mm3/L)</t>
  </si>
  <si>
    <t>Potential toxic Biovolume (mm3/L)</t>
  </si>
  <si>
    <t>&lt; 0.5</t>
  </si>
  <si>
    <t>0.5 - 9.99</t>
  </si>
  <si>
    <t>0.5 - 1.8</t>
  </si>
  <si>
    <t>&gt;= 10</t>
  </si>
  <si>
    <t>&gt; 1.8</t>
  </si>
  <si>
    <t>Mycrocystis spp (cells/mL)</t>
  </si>
  <si>
    <t>Cuspidothrix issatschenkoi (cells/mL)</t>
  </si>
  <si>
    <t>Raphidiopsis raciborskii (cells/mL)</t>
  </si>
  <si>
    <t>Nodularia spumigena (cells/mL)</t>
  </si>
  <si>
    <t>&lt; 500</t>
  </si>
  <si>
    <t>500 to &lt; 30000</t>
  </si>
  <si>
    <t>500 to &lt; 100000</t>
  </si>
  <si>
    <t>500 to &lt; 5000</t>
  </si>
  <si>
    <t>500 to &lt; 10000</t>
  </si>
  <si>
    <t>&gt;= 30000</t>
  </si>
  <si>
    <t>&gt;= 100000</t>
  </si>
  <si>
    <t>&gt;= 5000</t>
  </si>
  <si>
    <t>&gt;= 10000</t>
  </si>
  <si>
    <t>Dates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</si>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</sst>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 x14ac:knownFonts="1">
    <font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ADFF2F"/>
      </patternFill>
    </fill>
    <fill>
      <patternFill patternType="solid">
        <fgColor rgb="FFFFA500"/>
      </patternFill>
    </fill>
    <fill>
      <patternFill patternType="solid">
        <fgColor rgb="FFFF0000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FF3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1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0" fontId="1" fillId="2" borderId="0" xfId="0" applyNumberFormat="1" applyFont="1" applyFill="1" applyAlignment="1" applyProtection="1"/>
    <xf numFmtId="0" fontId="1" fillId="3" borderId="0" xfId="0" applyNumberFormat="1" applyFont="1" applyFill="1" applyAlignment="1" applyProtection="1"/>
    <xf numFmtId="0" fontId="1" fillId="4" borderId="0" xfId="0" applyNumberFormat="1" applyFont="1" applyFill="1" applyAlignment="1" applyProtection="1"/>
    <xf numFmtId="0" fontId="1" fillId="5" borderId="0" xfId="0" applyNumberFormat="1" applyFont="1" applyFill="1" applyAlignment="1" applyProtection="1"/>
    <xf numFmtId="0" fontId="0" fillId="0" borderId="0" xfId="0" pivotButton="1" applyNumberFormat="1" applyFill="1" applyAlignment="1" applyProtection="1"/>
    <xf numFmtId="168" fontId="0" fillId="6" borderId="0" xfId="0" applyNumberFormat="1" applyFill="1" applyAlignment="1" applyProtection="1"/>
    <xf numFmtId="168" fontId="0" fillId="7" borderId="0" xfId="0" applyNumberFormat="1" applyFill="1" applyAlignment="1" applyProtection="1"/>
    <xf numFmtId="168" fontId="0" fillId="8" borderId="0" xfId="0" applyNumberFormat="1" applyFill="1" applyAlignment="1" applyProtection="1"/>
    <xf numFmtId="0" fontId="0" fillId="8" borderId="0" xfId="0" applyNumberFormat="1" applyFill="1" applyAlignment="1" applyProtection="1"/>
  </cellXfs>
  <cellStyles count="1">
    <cellStyle name="Normal" xfId="0" builtinId="0"/>
  </cellStyles>
  <dxfs count="17"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numFmt numFmtId="167" formatCode="0.0000"/>
    </dxf>
    <dxf>
      <numFmt numFmtId="168" formatCode="0.000"/>
    </dxf>
    <dxf>
      <numFmt numFmtId="166" formatCode="0.00000"/>
    </dxf>
    <dxf>
      <numFmt numFmtId="165" formatCode="0.000000"/>
    </dxf>
    <dxf>
      <numFmt numFmtId="164" formatCode="0.0000000"/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mber Sutherland" refreshedDate="45988.441029745372" refreshedVersion="8" recordCount="53" xr:uid="{00000000-000A-0000-FFFF-FFFF02000000}">
  <cacheSource type="worksheet">
    <worksheetSource ref="A1:P54" sheet="Lakes Data"/>
  </cacheSource>
  <cacheFields count="16">
    <cacheField name="SampleId" numFmtId="0">
      <sharedItems/>
    </cacheField>
    <cacheField name="Location" numFmtId="0">
      <sharedItems count="5">
        <s v="Rotorua"/>
        <s v="Kaituna"/>
        <s v="Rotoiti"/>
        <s v="Lake Okaro"/>
        <s v="Rotoehu"/>
      </sharedItems>
    </cacheField>
    <cacheField name="Site" numFmtId="0">
      <sharedItems count="13">
        <s v="Hamurana"/>
        <s v="Holdens Bay"/>
        <s v="Trout Pool"/>
        <s v="Ngongotaha"/>
        <s v="Ohau Channel"/>
        <s v="Okere Arm"/>
        <s v="Okawa Bay"/>
        <s v="Boat ramp"/>
        <s v="Kennedy Bay"/>
        <s v="Otautu"/>
        <s v="Hinehopu"/>
        <s v="Te Weta"/>
        <s v="Otaramarae"/>
      </sharedItems>
    </cacheField>
    <cacheField name="SampleDate" numFmtId="0">
      <sharedItems count="1">
        <s v="24/11/2025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6" maxValue="170"/>
    </cacheField>
    <cacheField name="NumberOfColonies" numFmtId="0">
      <sharedItems containsString="0" containsBlank="1" containsNumber="1" containsInteger="1" minValue="25" maxValue="229"/>
    </cacheField>
    <cacheField name="CellsPerMl" numFmtId="0">
      <sharedItems containsSemiMixedTypes="0" containsString="0" containsNumber="1" minValue="0.6" maxValue="75043.517647058805"/>
    </cacheField>
    <cacheField name="TotalBioVolume" numFmtId="0">
      <sharedItems containsSemiMixedTypes="0" containsString="0" containsNumber="1" minValue="0" maxValue="43.198050498352899"/>
    </cacheField>
    <cacheField name="PotentiallyToxicCellMl" numFmtId="0">
      <sharedItems containsSemiMixedTypes="0" containsString="0" containsNumber="1" minValue="0" maxValue="75043.517647058805"/>
    </cacheField>
    <cacheField name="PotentiallyToxicBioVolume" numFmtId="0">
      <sharedItems containsSemiMixedTypes="0" containsString="0" containsNumber="1" minValue="0" maxValue="43.198050498352899"/>
    </cacheField>
    <cacheField name="ToxinClus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mber Sutherland" refreshedDate="45988.44102997685" refreshedVersion="8" recordCount="2" xr:uid="{00000000-000A-0000-FFFF-FFFF01000000}">
  <cacheSource type="worksheet">
    <worksheetSource ref="A1:P3" sheet="Toxin Data"/>
  </cacheSource>
  <cacheFields count="16">
    <cacheField name="SampleId" numFmtId="0">
      <sharedItems/>
    </cacheField>
    <cacheField name="Location" numFmtId="0">
      <sharedItems count="1">
        <s v="Rotoiti"/>
      </sharedItems>
    </cacheField>
    <cacheField name="Site" numFmtId="0">
      <sharedItems count="2">
        <s v="Okere Arm"/>
        <s v="Te Weta"/>
      </sharedItems>
    </cacheField>
    <cacheField name="SampleDate" numFmtId="0">
      <sharedItems count="1">
        <s v="24/11/2025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containsInteger="1" minValue="28" maxValue="109"/>
    </cacheField>
    <cacheField name="NumberOfColonies" numFmtId="0">
      <sharedItems containsNonDate="0" containsString="0" containsBlank="1"/>
    </cacheField>
    <cacheField name="CellsPerMl" numFmtId="0">
      <sharedItems containsSemiMixedTypes="0" containsString="0" containsNumber="1" minValue="2.8" maxValue="342.43409722222202"/>
    </cacheField>
    <cacheField name="TotalBioVolume" numFmtId="0">
      <sharedItems containsSemiMixedTypes="0" containsString="0" containsNumber="1" minValue="5.3292400000000005E-4" maxValue="6.5175481724305498E-2"/>
    </cacheField>
    <cacheField name="PotentiallyToxicCellMl" numFmtId="0">
      <sharedItems containsSemiMixedTypes="0" containsString="0" containsNumber="1" minValue="2.8" maxValue="342.43409722222202"/>
    </cacheField>
    <cacheField name="PotentiallyToxicBioVolume" numFmtId="0">
      <sharedItems containsSemiMixedTypes="0" containsString="0" containsNumber="1" minValue="5.3292400000000005E-4" maxValue="6.5175481724305498E-2"/>
    </cacheField>
    <cacheField name="ToxinCluster" numFmtId="0">
      <sharedItems count="2">
        <s v="Microcystis spp._x000a_"/>
        <s v="Microcystis spp._x000d__x000a_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mber Sutherland" refreshedDate="45988.44102997685" refreshedVersion="8" recordCount="53" xr:uid="{00000000-000A-0000-FFFF-FFFF00000000}">
  <cacheSource type="worksheet">
    <worksheetSource ref="A1:P54" sheet="Lakes Data"/>
  </cacheSource>
  <cacheFields count="16">
    <cacheField name="SampleId" numFmtId="0">
      <sharedItems/>
    </cacheField>
    <cacheField name="Location" numFmtId="0">
      <sharedItems count="5">
        <s v="Rotorua"/>
        <s v="Kaituna"/>
        <s v="Rotoiti"/>
        <s v="Lake Okaro"/>
        <s v="Rotoehu"/>
      </sharedItems>
    </cacheField>
    <cacheField name="Site" numFmtId="0">
      <sharedItems count="13">
        <s v="Hamurana"/>
        <s v="Holdens Bay"/>
        <s v="Trout Pool"/>
        <s v="Ngongotaha"/>
        <s v="Ohau Channel"/>
        <s v="Okere Arm"/>
        <s v="Okawa Bay"/>
        <s v="Boat ramp"/>
        <s v="Kennedy Bay"/>
        <s v="Otautu"/>
        <s v="Hinehopu"/>
        <s v="Te Weta"/>
        <s v="Otaramarae"/>
      </sharedItems>
    </cacheField>
    <cacheField name="SampleDate" numFmtId="0">
      <sharedItems count="1">
        <s v="24/11/2025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6" maxValue="170"/>
    </cacheField>
    <cacheField name="NumberOfColonies" numFmtId="0">
      <sharedItems containsString="0" containsBlank="1" containsNumber="1" containsInteger="1" minValue="25" maxValue="229"/>
    </cacheField>
    <cacheField name="CellsPerMl" numFmtId="0">
      <sharedItems containsSemiMixedTypes="0" containsString="0" containsNumber="1" minValue="0.6" maxValue="75043.517647058805"/>
    </cacheField>
    <cacheField name="TotalBioVolume" numFmtId="0">
      <sharedItems containsSemiMixedTypes="0" containsString="0" containsNumber="1" minValue="0" maxValue="43.198050498352899"/>
    </cacheField>
    <cacheField name="PotentiallyToxicCellMl" numFmtId="0">
      <sharedItems containsSemiMixedTypes="0" containsString="0" containsNumber="1" minValue="0" maxValue="75043.517647058805"/>
    </cacheField>
    <cacheField name="PotentiallyToxicBioVolume" numFmtId="0">
      <sharedItems containsSemiMixedTypes="0" containsString="0" containsNumber="1" minValue="0" maxValue="43.198050498352899"/>
    </cacheField>
    <cacheField name="ToxinClus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s v="5733.1"/>
    <x v="0"/>
    <x v="0"/>
    <x v="0"/>
    <s v="20A"/>
    <s v="160"/>
    <s v="Dolichospermum circinale"/>
    <b v="1"/>
    <n v="10"/>
    <n v="43.15"/>
    <n v="192"/>
    <n v="28738.7030694444"/>
    <n v="16.543147034895"/>
    <n v="28738.7030694444"/>
    <n v="16.543147034895"/>
    <m/>
  </r>
  <r>
    <s v="5733.2"/>
    <x v="0"/>
    <x v="0"/>
    <x v="0"/>
    <s v="20A"/>
    <s v="160"/>
    <s v="Pseudanabaena sp."/>
    <b v="1"/>
    <n v="10"/>
    <n v="6"/>
    <m/>
    <n v="37.699166666666699"/>
    <n v="1.4702675000000001E-3"/>
    <n v="37.699166666666699"/>
    <n v="1.4702675000000001E-3"/>
    <m/>
  </r>
  <r>
    <s v="5733.3"/>
    <x v="0"/>
    <x v="0"/>
    <x v="0"/>
    <s v="20A"/>
    <s v="160"/>
    <s v="Dolichospermum planctonicum "/>
    <b v="1"/>
    <n v="10"/>
    <n v="52"/>
    <m/>
    <n v="163.363055555556"/>
    <n v="6.0444330555555703E-2"/>
    <n v="163.363055555556"/>
    <n v="6.0444330555555703E-2"/>
    <m/>
  </r>
  <r>
    <s v="5733.4"/>
    <x v="0"/>
    <x v="0"/>
    <x v="0"/>
    <s v="20A"/>
    <s v="160"/>
    <s v="Dolichospermum spiroides"/>
    <b v="1"/>
    <n v="10"/>
    <n v="37.3333333333333"/>
    <m/>
    <n v="351.858888888889"/>
    <n v="9.1483311111111104E-2"/>
    <n v="351.858888888889"/>
    <n v="9.1483311111111104E-2"/>
    <m/>
  </r>
  <r>
    <s v="5734.1"/>
    <x v="0"/>
    <x v="1"/>
    <x v="0"/>
    <s v="20A"/>
    <s v="160"/>
    <s v="Dolichospermum circinale"/>
    <b v="1"/>
    <n v="10"/>
    <n v="38.700000000000003"/>
    <n v="229"/>
    <n v="30273.3733125"/>
    <n v="17.4265646136075"/>
    <n v="30273.3733125"/>
    <n v="17.4265646136075"/>
    <m/>
  </r>
  <r>
    <s v="5734.2"/>
    <x v="0"/>
    <x v="1"/>
    <x v="0"/>
    <s v="20A"/>
    <s v="160"/>
    <s v="Aphanocapsa sp"/>
    <b v="0"/>
    <n v="10"/>
    <n v="16.25"/>
    <m/>
    <n v="204.20381944444401"/>
    <n v="4.5945859374999897E-4"/>
    <n v="0"/>
    <n v="0"/>
    <m/>
  </r>
  <r>
    <s v="5734.3"/>
    <x v="0"/>
    <x v="1"/>
    <x v="0"/>
    <s v="20A"/>
    <s v="160"/>
    <s v="Dolichospermum spiroides"/>
    <b v="1"/>
    <n v="10"/>
    <n v="42.4"/>
    <m/>
    <n v="666.018611111111"/>
    <n v="0.17316483888888901"/>
    <n v="666.018611111111"/>
    <n v="0.17316483888888901"/>
    <m/>
  </r>
  <r>
    <s v="5734.4"/>
    <x v="0"/>
    <x v="1"/>
    <x v="0"/>
    <s v="20A"/>
    <s v="160"/>
    <s v="Pseudanabaena sp."/>
    <b v="1"/>
    <n v="10"/>
    <n v="34"/>
    <m/>
    <n v="320.44291666666697"/>
    <n v="1.2497273749999999E-2"/>
    <n v="320.44291666666697"/>
    <n v="1.2497273749999999E-2"/>
    <m/>
  </r>
  <r>
    <s v="5734.5"/>
    <x v="0"/>
    <x v="1"/>
    <x v="0"/>
    <s v="20A"/>
    <s v="160"/>
    <s v="Dolichospermum planctonicum "/>
    <b v="1"/>
    <n v="10"/>
    <n v="25.6"/>
    <m/>
    <n v="804.24888888888904"/>
    <n v="0.29757208888888897"/>
    <n v="804.24888888888904"/>
    <n v="0.29757208888888897"/>
    <m/>
  </r>
  <r>
    <s v="5734.6"/>
    <x v="0"/>
    <x v="1"/>
    <x v="0"/>
    <s v="20A"/>
    <s v="160"/>
    <s v="Dolichospermum lemmermannii"/>
    <b v="1"/>
    <n v="10"/>
    <n v="48"/>
    <m/>
    <n v="603.18666666666695"/>
    <n v="6.6350533333333406E-2"/>
    <n v="603.18666666666695"/>
    <n v="6.6350533333333406E-2"/>
    <m/>
  </r>
  <r>
    <s v="5735.1"/>
    <x v="1"/>
    <x v="2"/>
    <x v="0"/>
    <s v="20A"/>
    <s v="160"/>
    <s v="Dolichospermum circinale"/>
    <b v="1"/>
    <n v="10"/>
    <n v="20.2"/>
    <n v="70"/>
    <n v="5711.4237499999999"/>
    <n v="3.2877239674499998"/>
    <n v="5711.4237499999999"/>
    <n v="3.2877239674499998"/>
    <m/>
  </r>
  <r>
    <s v="5735.2"/>
    <x v="1"/>
    <x v="2"/>
    <x v="0"/>
    <s v="20A"/>
    <s v="160"/>
    <s v="Oscillatoria sp"/>
    <b v="1"/>
    <n v="10"/>
    <n v="12"/>
    <m/>
    <n v="37.699166666666699"/>
    <n v="0.10195739625"/>
    <n v="37.699166666666699"/>
    <n v="0.10195739625"/>
    <m/>
  </r>
  <r>
    <s v="5735.3"/>
    <x v="1"/>
    <x v="2"/>
    <x v="0"/>
    <s v="20A"/>
    <s v="160"/>
    <s v="Dolichospermum spiroides"/>
    <b v="1"/>
    <n v="10"/>
    <n v="34.799999999999997"/>
    <m/>
    <n v="546.63791666666702"/>
    <n v="0.14212585833333299"/>
    <n v="546.63791666666702"/>
    <n v="0.14212585833333299"/>
    <m/>
  </r>
  <r>
    <s v="5735.4"/>
    <x v="1"/>
    <x v="2"/>
    <x v="0"/>
    <s v="20A"/>
    <s v="160"/>
    <s v="Planktothrix sp"/>
    <b v="1"/>
    <n v="10"/>
    <n v="85"/>
    <m/>
    <n v="267.03576388888899"/>
    <n v="8.3849229861111194E-2"/>
    <n v="267.03576388888899"/>
    <n v="8.3849229861111194E-2"/>
    <m/>
  </r>
  <r>
    <s v="5735.5"/>
    <x v="1"/>
    <x v="2"/>
    <x v="0"/>
    <s v="20A"/>
    <s v="160"/>
    <s v="Aphanocapsa sp"/>
    <b v="0"/>
    <n v="10"/>
    <n v="16"/>
    <m/>
    <n v="50.265555555555601"/>
    <n v="1.130975E-4"/>
    <n v="0"/>
    <n v="0"/>
    <m/>
  </r>
  <r>
    <s v="5735.6"/>
    <x v="1"/>
    <x v="2"/>
    <x v="0"/>
    <s v="20A"/>
    <s v="160"/>
    <s v="Dolichospermum planctonicum "/>
    <b v="1"/>
    <n v="10"/>
    <n v="15"/>
    <m/>
    <n v="188.495833333333"/>
    <n v="6.9743458333333203E-2"/>
    <n v="188.495833333333"/>
    <n v="6.9743458333333203E-2"/>
    <m/>
  </r>
  <r>
    <s v="5735.7"/>
    <x v="1"/>
    <x v="2"/>
    <x v="0"/>
    <s v="20A"/>
    <s v="160"/>
    <s v="Pseudanabaena galeata (cylinder)"/>
    <b v="1"/>
    <n v="10"/>
    <n v="6"/>
    <m/>
    <n v="18.8495833333333"/>
    <n v="1.130975E-3"/>
    <n v="18.8495833333333"/>
    <n v="1.130975E-3"/>
    <m/>
  </r>
  <r>
    <s v="5736.1"/>
    <x v="0"/>
    <x v="3"/>
    <x v="0"/>
    <s v="20A"/>
    <s v="160"/>
    <s v="Dolichospermum circinale"/>
    <b v="1"/>
    <n v="10"/>
    <n v="42.5"/>
    <n v="189"/>
    <n v="27905.237326388899"/>
    <n v="16.0633708145625"/>
    <n v="27905.237326388899"/>
    <n v="16.0633708145625"/>
    <m/>
  </r>
  <r>
    <s v="5736.2"/>
    <x v="0"/>
    <x v="3"/>
    <x v="0"/>
    <s v="20A"/>
    <s v="160"/>
    <s v="Dolichospermum planctonicum "/>
    <b v="1"/>
    <n v="10"/>
    <n v="49.25"/>
    <m/>
    <n v="618.89465277777799"/>
    <n v="0.228991021527778"/>
    <n v="618.89465277777799"/>
    <n v="0.228991021527778"/>
    <m/>
  </r>
  <r>
    <s v="5736.3"/>
    <x v="0"/>
    <x v="3"/>
    <x v="0"/>
    <s v="20A"/>
    <s v="160"/>
    <s v="Dolichospermum spiroides"/>
    <b v="1"/>
    <n v="10"/>
    <n v="30"/>
    <m/>
    <n v="94.247916666666697"/>
    <n v="2.4504458333333302E-2"/>
    <n v="94.247916666666598"/>
    <n v="2.4504458333333302E-2"/>
    <m/>
  </r>
  <r>
    <s v="5737.1"/>
    <x v="0"/>
    <x v="4"/>
    <x v="0"/>
    <s v="20A"/>
    <s v="160"/>
    <s v="Dolichospermum circinale"/>
    <b v="1"/>
    <n v="10"/>
    <n v="33.799999999999997"/>
    <n v="77"/>
    <n v="10300.0406527778"/>
    <n v="5.92911540136501"/>
    <n v="10300.0406527778"/>
    <n v="5.92911540136501"/>
    <m/>
  </r>
  <r>
    <s v="5737.2"/>
    <x v="0"/>
    <x v="4"/>
    <x v="0"/>
    <s v="20A"/>
    <s v="160"/>
    <s v="Dolichospermum planctonicum "/>
    <b v="1"/>
    <n v="10"/>
    <n v="16"/>
    <m/>
    <n v="100.531111111111"/>
    <n v="3.7196511111111101E-2"/>
    <n v="100.531111111111"/>
    <n v="3.7196511111111101E-2"/>
    <m/>
  </r>
  <r>
    <s v="5737.3"/>
    <x v="0"/>
    <x v="4"/>
    <x v="0"/>
    <s v="20A"/>
    <s v="160"/>
    <s v="Dolichospermum smithii"/>
    <b v="1"/>
    <n v="10"/>
    <n v="38"/>
    <m/>
    <n v="119.380694444444"/>
    <n v="5.1691840694444303E-2"/>
    <n v="119.380694444444"/>
    <n v="5.1691840694444303E-2"/>
    <m/>
  </r>
  <r>
    <s v="5738.1"/>
    <x v="2"/>
    <x v="5"/>
    <x v="0"/>
    <s v="20A"/>
    <s v="160"/>
    <s v="Dolichospermum lemmermannii"/>
    <b v="1"/>
    <n v="10"/>
    <n v="25.75"/>
    <n v="56"/>
    <n v="6148.1057638888897"/>
    <n v="0.67629163402777803"/>
    <n v="6148.1057638888897"/>
    <n v="0.67629163402777803"/>
    <m/>
  </r>
  <r>
    <s v="5738.2"/>
    <x v="2"/>
    <x v="5"/>
    <x v="0"/>
    <s v="20A"/>
    <s v="160"/>
    <s v="Dolichospermum planctonicum "/>
    <b v="1"/>
    <n v="10"/>
    <n v="55.6"/>
    <m/>
    <n v="873.36402777777801"/>
    <n v="0.32314469027777798"/>
    <n v="873.36402777777801"/>
    <n v="0.32314469027777798"/>
    <m/>
  </r>
  <r>
    <s v="5738.3"/>
    <x v="2"/>
    <x v="5"/>
    <x v="0"/>
    <s v="20A"/>
    <s v="160"/>
    <s v="Dolichospermum spiroides"/>
    <b v="1"/>
    <n v="10"/>
    <n v="28.3333333333333"/>
    <m/>
    <n v="267.03576388888899"/>
    <n v="6.9429298611111107E-2"/>
    <n v="267.03576388888899"/>
    <n v="6.9429298611111107E-2"/>
    <m/>
  </r>
  <r>
    <s v="5738.4"/>
    <x v="2"/>
    <x v="5"/>
    <x v="0"/>
    <s v="20A"/>
    <s v="160"/>
    <s v="Dolichospermum circinale"/>
    <b v="1"/>
    <n v="10"/>
    <n v="16"/>
    <m/>
    <n v="100.531111111111"/>
    <n v="5.7869728799999902E-2"/>
    <n v="100.531111111111"/>
    <n v="5.7869728799999902E-2"/>
    <m/>
  </r>
  <r>
    <s v="5738.5"/>
    <x v="2"/>
    <x v="5"/>
    <x v="0"/>
    <s v="20A"/>
    <s v="160"/>
    <s v="Microcystis wesenbergii"/>
    <b v="1"/>
    <n v="10"/>
    <n v="109"/>
    <m/>
    <n v="342.43409722222202"/>
    <n v="6.5175481724305498E-2"/>
    <n v="342.43409722222202"/>
    <n v="6.5175481724305498E-2"/>
    <s v="Microcystis spp._x000a_"/>
  </r>
  <r>
    <s v="5739.1"/>
    <x v="2"/>
    <x v="6"/>
    <x v="0"/>
    <s v="20A"/>
    <s v="160"/>
    <s v="Dolichospermum circinale"/>
    <b v="1"/>
    <n v="10"/>
    <n v="27.266666666666701"/>
    <m/>
    <n v="1284.91326388889"/>
    <n v="0.73964747122500096"/>
    <n v="1284.91326388889"/>
    <n v="0.73964747122500096"/>
    <m/>
  </r>
  <r>
    <s v="5739.2"/>
    <x v="2"/>
    <x v="6"/>
    <x v="0"/>
    <s v="20A"/>
    <s v="160"/>
    <s v="Dolichospermum lemmermannii"/>
    <b v="1"/>
    <n v="10"/>
    <n v="30.75"/>
    <n v="42"/>
    <n v="5989.45510416667"/>
    <n v="0.65884006145833396"/>
    <n v="5989.45510416667"/>
    <n v="0.65884006145833396"/>
    <m/>
  </r>
  <r>
    <s v="5739.3"/>
    <x v="2"/>
    <x v="6"/>
    <x v="0"/>
    <s v="20A"/>
    <s v="160"/>
    <s v="Dolichospermum flos-aquae_x000a_"/>
    <b v="1"/>
    <n v="10"/>
    <n v="22"/>
    <m/>
    <n v="69.115138888888893"/>
    <n v="3.8704477777777801E-3"/>
    <n v="69.115138888888893"/>
    <n v="3.8704477777777801E-3"/>
    <m/>
  </r>
  <r>
    <s v="5739.4"/>
    <x v="2"/>
    <x v="6"/>
    <x v="0"/>
    <s v="20A"/>
    <s v="160"/>
    <s v="Dolichospermum planctonicum "/>
    <b v="1"/>
    <n v="10"/>
    <n v="13.8"/>
    <m/>
    <n v="216.77020833333299"/>
    <n v="8.0204977083333198E-2"/>
    <n v="216.77020833333299"/>
    <n v="8.0204977083333198E-2"/>
    <m/>
  </r>
  <r>
    <s v="5739.5"/>
    <x v="2"/>
    <x v="6"/>
    <x v="0"/>
    <s v="20A"/>
    <s v="160"/>
    <s v="Aphanocapsa sp"/>
    <b v="0"/>
    <n v="10"/>
    <n v="22"/>
    <m/>
    <n v="69.115138888888893"/>
    <n v="1.5550906250000001E-4"/>
    <n v="0"/>
    <n v="0"/>
    <m/>
  </r>
  <r>
    <s v="5739.6"/>
    <x v="2"/>
    <x v="6"/>
    <x v="0"/>
    <s v="20A"/>
    <s v="160"/>
    <s v="Pseudanabaena limnetica (cylinder)"/>
    <b v="1"/>
    <n v="10"/>
    <n v="10"/>
    <m/>
    <n v="31.415972222222202"/>
    <n v="2.4818618055555499E-3"/>
    <n v="31.415972222222202"/>
    <n v="2.4818618055555499E-3"/>
    <m/>
  </r>
  <r>
    <s v="5740.1"/>
    <x v="3"/>
    <x v="7"/>
    <x v="0"/>
    <s v="20A"/>
    <s v="17"/>
    <s v="Dolichospermum circinale"/>
    <b v="1"/>
    <n v="10"/>
    <n v="27"/>
    <n v="74"/>
    <n v="75043.517647058805"/>
    <n v="43.198050498352899"/>
    <n v="75043.517647058805"/>
    <n v="43.198050498352899"/>
    <m/>
  </r>
  <r>
    <s v="5740.2"/>
    <x v="3"/>
    <x v="7"/>
    <x v="0"/>
    <s v="20A"/>
    <s v="17"/>
    <s v="Dolichospermum planctonicum "/>
    <b v="1"/>
    <n v="10"/>
    <n v="19.6666666666667"/>
    <m/>
    <n v="1744.51045751634"/>
    <n v="0.64546886928104596"/>
    <n v="1744.51045751634"/>
    <n v="0.64546886928104596"/>
    <m/>
  </r>
  <r>
    <s v="5740.3"/>
    <x v="3"/>
    <x v="7"/>
    <x v="0"/>
    <s v="20A"/>
    <s v="17"/>
    <s v="Woronichinia naegeliana"/>
    <b v="1"/>
    <n v="10"/>
    <n v="170"/>
    <m/>
    <n v="5026.5555555555502"/>
    <n v="0"/>
    <n v="5026.5555555555602"/>
    <n v="0"/>
    <m/>
  </r>
  <r>
    <s v="5740.4"/>
    <x v="3"/>
    <x v="7"/>
    <x v="0"/>
    <s v="20A"/>
    <s v="17"/>
    <s v="Dolichospermum spiroides"/>
    <b v="1"/>
    <n v="10"/>
    <n v="40.5"/>
    <m/>
    <n v="2395.0058823529398"/>
    <n v="0.62270152941176404"/>
    <n v="2395.0058823529398"/>
    <n v="0.62270152941176404"/>
    <m/>
  </r>
  <r>
    <s v="5741.1"/>
    <x v="4"/>
    <x v="8"/>
    <x v="0"/>
    <s v="20A"/>
    <s v="160"/>
    <s v="Dolichospermum sp"/>
    <b v="1"/>
    <n v="10"/>
    <n v="22.2"/>
    <n v="32"/>
    <n v="3626.65983333333"/>
    <n v="0.68906536833333298"/>
    <n v="3626.65983333333"/>
    <n v="0.68906536833333298"/>
    <m/>
  </r>
  <r>
    <s v="5742.1"/>
    <x v="4"/>
    <x v="9"/>
    <x v="0"/>
    <s v="20A"/>
    <s v="Whole Plate"/>
    <s v="Dolichospermum sp"/>
    <b v="1"/>
    <n v="10"/>
    <n v="21"/>
    <n v="32"/>
    <n v="109.2"/>
    <n v="2.0747999999999999E-2"/>
    <n v="109.2"/>
    <n v="2.0747999999999999E-2"/>
    <m/>
  </r>
  <r>
    <s v="5742.2"/>
    <x v="4"/>
    <x v="9"/>
    <x v="0"/>
    <s v="20A"/>
    <s v="Whole Plate"/>
    <s v="Pseudanabaena limnetica (cylinder)"/>
    <b v="1"/>
    <n v="10"/>
    <n v="9"/>
    <m/>
    <n v="4.5"/>
    <n v="3.5550000000000002E-4"/>
    <n v="4.5"/>
    <n v="3.5550000000000002E-4"/>
    <m/>
  </r>
  <r>
    <s v="5742.3"/>
    <x v="4"/>
    <x v="9"/>
    <x v="0"/>
    <s v="20A"/>
    <s v="Whole Plate"/>
    <s v="Aphanocapsa sp"/>
    <b v="0"/>
    <n v="10"/>
    <n v="6"/>
    <m/>
    <n v="0.6"/>
    <n v="1.35E-6"/>
    <n v="0"/>
    <n v="0"/>
    <m/>
  </r>
  <r>
    <s v="5742.4"/>
    <x v="4"/>
    <x v="9"/>
    <x v="0"/>
    <s v="20A"/>
    <s v="Whole Plate"/>
    <s v="Dolichospermum planctonicum "/>
    <b v="1"/>
    <n v="10"/>
    <n v="18.3333333333333"/>
    <m/>
    <n v="5.5"/>
    <n v="2.0349999999999999E-3"/>
    <n v="5.5"/>
    <n v="2.0349999999999999E-3"/>
    <m/>
  </r>
  <r>
    <s v="5743.1"/>
    <x v="2"/>
    <x v="10"/>
    <x v="0"/>
    <s v="20A"/>
    <s v="Whole Plate"/>
    <s v="Aphanocapsa sp"/>
    <b v="0"/>
    <n v="10"/>
    <n v="12"/>
    <m/>
    <n v="1.2"/>
    <n v="2.7E-6"/>
    <n v="0"/>
    <n v="0"/>
    <m/>
  </r>
  <r>
    <s v="5743.2"/>
    <x v="2"/>
    <x v="10"/>
    <x v="0"/>
    <s v="20A"/>
    <s v="Whole Plate"/>
    <s v="Dolichospermum sp"/>
    <b v="1"/>
    <n v="10"/>
    <n v="26"/>
    <m/>
    <n v="31.2"/>
    <n v="5.9280000000000001E-3"/>
    <n v="31.2"/>
    <n v="5.9280000000000001E-3"/>
    <m/>
  </r>
  <r>
    <s v="5743.3"/>
    <x v="2"/>
    <x v="10"/>
    <x v="0"/>
    <s v="20A"/>
    <s v="Whole Plate"/>
    <s v="Dolichospermum planctonicum "/>
    <b v="1"/>
    <n v="10"/>
    <n v="33"/>
    <m/>
    <n v="9.9"/>
    <n v="3.663E-3"/>
    <n v="9.9"/>
    <n v="3.663E-3"/>
    <m/>
  </r>
  <r>
    <s v="5744.1"/>
    <x v="2"/>
    <x v="11"/>
    <x v="0"/>
    <s v="20A"/>
    <s v="Whole Plate"/>
    <s v="Dolichospermum sp"/>
    <b v="1"/>
    <n v="10"/>
    <n v="25.55"/>
    <n v="97"/>
    <n v="298.935"/>
    <n v="5.6797649999999998E-2"/>
    <n v="298.935"/>
    <n v="5.6797649999999998E-2"/>
    <m/>
  </r>
  <r>
    <s v="5744.2"/>
    <x v="2"/>
    <x v="11"/>
    <x v="0"/>
    <s v="20A"/>
    <s v="Whole Plate"/>
    <s v="Dolichospermum planctonicum "/>
    <b v="1"/>
    <n v="10"/>
    <n v="32.25"/>
    <m/>
    <n v="12.9"/>
    <n v="4.7730000000000003E-3"/>
    <n v="12.9"/>
    <n v="4.7730000000000003E-3"/>
    <m/>
  </r>
  <r>
    <s v="5744.3"/>
    <x v="2"/>
    <x v="11"/>
    <x v="0"/>
    <s v="20A"/>
    <s v="Whole Plate"/>
    <s v="Aphanocapsa sp"/>
    <b v="0"/>
    <n v="10"/>
    <n v="14"/>
    <m/>
    <n v="5.6"/>
    <n v="1.26E-5"/>
    <n v="0"/>
    <n v="0"/>
    <m/>
  </r>
  <r>
    <s v="5744.4"/>
    <x v="2"/>
    <x v="11"/>
    <x v="0"/>
    <s v="20A"/>
    <s v="Whole Plate"/>
    <s v="Microcystis wesenbergii"/>
    <b v="1"/>
    <n v="10"/>
    <n v="28"/>
    <m/>
    <n v="2.8"/>
    <n v="5.3292400000000005E-4"/>
    <n v="2.8"/>
    <n v="5.3292400000000005E-4"/>
    <s v="Microcystis spp._x000a_"/>
  </r>
  <r>
    <s v="5745.1"/>
    <x v="2"/>
    <x v="12"/>
    <x v="0"/>
    <s v="20A"/>
    <s v="Whole Plate"/>
    <s v="Dolichospermum sp"/>
    <b v="1"/>
    <n v="10"/>
    <n v="23.8"/>
    <n v="25"/>
    <n v="107.1"/>
    <n v="2.0348999999999999E-2"/>
    <n v="107.1"/>
    <n v="2.0348999999999999E-2"/>
    <m/>
  </r>
  <r>
    <s v="5745.2"/>
    <x v="2"/>
    <x v="12"/>
    <x v="0"/>
    <s v="20A"/>
    <s v="Whole Plate"/>
    <s v="Dolichospermum planctonicum "/>
    <b v="1"/>
    <n v="10"/>
    <n v="42.5"/>
    <m/>
    <n v="8.5"/>
    <n v="3.1449999999999998E-3"/>
    <n v="8.5"/>
    <n v="3.1449999999999998E-3"/>
    <m/>
  </r>
  <r>
    <s v="5745.3"/>
    <x v="2"/>
    <x v="12"/>
    <x v="0"/>
    <s v="20A"/>
    <s v="Whole Plate"/>
    <s v="Aphanocapsa sp"/>
    <b v="0"/>
    <n v="10"/>
    <n v="13"/>
    <m/>
    <n v="2.6"/>
    <n v="5.8499999999999999E-6"/>
    <n v="0"/>
    <n v="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s v="5738.5"/>
    <x v="0"/>
    <x v="0"/>
    <x v="0"/>
    <s v="20A"/>
    <s v="160"/>
    <s v="Microcystis wesenbergii"/>
    <b v="1"/>
    <n v="10"/>
    <n v="109"/>
    <m/>
    <n v="342.43409722222202"/>
    <n v="6.5175481724305498E-2"/>
    <n v="342.43409722222202"/>
    <n v="6.5175481724305498E-2"/>
    <x v="0"/>
  </r>
  <r>
    <s v="5744.4"/>
    <x v="0"/>
    <x v="1"/>
    <x v="0"/>
    <s v="20A"/>
    <s v="Whole Plate"/>
    <s v="Microcystis wesenbergii"/>
    <b v="1"/>
    <n v="10"/>
    <n v="28"/>
    <m/>
    <n v="2.8"/>
    <n v="5.3292400000000005E-4"/>
    <n v="2.8"/>
    <n v="5.3292400000000005E-4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s v="5733.1"/>
    <x v="0"/>
    <x v="0"/>
    <x v="0"/>
    <s v="20A"/>
    <s v="160"/>
    <s v="Dolichospermum circinale"/>
    <b v="1"/>
    <n v="10"/>
    <n v="43.15"/>
    <n v="192"/>
    <n v="28738.7030694444"/>
    <n v="16.543147034895"/>
    <n v="28738.7030694444"/>
    <n v="16.543147034895"/>
    <m/>
  </r>
  <r>
    <s v="5733.2"/>
    <x v="0"/>
    <x v="0"/>
    <x v="0"/>
    <s v="20A"/>
    <s v="160"/>
    <s v="Pseudanabaena sp."/>
    <b v="1"/>
    <n v="10"/>
    <n v="6"/>
    <m/>
    <n v="37.699166666666699"/>
    <n v="1.4702675000000001E-3"/>
    <n v="37.699166666666699"/>
    <n v="1.4702675000000001E-3"/>
    <m/>
  </r>
  <r>
    <s v="5733.3"/>
    <x v="0"/>
    <x v="0"/>
    <x v="0"/>
    <s v="20A"/>
    <s v="160"/>
    <s v="Dolichospermum planctonicum "/>
    <b v="1"/>
    <n v="10"/>
    <n v="52"/>
    <m/>
    <n v="163.363055555556"/>
    <n v="6.0444330555555703E-2"/>
    <n v="163.363055555556"/>
    <n v="6.0444330555555703E-2"/>
    <m/>
  </r>
  <r>
    <s v="5733.4"/>
    <x v="0"/>
    <x v="0"/>
    <x v="0"/>
    <s v="20A"/>
    <s v="160"/>
    <s v="Dolichospermum spiroides"/>
    <b v="1"/>
    <n v="10"/>
    <n v="37.3333333333333"/>
    <m/>
    <n v="351.858888888889"/>
    <n v="9.1483311111111104E-2"/>
    <n v="351.858888888889"/>
    <n v="9.1483311111111104E-2"/>
    <m/>
  </r>
  <r>
    <s v="5734.1"/>
    <x v="0"/>
    <x v="1"/>
    <x v="0"/>
    <s v="20A"/>
    <s v="160"/>
    <s v="Dolichospermum circinale"/>
    <b v="1"/>
    <n v="10"/>
    <n v="38.700000000000003"/>
    <n v="229"/>
    <n v="30273.3733125"/>
    <n v="17.4265646136075"/>
    <n v="30273.3733125"/>
    <n v="17.4265646136075"/>
    <m/>
  </r>
  <r>
    <s v="5734.2"/>
    <x v="0"/>
    <x v="1"/>
    <x v="0"/>
    <s v="20A"/>
    <s v="160"/>
    <s v="Aphanocapsa sp"/>
    <b v="0"/>
    <n v="10"/>
    <n v="16.25"/>
    <m/>
    <n v="204.20381944444401"/>
    <n v="4.5945859374999897E-4"/>
    <n v="0"/>
    <n v="0"/>
    <m/>
  </r>
  <r>
    <s v="5734.3"/>
    <x v="0"/>
    <x v="1"/>
    <x v="0"/>
    <s v="20A"/>
    <s v="160"/>
    <s v="Dolichospermum spiroides"/>
    <b v="1"/>
    <n v="10"/>
    <n v="42.4"/>
    <m/>
    <n v="666.018611111111"/>
    <n v="0.17316483888888901"/>
    <n v="666.018611111111"/>
    <n v="0.17316483888888901"/>
    <m/>
  </r>
  <r>
    <s v="5734.4"/>
    <x v="0"/>
    <x v="1"/>
    <x v="0"/>
    <s v="20A"/>
    <s v="160"/>
    <s v="Pseudanabaena sp."/>
    <b v="1"/>
    <n v="10"/>
    <n v="34"/>
    <m/>
    <n v="320.44291666666697"/>
    <n v="1.2497273749999999E-2"/>
    <n v="320.44291666666697"/>
    <n v="1.2497273749999999E-2"/>
    <m/>
  </r>
  <r>
    <s v="5734.5"/>
    <x v="0"/>
    <x v="1"/>
    <x v="0"/>
    <s v="20A"/>
    <s v="160"/>
    <s v="Dolichospermum planctonicum "/>
    <b v="1"/>
    <n v="10"/>
    <n v="25.6"/>
    <m/>
    <n v="804.24888888888904"/>
    <n v="0.29757208888888897"/>
    <n v="804.24888888888904"/>
    <n v="0.29757208888888897"/>
    <m/>
  </r>
  <r>
    <s v="5734.6"/>
    <x v="0"/>
    <x v="1"/>
    <x v="0"/>
    <s v="20A"/>
    <s v="160"/>
    <s v="Dolichospermum lemmermannii"/>
    <b v="1"/>
    <n v="10"/>
    <n v="48"/>
    <m/>
    <n v="603.18666666666695"/>
    <n v="6.6350533333333406E-2"/>
    <n v="603.18666666666695"/>
    <n v="6.6350533333333406E-2"/>
    <m/>
  </r>
  <r>
    <s v="5735.1"/>
    <x v="1"/>
    <x v="2"/>
    <x v="0"/>
    <s v="20A"/>
    <s v="160"/>
    <s v="Dolichospermum circinale"/>
    <b v="1"/>
    <n v="10"/>
    <n v="20.2"/>
    <n v="70"/>
    <n v="5711.4237499999999"/>
    <n v="3.2877239674499998"/>
    <n v="5711.4237499999999"/>
    <n v="3.2877239674499998"/>
    <m/>
  </r>
  <r>
    <s v="5735.2"/>
    <x v="1"/>
    <x v="2"/>
    <x v="0"/>
    <s v="20A"/>
    <s v="160"/>
    <s v="Oscillatoria sp"/>
    <b v="1"/>
    <n v="10"/>
    <n v="12"/>
    <m/>
    <n v="37.699166666666699"/>
    <n v="0.10195739625"/>
    <n v="37.699166666666699"/>
    <n v="0.10195739625"/>
    <m/>
  </r>
  <r>
    <s v="5735.3"/>
    <x v="1"/>
    <x v="2"/>
    <x v="0"/>
    <s v="20A"/>
    <s v="160"/>
    <s v="Dolichospermum spiroides"/>
    <b v="1"/>
    <n v="10"/>
    <n v="34.799999999999997"/>
    <m/>
    <n v="546.63791666666702"/>
    <n v="0.14212585833333299"/>
    <n v="546.63791666666702"/>
    <n v="0.14212585833333299"/>
    <m/>
  </r>
  <r>
    <s v="5735.4"/>
    <x v="1"/>
    <x v="2"/>
    <x v="0"/>
    <s v="20A"/>
    <s v="160"/>
    <s v="Planktothrix sp"/>
    <b v="1"/>
    <n v="10"/>
    <n v="85"/>
    <m/>
    <n v="267.03576388888899"/>
    <n v="8.3849229861111194E-2"/>
    <n v="267.03576388888899"/>
    <n v="8.3849229861111194E-2"/>
    <m/>
  </r>
  <r>
    <s v="5735.5"/>
    <x v="1"/>
    <x v="2"/>
    <x v="0"/>
    <s v="20A"/>
    <s v="160"/>
    <s v="Aphanocapsa sp"/>
    <b v="0"/>
    <n v="10"/>
    <n v="16"/>
    <m/>
    <n v="50.265555555555601"/>
    <n v="1.130975E-4"/>
    <n v="0"/>
    <n v="0"/>
    <m/>
  </r>
  <r>
    <s v="5735.6"/>
    <x v="1"/>
    <x v="2"/>
    <x v="0"/>
    <s v="20A"/>
    <s v="160"/>
    <s v="Dolichospermum planctonicum "/>
    <b v="1"/>
    <n v="10"/>
    <n v="15"/>
    <m/>
    <n v="188.495833333333"/>
    <n v="6.9743458333333203E-2"/>
    <n v="188.495833333333"/>
    <n v="6.9743458333333203E-2"/>
    <m/>
  </r>
  <r>
    <s v="5735.7"/>
    <x v="1"/>
    <x v="2"/>
    <x v="0"/>
    <s v="20A"/>
    <s v="160"/>
    <s v="Pseudanabaena galeata (cylinder)"/>
    <b v="1"/>
    <n v="10"/>
    <n v="6"/>
    <m/>
    <n v="18.8495833333333"/>
    <n v="1.130975E-3"/>
    <n v="18.8495833333333"/>
    <n v="1.130975E-3"/>
    <m/>
  </r>
  <r>
    <s v="5736.1"/>
    <x v="0"/>
    <x v="3"/>
    <x v="0"/>
    <s v="20A"/>
    <s v="160"/>
    <s v="Dolichospermum circinale"/>
    <b v="1"/>
    <n v="10"/>
    <n v="42.5"/>
    <n v="189"/>
    <n v="27905.237326388899"/>
    <n v="16.0633708145625"/>
    <n v="27905.237326388899"/>
    <n v="16.0633708145625"/>
    <m/>
  </r>
  <r>
    <s v="5736.2"/>
    <x v="0"/>
    <x v="3"/>
    <x v="0"/>
    <s v="20A"/>
    <s v="160"/>
    <s v="Dolichospermum planctonicum "/>
    <b v="1"/>
    <n v="10"/>
    <n v="49.25"/>
    <m/>
    <n v="618.89465277777799"/>
    <n v="0.228991021527778"/>
    <n v="618.89465277777799"/>
    <n v="0.228991021527778"/>
    <m/>
  </r>
  <r>
    <s v="5736.3"/>
    <x v="0"/>
    <x v="3"/>
    <x v="0"/>
    <s v="20A"/>
    <s v="160"/>
    <s v="Dolichospermum spiroides"/>
    <b v="1"/>
    <n v="10"/>
    <n v="30"/>
    <m/>
    <n v="94.247916666666697"/>
    <n v="2.4504458333333302E-2"/>
    <n v="94.247916666666598"/>
    <n v="2.4504458333333302E-2"/>
    <m/>
  </r>
  <r>
    <s v="5737.1"/>
    <x v="0"/>
    <x v="4"/>
    <x v="0"/>
    <s v="20A"/>
    <s v="160"/>
    <s v="Dolichospermum circinale"/>
    <b v="1"/>
    <n v="10"/>
    <n v="33.799999999999997"/>
    <n v="77"/>
    <n v="10300.0406527778"/>
    <n v="5.92911540136501"/>
    <n v="10300.0406527778"/>
    <n v="5.92911540136501"/>
    <m/>
  </r>
  <r>
    <s v="5737.2"/>
    <x v="0"/>
    <x v="4"/>
    <x v="0"/>
    <s v="20A"/>
    <s v="160"/>
    <s v="Dolichospermum planctonicum "/>
    <b v="1"/>
    <n v="10"/>
    <n v="16"/>
    <m/>
    <n v="100.531111111111"/>
    <n v="3.7196511111111101E-2"/>
    <n v="100.531111111111"/>
    <n v="3.7196511111111101E-2"/>
    <m/>
  </r>
  <r>
    <s v="5737.3"/>
    <x v="0"/>
    <x v="4"/>
    <x v="0"/>
    <s v="20A"/>
    <s v="160"/>
    <s v="Dolichospermum smithii"/>
    <b v="1"/>
    <n v="10"/>
    <n v="38"/>
    <m/>
    <n v="119.380694444444"/>
    <n v="5.1691840694444303E-2"/>
    <n v="119.380694444444"/>
    <n v="5.1691840694444303E-2"/>
    <m/>
  </r>
  <r>
    <s v="5738.1"/>
    <x v="2"/>
    <x v="5"/>
    <x v="0"/>
    <s v="20A"/>
    <s v="160"/>
    <s v="Dolichospermum lemmermannii"/>
    <b v="1"/>
    <n v="10"/>
    <n v="25.75"/>
    <n v="56"/>
    <n v="6148.1057638888897"/>
    <n v="0.67629163402777803"/>
    <n v="6148.1057638888897"/>
    <n v="0.67629163402777803"/>
    <m/>
  </r>
  <r>
    <s v="5738.2"/>
    <x v="2"/>
    <x v="5"/>
    <x v="0"/>
    <s v="20A"/>
    <s v="160"/>
    <s v="Dolichospermum planctonicum "/>
    <b v="1"/>
    <n v="10"/>
    <n v="55.6"/>
    <m/>
    <n v="873.36402777777801"/>
    <n v="0.32314469027777798"/>
    <n v="873.36402777777801"/>
    <n v="0.32314469027777798"/>
    <m/>
  </r>
  <r>
    <s v="5738.3"/>
    <x v="2"/>
    <x v="5"/>
    <x v="0"/>
    <s v="20A"/>
    <s v="160"/>
    <s v="Dolichospermum spiroides"/>
    <b v="1"/>
    <n v="10"/>
    <n v="28.3333333333333"/>
    <m/>
    <n v="267.03576388888899"/>
    <n v="6.9429298611111107E-2"/>
    <n v="267.03576388888899"/>
    <n v="6.9429298611111107E-2"/>
    <m/>
  </r>
  <r>
    <s v="5738.4"/>
    <x v="2"/>
    <x v="5"/>
    <x v="0"/>
    <s v="20A"/>
    <s v="160"/>
    <s v="Dolichospermum circinale"/>
    <b v="1"/>
    <n v="10"/>
    <n v="16"/>
    <m/>
    <n v="100.531111111111"/>
    <n v="5.7869728799999902E-2"/>
    <n v="100.531111111111"/>
    <n v="5.7869728799999902E-2"/>
    <m/>
  </r>
  <r>
    <s v="5738.5"/>
    <x v="2"/>
    <x v="5"/>
    <x v="0"/>
    <s v="20A"/>
    <s v="160"/>
    <s v="Microcystis wesenbergii"/>
    <b v="1"/>
    <n v="10"/>
    <n v="109"/>
    <m/>
    <n v="342.43409722222202"/>
    <n v="6.5175481724305498E-2"/>
    <n v="342.43409722222202"/>
    <n v="6.5175481724305498E-2"/>
    <s v="Microcystis spp._x000a_"/>
  </r>
  <r>
    <s v="5739.1"/>
    <x v="2"/>
    <x v="6"/>
    <x v="0"/>
    <s v="20A"/>
    <s v="160"/>
    <s v="Dolichospermum circinale"/>
    <b v="1"/>
    <n v="10"/>
    <n v="27.266666666666701"/>
    <m/>
    <n v="1284.91326388889"/>
    <n v="0.73964747122500096"/>
    <n v="1284.91326388889"/>
    <n v="0.73964747122500096"/>
    <m/>
  </r>
  <r>
    <s v="5739.2"/>
    <x v="2"/>
    <x v="6"/>
    <x v="0"/>
    <s v="20A"/>
    <s v="160"/>
    <s v="Dolichospermum lemmermannii"/>
    <b v="1"/>
    <n v="10"/>
    <n v="30.75"/>
    <n v="42"/>
    <n v="5989.45510416667"/>
    <n v="0.65884006145833396"/>
    <n v="5989.45510416667"/>
    <n v="0.65884006145833396"/>
    <m/>
  </r>
  <r>
    <s v="5739.3"/>
    <x v="2"/>
    <x v="6"/>
    <x v="0"/>
    <s v="20A"/>
    <s v="160"/>
    <s v="Dolichospermum flos-aquae_x000a_"/>
    <b v="1"/>
    <n v="10"/>
    <n v="22"/>
    <m/>
    <n v="69.115138888888893"/>
    <n v="3.8704477777777801E-3"/>
    <n v="69.115138888888893"/>
    <n v="3.8704477777777801E-3"/>
    <m/>
  </r>
  <r>
    <s v="5739.4"/>
    <x v="2"/>
    <x v="6"/>
    <x v="0"/>
    <s v="20A"/>
    <s v="160"/>
    <s v="Dolichospermum planctonicum "/>
    <b v="1"/>
    <n v="10"/>
    <n v="13.8"/>
    <m/>
    <n v="216.77020833333299"/>
    <n v="8.0204977083333198E-2"/>
    <n v="216.77020833333299"/>
    <n v="8.0204977083333198E-2"/>
    <m/>
  </r>
  <r>
    <s v="5739.5"/>
    <x v="2"/>
    <x v="6"/>
    <x v="0"/>
    <s v="20A"/>
    <s v="160"/>
    <s v="Aphanocapsa sp"/>
    <b v="0"/>
    <n v="10"/>
    <n v="22"/>
    <m/>
    <n v="69.115138888888893"/>
    <n v="1.5550906250000001E-4"/>
    <n v="0"/>
    <n v="0"/>
    <m/>
  </r>
  <r>
    <s v="5739.6"/>
    <x v="2"/>
    <x v="6"/>
    <x v="0"/>
    <s v="20A"/>
    <s v="160"/>
    <s v="Pseudanabaena limnetica (cylinder)"/>
    <b v="1"/>
    <n v="10"/>
    <n v="10"/>
    <m/>
    <n v="31.415972222222202"/>
    <n v="2.4818618055555499E-3"/>
    <n v="31.415972222222202"/>
    <n v="2.4818618055555499E-3"/>
    <m/>
  </r>
  <r>
    <s v="5740.1"/>
    <x v="3"/>
    <x v="7"/>
    <x v="0"/>
    <s v="20A"/>
    <s v="17"/>
    <s v="Dolichospermum circinale"/>
    <b v="1"/>
    <n v="10"/>
    <n v="27"/>
    <n v="74"/>
    <n v="75043.517647058805"/>
    <n v="43.198050498352899"/>
    <n v="75043.517647058805"/>
    <n v="43.198050498352899"/>
    <m/>
  </r>
  <r>
    <s v="5740.2"/>
    <x v="3"/>
    <x v="7"/>
    <x v="0"/>
    <s v="20A"/>
    <s v="17"/>
    <s v="Dolichospermum planctonicum "/>
    <b v="1"/>
    <n v="10"/>
    <n v="19.6666666666667"/>
    <m/>
    <n v="1744.51045751634"/>
    <n v="0.64546886928104596"/>
    <n v="1744.51045751634"/>
    <n v="0.64546886928104596"/>
    <m/>
  </r>
  <r>
    <s v="5740.3"/>
    <x v="3"/>
    <x v="7"/>
    <x v="0"/>
    <s v="20A"/>
    <s v="17"/>
    <s v="Woronichinia naegeliana"/>
    <b v="1"/>
    <n v="10"/>
    <n v="170"/>
    <m/>
    <n v="5026.5555555555502"/>
    <n v="0"/>
    <n v="5026.5555555555602"/>
    <n v="0"/>
    <m/>
  </r>
  <r>
    <s v="5740.4"/>
    <x v="3"/>
    <x v="7"/>
    <x v="0"/>
    <s v="20A"/>
    <s v="17"/>
    <s v="Dolichospermum spiroides"/>
    <b v="1"/>
    <n v="10"/>
    <n v="40.5"/>
    <m/>
    <n v="2395.0058823529398"/>
    <n v="0.62270152941176404"/>
    <n v="2395.0058823529398"/>
    <n v="0.62270152941176404"/>
    <m/>
  </r>
  <r>
    <s v="5741.1"/>
    <x v="4"/>
    <x v="8"/>
    <x v="0"/>
    <s v="20A"/>
    <s v="160"/>
    <s v="Dolichospermum sp"/>
    <b v="1"/>
    <n v="10"/>
    <n v="22.2"/>
    <n v="32"/>
    <n v="3626.65983333333"/>
    <n v="0.68906536833333298"/>
    <n v="3626.65983333333"/>
    <n v="0.68906536833333298"/>
    <m/>
  </r>
  <r>
    <s v="5742.1"/>
    <x v="4"/>
    <x v="9"/>
    <x v="0"/>
    <s v="20A"/>
    <s v="Whole Plate"/>
    <s v="Dolichospermum sp"/>
    <b v="1"/>
    <n v="10"/>
    <n v="21"/>
    <n v="32"/>
    <n v="109.2"/>
    <n v="2.0747999999999999E-2"/>
    <n v="109.2"/>
    <n v="2.0747999999999999E-2"/>
    <m/>
  </r>
  <r>
    <s v="5742.2"/>
    <x v="4"/>
    <x v="9"/>
    <x v="0"/>
    <s v="20A"/>
    <s v="Whole Plate"/>
    <s v="Pseudanabaena limnetica (cylinder)"/>
    <b v="1"/>
    <n v="10"/>
    <n v="9"/>
    <m/>
    <n v="4.5"/>
    <n v="3.5550000000000002E-4"/>
    <n v="4.5"/>
    <n v="3.5550000000000002E-4"/>
    <m/>
  </r>
  <r>
    <s v="5742.3"/>
    <x v="4"/>
    <x v="9"/>
    <x v="0"/>
    <s v="20A"/>
    <s v="Whole Plate"/>
    <s v="Aphanocapsa sp"/>
    <b v="0"/>
    <n v="10"/>
    <n v="6"/>
    <m/>
    <n v="0.6"/>
    <n v="1.35E-6"/>
    <n v="0"/>
    <n v="0"/>
    <m/>
  </r>
  <r>
    <s v="5742.4"/>
    <x v="4"/>
    <x v="9"/>
    <x v="0"/>
    <s v="20A"/>
    <s v="Whole Plate"/>
    <s v="Dolichospermum planctonicum "/>
    <b v="1"/>
    <n v="10"/>
    <n v="18.3333333333333"/>
    <m/>
    <n v="5.5"/>
    <n v="2.0349999999999999E-3"/>
    <n v="5.5"/>
    <n v="2.0349999999999999E-3"/>
    <m/>
  </r>
  <r>
    <s v="5743.1"/>
    <x v="2"/>
    <x v="10"/>
    <x v="0"/>
    <s v="20A"/>
    <s v="Whole Plate"/>
    <s v="Aphanocapsa sp"/>
    <b v="0"/>
    <n v="10"/>
    <n v="12"/>
    <m/>
    <n v="1.2"/>
    <n v="2.7E-6"/>
    <n v="0"/>
    <n v="0"/>
    <m/>
  </r>
  <r>
    <s v="5743.2"/>
    <x v="2"/>
    <x v="10"/>
    <x v="0"/>
    <s v="20A"/>
    <s v="Whole Plate"/>
    <s v="Dolichospermum sp"/>
    <b v="1"/>
    <n v="10"/>
    <n v="26"/>
    <m/>
    <n v="31.2"/>
    <n v="5.9280000000000001E-3"/>
    <n v="31.2"/>
    <n v="5.9280000000000001E-3"/>
    <m/>
  </r>
  <r>
    <s v="5743.3"/>
    <x v="2"/>
    <x v="10"/>
    <x v="0"/>
    <s v="20A"/>
    <s v="Whole Plate"/>
    <s v="Dolichospermum planctonicum "/>
    <b v="1"/>
    <n v="10"/>
    <n v="33"/>
    <m/>
    <n v="9.9"/>
    <n v="3.663E-3"/>
    <n v="9.9"/>
    <n v="3.663E-3"/>
    <m/>
  </r>
  <r>
    <s v="5744.1"/>
    <x v="2"/>
    <x v="11"/>
    <x v="0"/>
    <s v="20A"/>
    <s v="Whole Plate"/>
    <s v="Dolichospermum sp"/>
    <b v="1"/>
    <n v="10"/>
    <n v="25.55"/>
    <n v="97"/>
    <n v="298.935"/>
    <n v="5.6797649999999998E-2"/>
    <n v="298.935"/>
    <n v="5.6797649999999998E-2"/>
    <m/>
  </r>
  <r>
    <s v="5744.2"/>
    <x v="2"/>
    <x v="11"/>
    <x v="0"/>
    <s v="20A"/>
    <s v="Whole Plate"/>
    <s v="Dolichospermum planctonicum "/>
    <b v="1"/>
    <n v="10"/>
    <n v="32.25"/>
    <m/>
    <n v="12.9"/>
    <n v="4.7730000000000003E-3"/>
    <n v="12.9"/>
    <n v="4.7730000000000003E-3"/>
    <m/>
  </r>
  <r>
    <s v="5744.3"/>
    <x v="2"/>
    <x v="11"/>
    <x v="0"/>
    <s v="20A"/>
    <s v="Whole Plate"/>
    <s v="Aphanocapsa sp"/>
    <b v="0"/>
    <n v="10"/>
    <n v="14"/>
    <m/>
    <n v="5.6"/>
    <n v="1.26E-5"/>
    <n v="0"/>
    <n v="0"/>
    <m/>
  </r>
  <r>
    <s v="5744.4"/>
    <x v="2"/>
    <x v="11"/>
    <x v="0"/>
    <s v="20A"/>
    <s v="Whole Plate"/>
    <s v="Microcystis wesenbergii"/>
    <b v="1"/>
    <n v="10"/>
    <n v="28"/>
    <m/>
    <n v="2.8"/>
    <n v="5.3292400000000005E-4"/>
    <n v="2.8"/>
    <n v="5.3292400000000005E-4"/>
    <s v="Microcystis spp._x000a_"/>
  </r>
  <r>
    <s v="5745.1"/>
    <x v="2"/>
    <x v="12"/>
    <x v="0"/>
    <s v="20A"/>
    <s v="Whole Plate"/>
    <s v="Dolichospermum sp"/>
    <b v="1"/>
    <n v="10"/>
    <n v="23.8"/>
    <n v="25"/>
    <n v="107.1"/>
    <n v="2.0348999999999999E-2"/>
    <n v="107.1"/>
    <n v="2.0348999999999999E-2"/>
    <m/>
  </r>
  <r>
    <s v="5745.2"/>
    <x v="2"/>
    <x v="12"/>
    <x v="0"/>
    <s v="20A"/>
    <s v="Whole Plate"/>
    <s v="Dolichospermum planctonicum "/>
    <b v="1"/>
    <n v="10"/>
    <n v="42.5"/>
    <m/>
    <n v="8.5"/>
    <n v="3.1449999999999998E-3"/>
    <n v="8.5"/>
    <n v="3.1449999999999998E-3"/>
    <m/>
  </r>
  <r>
    <s v="5745.3"/>
    <x v="2"/>
    <x v="12"/>
    <x v="0"/>
    <s v="20A"/>
    <s v="Whole Plate"/>
    <s v="Aphanocapsa sp"/>
    <b v="0"/>
    <n v="10"/>
    <n v="13"/>
    <m/>
    <n v="2.6"/>
    <n v="5.8499999999999999E-6"/>
    <n v="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AlertWarning" cacheId="21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8:D23" firstHeaderRow="1" firstDataRow="3" firstDataCol="2"/>
  <pivotFields count="16">
    <pivotField name="SampleId" compact="0" outline="0" defaultSubtotal="0"/>
    <pivotField name="Location" axis="axisRow" compact="0" outline="0" showAll="0" defaultSubtotal="0">
      <items count="5">
        <item x="0"/>
        <item x="1"/>
        <item x="2"/>
        <item x="3"/>
        <item x="4"/>
      </items>
    </pivotField>
    <pivotField name="Site"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compact="0" outline="0" defaultSubtotal="0"/>
    <pivotField name="TotalBioVolume" dataField="1" compact="0" outline="0" defaultSubtotal="0"/>
    <pivotField name="PotentiallyToxicCellMl" compact="0" outline="0" defaultSubtotal="0"/>
    <pivotField name="PotentiallyToxicBioVolume" dataField="1" compact="0" outline="0" defaultSubtotal="0"/>
    <pivotField name="ToxinCluster" compact="0" outline="0" defaultSubtotal="0"/>
  </pivotFields>
  <rowFields count="2">
    <field x="1"/>
    <field x="2"/>
  </rowFields>
  <rowItems count="13">
    <i>
      <x/>
      <x/>
    </i>
    <i r="1">
      <x v="1"/>
    </i>
    <i r="1">
      <x v="3"/>
    </i>
    <i r="1">
      <x v="4"/>
    </i>
    <i>
      <x v="1"/>
      <x v="2"/>
    </i>
    <i>
      <x v="2"/>
      <x v="5"/>
    </i>
    <i r="1">
      <x v="6"/>
    </i>
    <i r="1">
      <x v="10"/>
    </i>
    <i r="1">
      <x v="11"/>
    </i>
    <i r="1">
      <x v="12"/>
    </i>
    <i>
      <x v="3"/>
      <x v="7"/>
    </i>
    <i>
      <x v="4"/>
      <x v="8"/>
    </i>
    <i r="1">
      <x v="9"/>
    </i>
  </rowItems>
  <colFields count="2">
    <field x="3"/>
    <field x="-2"/>
  </colFields>
  <colItems count="2">
    <i>
      <x/>
      <x/>
    </i>
    <i r="1" i="1">
      <x v="1"/>
    </i>
  </colItems>
  <dataFields count="2">
    <dataField name="TotalBioVolume" fld="12" baseField="0" baseItem="0"/>
    <dataField name="PotentiallyToxicBioVolume" fld="14" baseField="0" baseItem="0"/>
  </dataFields>
  <formats count="12">
    <format dxfId="16">
      <pivotArea outline="0" fieldPosition="0">
        <references count="2">
          <reference field="1" count="1" selected="0">
            <x v="0"/>
          </reference>
          <reference field="2" count="2" selected="0">
            <x v="0"/>
            <x v="1"/>
          </reference>
        </references>
      </pivotArea>
    </format>
    <format dxfId="15">
      <pivotArea outline="0" fieldPosition="0">
        <references count="2">
          <reference field="1" count="1" selected="0">
            <x v="0"/>
          </reference>
          <reference field="2" count="1" selected="0">
            <x v="3"/>
          </reference>
        </references>
      </pivotArea>
    </format>
    <format dxfId="14">
      <pivotArea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4"/>
          </reference>
          <reference field="3" count="0" selected="0"/>
        </references>
      </pivotArea>
    </format>
    <format dxfId="13">
      <pivotArea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"/>
          </reference>
          <reference field="3" count="0" selected="0"/>
        </references>
      </pivotArea>
    </format>
    <format dxfId="12">
      <pivotArea outline="0" fieldPosition="0">
        <references count="4">
          <reference field="4294967294" count="1" selected="0">
            <x v="0"/>
          </reference>
          <reference field="1" count="1" selected="0">
            <x v="2"/>
          </reference>
          <reference field="2" count="2" selected="0">
            <x v="5"/>
            <x v="6"/>
          </reference>
          <reference field="3" count="0" selected="0"/>
        </references>
      </pivotArea>
    </format>
    <format dxfId="8">
      <pivotArea outline="0" fieldPosition="0"/>
    </format>
    <format dxfId="6">
      <pivotArea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4"/>
          </reference>
          <reference field="3" count="0" selected="0"/>
        </references>
      </pivotArea>
    </format>
    <format dxfId="5">
      <pivotArea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2"/>
          </reference>
          <reference field="3" count="0" selected="0"/>
        </references>
      </pivotArea>
    </format>
    <format dxfId="4">
      <pivotArea outline="0" fieldPosition="0">
        <references count="4">
          <reference field="4294967294" count="1" selected="0">
            <x v="1"/>
          </reference>
          <reference field="1" count="1" selected="0">
            <x v="2"/>
          </reference>
          <reference field="2" count="2" selected="0">
            <x v="5"/>
            <x v="6"/>
          </reference>
          <reference field="3" count="0" selected="0"/>
        </references>
      </pivotArea>
    </format>
    <format dxfId="3">
      <pivotArea outline="0" fieldPosition="0">
        <references count="2">
          <reference field="1" count="1" selected="0">
            <x v="2"/>
          </reference>
          <reference field="2" count="3" selected="0">
            <x v="10"/>
            <x v="11"/>
            <x v="12"/>
          </reference>
        </references>
      </pivotArea>
    </format>
    <format dxfId="2">
      <pivotArea outline="0" fieldPosition="0">
        <references count="2">
          <reference field="1" count="1" selected="0">
            <x v="3"/>
          </reference>
          <reference field="2" count="1" selected="0">
            <x v="7"/>
          </reference>
        </references>
      </pivotArea>
    </format>
    <format dxfId="1">
      <pivotArea outline="0" fieldPosition="0">
        <references count="1">
          <reference field="1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CellsPermL" cacheId="15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8:D12" firstHeaderRow="1" firstDataRow="3" firstDataCol="2"/>
  <pivotFields count="16">
    <pivotField name="SampleId" compact="0" outline="0" defaultSubtotal="0"/>
    <pivotField name="Location" axis="axisRow" compact="0" outline="0" showAll="0" defaultSubtotal="0">
      <items count="1">
        <item x="0"/>
      </items>
    </pivotField>
    <pivotField name="Site" axis="axisRow" compact="0" outline="0" showAll="0" defaultSubtotal="0">
      <items count="2">
        <item x="0"/>
        <item x="1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dataField="1" compact="0" outline="0" defaultSubtotal="0"/>
    <pivotField name="TotalBioVolume" compact="0" outline="0" defaultSubtotal="0"/>
    <pivotField name="PotentiallyToxicCellMl" compact="0" outline="0" defaultSubtotal="0"/>
    <pivotField name="PotentiallyToxicBioVolume" compact="0" outline="0" defaultSubtotal="0"/>
    <pivotField name="ToxinCluster" axis="axisCol" compact="0" outline="0" showAll="0" defaultSubtotal="0">
      <items count="2">
        <item m="1" x="1"/>
        <item x="0"/>
      </items>
    </pivotField>
  </pivotFields>
  <rowFields count="2">
    <field x="1"/>
    <field x="2"/>
  </rowFields>
  <rowItems count="2">
    <i>
      <x/>
      <x/>
    </i>
    <i r="1">
      <x v="1"/>
    </i>
  </rowItems>
  <colFields count="2">
    <field x="3"/>
    <field x="15"/>
  </colFields>
  <colItems count="1">
    <i>
      <x/>
      <x v="1"/>
    </i>
  </colItems>
  <dataFields count="1">
    <dataField name="CellsPerMl" fld="11" baseField="0" baseItem="0"/>
  </dataFields>
  <formats count="1">
    <format dxfId="0">
      <pivotArea outline="0" fieldPosition="0"/>
    </format>
  </format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AlertWarning" cacheId="8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37:C51" firstHeaderRow="1" firstDataRow="2" firstDataCol="2"/>
  <pivotFields count="16">
    <pivotField name="SampleId" compact="0" outline="0" defaultSubtotal="0"/>
    <pivotField name="Location" axis="axisRow" compact="0" outline="0" showAll="0" defaultSubtotal="0">
      <items count="5">
        <item x="0"/>
        <item x="1"/>
        <item x="2"/>
        <item x="3"/>
        <item x="4"/>
      </items>
    </pivotField>
    <pivotField name="Site"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compact="0" outline="0" defaultSubtotal="0"/>
    <pivotField name="TotalBioVolume" dataField="1" compact="0" outline="0" defaultSubtotal="0"/>
    <pivotField name="PotentiallyToxicCellMl" compact="0" outline="0" defaultSubtotal="0"/>
    <pivotField name="PotentiallyToxicBioVolume" compact="0" outline="0" defaultSubtotal="0"/>
    <pivotField name="ToxinCluster" compact="0" outline="0" defaultSubtotal="0"/>
  </pivotFields>
  <rowFields count="2">
    <field x="1"/>
    <field x="2"/>
  </rowFields>
  <rowItems count="13">
    <i>
      <x/>
      <x/>
    </i>
    <i r="1">
      <x v="1"/>
    </i>
    <i r="1">
      <x v="3"/>
    </i>
    <i r="1">
      <x v="4"/>
    </i>
    <i>
      <x v="1"/>
      <x v="2"/>
    </i>
    <i>
      <x v="2"/>
      <x v="5"/>
    </i>
    <i r="1">
      <x v="6"/>
    </i>
    <i r="1">
      <x v="10"/>
    </i>
    <i r="1">
      <x v="11"/>
    </i>
    <i r="1">
      <x v="12"/>
    </i>
    <i>
      <x v="3"/>
      <x v="7"/>
    </i>
    <i>
      <x v="4"/>
      <x v="8"/>
    </i>
    <i r="1">
      <x v="9"/>
    </i>
  </rowItems>
  <colFields count="1">
    <field x="3"/>
  </colFields>
  <colItems count="1">
    <i>
      <x/>
    </i>
  </colItems>
  <dataFields count="1">
    <dataField name="TotalBioVolume" fld="12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54" totalsRowShown="0">
  <autoFilter ref="A1:P54" xr:uid="{00000000-0009-0000-0100-000001000000}"/>
  <tableColumns count="16">
    <tableColumn id="1" xr3:uid="{00000000-0010-0000-0000-000001000000}" name="SampleId"/>
    <tableColumn id="2" xr3:uid="{00000000-0010-0000-0000-000002000000}" name="Location"/>
    <tableColumn id="3" xr3:uid="{00000000-0010-0000-0000-000003000000}" name="Site"/>
    <tableColumn id="4" xr3:uid="{00000000-0010-0000-0000-000004000000}" name="SampleDate"/>
    <tableColumn id="5" xr3:uid="{00000000-0010-0000-0000-000005000000}" name="MicroscopeType"/>
    <tableColumn id="6" xr3:uid="{00000000-0010-0000-0000-000006000000}" name="WholePlate"/>
    <tableColumn id="7" xr3:uid="{00000000-0010-0000-0000-000007000000}" name="Species"/>
    <tableColumn id="8" xr3:uid="{00000000-0010-0000-0000-000008000000}" name="IsSpeciesToxic"/>
    <tableColumn id="9" xr3:uid="{00000000-0010-0000-0000-000009000000}" name="VolumeInMillilitres"/>
    <tableColumn id="10" xr3:uid="{00000000-0010-0000-0000-00000A000000}" name="Average"/>
    <tableColumn id="11" xr3:uid="{00000000-0010-0000-0000-00000B000000}" name="NumberOfColonies"/>
    <tableColumn id="12" xr3:uid="{00000000-0010-0000-0000-00000C000000}" name="CellsPerMl"/>
    <tableColumn id="13" xr3:uid="{00000000-0010-0000-0000-00000D000000}" name="TotalBioVolume"/>
    <tableColumn id="14" xr3:uid="{00000000-0010-0000-0000-00000E000000}" name="PotentiallyToxicCellMl"/>
    <tableColumn id="15" xr3:uid="{00000000-0010-0000-0000-00000F000000}" name="PotentiallyToxicBioVolume"/>
    <tableColumn id="16" xr3:uid="{00000000-0010-0000-0000-000010000000}" name="ToxinClust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1" displayName="Table11" ref="A1:P3" totalsRowShown="0">
  <autoFilter ref="A1:P3" xr:uid="{00000000-0009-0000-0100-000002000000}"/>
  <tableColumns count="16">
    <tableColumn id="1" xr3:uid="{00000000-0010-0000-0100-000001000000}" name="SampleId"/>
    <tableColumn id="2" xr3:uid="{00000000-0010-0000-0100-000002000000}" name="Location"/>
    <tableColumn id="3" xr3:uid="{00000000-0010-0000-0100-000003000000}" name="Site"/>
    <tableColumn id="4" xr3:uid="{00000000-0010-0000-0100-000004000000}" name="SampleDate"/>
    <tableColumn id="5" xr3:uid="{00000000-0010-0000-0100-000005000000}" name="MicroscopeType"/>
    <tableColumn id="6" xr3:uid="{00000000-0010-0000-0100-000006000000}" name="WholePlate"/>
    <tableColumn id="7" xr3:uid="{00000000-0010-0000-0100-000007000000}" name="Species"/>
    <tableColumn id="8" xr3:uid="{00000000-0010-0000-0100-000008000000}" name="IsSpeciesToxic"/>
    <tableColumn id="9" xr3:uid="{00000000-0010-0000-0100-000009000000}" name="VolumeInMillilitres"/>
    <tableColumn id="10" xr3:uid="{00000000-0010-0000-0100-00000A000000}" name="Average"/>
    <tableColumn id="11" xr3:uid="{00000000-0010-0000-0100-00000B000000}" name="NumberOfColonies"/>
    <tableColumn id="12" xr3:uid="{00000000-0010-0000-0100-00000C000000}" name="CellsPerMl"/>
    <tableColumn id="13" xr3:uid="{00000000-0010-0000-0100-00000D000000}" name="TotalBioVolume"/>
    <tableColumn id="14" xr3:uid="{00000000-0010-0000-0100-00000E000000}" name="PotentiallyToxicCellMl"/>
    <tableColumn id="15" xr3:uid="{00000000-0010-0000-0100-00000F000000}" name="PotentiallyToxicBioVolume"/>
    <tableColumn id="16" xr3:uid="{00000000-0010-0000-0100-000010000000}" name="ToxinClus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4"/>
  <sheetViews>
    <sheetView workbookViewId="0"/>
  </sheetViews>
  <sheetFormatPr defaultRowHeight="15" x14ac:dyDescent="0.25"/>
  <cols>
    <col min="1" max="1" width="12.42578125" customWidth="1"/>
    <col min="2" max="2" width="11.85546875" customWidth="1"/>
    <col min="3" max="3" width="13.85546875" customWidth="1"/>
    <col min="4" max="4" width="14.85546875" customWidth="1"/>
    <col min="5" max="5" width="18.5703125" customWidth="1"/>
    <col min="6" max="6" width="14.42578125" customWidth="1"/>
    <col min="7" max="7" width="32.140625" customWidth="1"/>
    <col min="8" max="8" width="16.5703125" customWidth="1"/>
    <col min="9" max="9" width="20.7109375" customWidth="1"/>
    <col min="10" max="10" width="18.28515625" customWidth="1"/>
    <col min="11" max="11" width="20.85546875" customWidth="1"/>
    <col min="12" max="12" width="18.28515625" customWidth="1"/>
    <col min="13" max="13" width="22.5703125" customWidth="1"/>
    <col min="14" max="14" width="23.42578125" customWidth="1"/>
    <col min="15" max="15" width="27.42578125" customWidth="1"/>
    <col min="16" max="16" width="15.140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b">
        <v>1</v>
      </c>
      <c r="I2">
        <v>10</v>
      </c>
      <c r="J2">
        <v>43.15</v>
      </c>
      <c r="K2">
        <v>192</v>
      </c>
      <c r="L2">
        <v>28738.7030694444</v>
      </c>
      <c r="M2">
        <v>16.543147034895</v>
      </c>
      <c r="N2">
        <v>28738.7030694444</v>
      </c>
      <c r="O2">
        <v>16.543147034895</v>
      </c>
    </row>
    <row r="3" spans="1:16" x14ac:dyDescent="0.25">
      <c r="A3" t="s">
        <v>23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24</v>
      </c>
      <c r="H3" t="b">
        <v>1</v>
      </c>
      <c r="I3">
        <v>10</v>
      </c>
      <c r="J3">
        <v>6</v>
      </c>
      <c r="L3">
        <v>37.699166666666699</v>
      </c>
      <c r="M3">
        <v>1.4702675000000001E-3</v>
      </c>
      <c r="N3">
        <v>37.699166666666699</v>
      </c>
      <c r="O3">
        <v>1.4702675000000001E-3</v>
      </c>
    </row>
    <row r="4" spans="1:16" x14ac:dyDescent="0.25">
      <c r="A4" t="s">
        <v>25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26</v>
      </c>
      <c r="H4" t="b">
        <v>1</v>
      </c>
      <c r="I4">
        <v>10</v>
      </c>
      <c r="J4">
        <v>52</v>
      </c>
      <c r="L4">
        <v>163.363055555556</v>
      </c>
      <c r="M4">
        <v>6.0444330555555703E-2</v>
      </c>
      <c r="N4">
        <v>163.363055555556</v>
      </c>
      <c r="O4">
        <v>6.0444330555555703E-2</v>
      </c>
    </row>
    <row r="5" spans="1:16" x14ac:dyDescent="0.25">
      <c r="A5" t="s">
        <v>27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28</v>
      </c>
      <c r="H5" t="b">
        <v>1</v>
      </c>
      <c r="I5">
        <v>10</v>
      </c>
      <c r="J5">
        <v>37.3333333333333</v>
      </c>
      <c r="L5">
        <v>351.858888888889</v>
      </c>
      <c r="M5">
        <v>9.1483311111111104E-2</v>
      </c>
      <c r="N5">
        <v>351.858888888889</v>
      </c>
      <c r="O5">
        <v>9.1483311111111104E-2</v>
      </c>
    </row>
    <row r="6" spans="1:16" x14ac:dyDescent="0.25">
      <c r="A6" t="s">
        <v>29</v>
      </c>
      <c r="B6" t="s">
        <v>17</v>
      </c>
      <c r="C6" t="s">
        <v>30</v>
      </c>
      <c r="D6" t="s">
        <v>19</v>
      </c>
      <c r="E6" t="s">
        <v>20</v>
      </c>
      <c r="F6" t="s">
        <v>21</v>
      </c>
      <c r="G6" t="s">
        <v>22</v>
      </c>
      <c r="H6" t="b">
        <v>1</v>
      </c>
      <c r="I6">
        <v>10</v>
      </c>
      <c r="J6">
        <v>38.700000000000003</v>
      </c>
      <c r="K6">
        <v>229</v>
      </c>
      <c r="L6">
        <v>30273.3733125</v>
      </c>
      <c r="M6">
        <v>17.4265646136075</v>
      </c>
      <c r="N6">
        <v>30273.3733125</v>
      </c>
      <c r="O6">
        <v>17.4265646136075</v>
      </c>
    </row>
    <row r="7" spans="1:16" x14ac:dyDescent="0.25">
      <c r="A7" t="s">
        <v>31</v>
      </c>
      <c r="B7" t="s">
        <v>17</v>
      </c>
      <c r="C7" t="s">
        <v>30</v>
      </c>
      <c r="D7" t="s">
        <v>19</v>
      </c>
      <c r="E7" t="s">
        <v>20</v>
      </c>
      <c r="F7" t="s">
        <v>21</v>
      </c>
      <c r="G7" t="s">
        <v>32</v>
      </c>
      <c r="H7" t="b">
        <v>0</v>
      </c>
      <c r="I7">
        <v>10</v>
      </c>
      <c r="J7">
        <v>16.25</v>
      </c>
      <c r="L7">
        <v>204.20381944444401</v>
      </c>
      <c r="M7">
        <v>4.5945859374999897E-4</v>
      </c>
      <c r="N7">
        <v>0</v>
      </c>
      <c r="O7">
        <v>0</v>
      </c>
    </row>
    <row r="8" spans="1:16" x14ac:dyDescent="0.25">
      <c r="A8" t="s">
        <v>33</v>
      </c>
      <c r="B8" t="s">
        <v>17</v>
      </c>
      <c r="C8" t="s">
        <v>30</v>
      </c>
      <c r="D8" t="s">
        <v>19</v>
      </c>
      <c r="E8" t="s">
        <v>20</v>
      </c>
      <c r="F8" t="s">
        <v>21</v>
      </c>
      <c r="G8" t="s">
        <v>28</v>
      </c>
      <c r="H8" t="b">
        <v>1</v>
      </c>
      <c r="I8">
        <v>10</v>
      </c>
      <c r="J8">
        <v>42.4</v>
      </c>
      <c r="L8">
        <v>666.018611111111</v>
      </c>
      <c r="M8">
        <v>0.17316483888888901</v>
      </c>
      <c r="N8">
        <v>666.018611111111</v>
      </c>
      <c r="O8">
        <v>0.17316483888888901</v>
      </c>
    </row>
    <row r="9" spans="1:16" x14ac:dyDescent="0.25">
      <c r="A9" t="s">
        <v>34</v>
      </c>
      <c r="B9" t="s">
        <v>17</v>
      </c>
      <c r="C9" t="s">
        <v>30</v>
      </c>
      <c r="D9" t="s">
        <v>19</v>
      </c>
      <c r="E9" t="s">
        <v>20</v>
      </c>
      <c r="F9" t="s">
        <v>21</v>
      </c>
      <c r="G9" t="s">
        <v>24</v>
      </c>
      <c r="H9" t="b">
        <v>1</v>
      </c>
      <c r="I9">
        <v>10</v>
      </c>
      <c r="J9">
        <v>34</v>
      </c>
      <c r="L9">
        <v>320.44291666666697</v>
      </c>
      <c r="M9">
        <v>1.2497273749999999E-2</v>
      </c>
      <c r="N9">
        <v>320.44291666666697</v>
      </c>
      <c r="O9">
        <v>1.2497273749999999E-2</v>
      </c>
    </row>
    <row r="10" spans="1:16" x14ac:dyDescent="0.25">
      <c r="A10" t="s">
        <v>35</v>
      </c>
      <c r="B10" t="s">
        <v>17</v>
      </c>
      <c r="C10" t="s">
        <v>30</v>
      </c>
      <c r="D10" t="s">
        <v>19</v>
      </c>
      <c r="E10" t="s">
        <v>20</v>
      </c>
      <c r="F10" t="s">
        <v>21</v>
      </c>
      <c r="G10" t="s">
        <v>26</v>
      </c>
      <c r="H10" t="b">
        <v>1</v>
      </c>
      <c r="I10">
        <v>10</v>
      </c>
      <c r="J10">
        <v>25.6</v>
      </c>
      <c r="L10">
        <v>804.24888888888904</v>
      </c>
      <c r="M10">
        <v>0.29757208888888897</v>
      </c>
      <c r="N10">
        <v>804.24888888888904</v>
      </c>
      <c r="O10">
        <v>0.29757208888888897</v>
      </c>
    </row>
    <row r="11" spans="1:16" x14ac:dyDescent="0.25">
      <c r="A11" t="s">
        <v>36</v>
      </c>
      <c r="B11" t="s">
        <v>17</v>
      </c>
      <c r="C11" t="s">
        <v>30</v>
      </c>
      <c r="D11" t="s">
        <v>19</v>
      </c>
      <c r="E11" t="s">
        <v>20</v>
      </c>
      <c r="F11" t="s">
        <v>21</v>
      </c>
      <c r="G11" t="s">
        <v>37</v>
      </c>
      <c r="H11" t="b">
        <v>1</v>
      </c>
      <c r="I11">
        <v>10</v>
      </c>
      <c r="J11">
        <v>48</v>
      </c>
      <c r="L11">
        <v>603.18666666666695</v>
      </c>
      <c r="M11">
        <v>6.6350533333333406E-2</v>
      </c>
      <c r="N11">
        <v>603.18666666666695</v>
      </c>
      <c r="O11">
        <v>6.6350533333333406E-2</v>
      </c>
    </row>
    <row r="12" spans="1:16" x14ac:dyDescent="0.25">
      <c r="A12" t="s">
        <v>38</v>
      </c>
      <c r="B12" t="s">
        <v>39</v>
      </c>
      <c r="C12" t="s">
        <v>40</v>
      </c>
      <c r="D12" t="s">
        <v>19</v>
      </c>
      <c r="E12" t="s">
        <v>20</v>
      </c>
      <c r="F12" t="s">
        <v>21</v>
      </c>
      <c r="G12" t="s">
        <v>22</v>
      </c>
      <c r="H12" t="b">
        <v>1</v>
      </c>
      <c r="I12">
        <v>10</v>
      </c>
      <c r="J12">
        <v>20.2</v>
      </c>
      <c r="K12">
        <v>70</v>
      </c>
      <c r="L12">
        <v>5711.4237499999999</v>
      </c>
      <c r="M12">
        <v>3.2877239674499998</v>
      </c>
      <c r="N12">
        <v>5711.4237499999999</v>
      </c>
      <c r="O12">
        <v>3.2877239674499998</v>
      </c>
    </row>
    <row r="13" spans="1:16" x14ac:dyDescent="0.25">
      <c r="A13" t="s">
        <v>41</v>
      </c>
      <c r="B13" t="s">
        <v>39</v>
      </c>
      <c r="C13" t="s">
        <v>40</v>
      </c>
      <c r="D13" t="s">
        <v>19</v>
      </c>
      <c r="E13" t="s">
        <v>20</v>
      </c>
      <c r="F13" t="s">
        <v>21</v>
      </c>
      <c r="G13" t="s">
        <v>42</v>
      </c>
      <c r="H13" t="b">
        <v>1</v>
      </c>
      <c r="I13">
        <v>10</v>
      </c>
      <c r="J13">
        <v>12</v>
      </c>
      <c r="L13">
        <v>37.699166666666699</v>
      </c>
      <c r="M13">
        <v>0.10195739625</v>
      </c>
      <c r="N13">
        <v>37.699166666666699</v>
      </c>
      <c r="O13">
        <v>0.10195739625</v>
      </c>
    </row>
    <row r="14" spans="1:16" x14ac:dyDescent="0.25">
      <c r="A14" t="s">
        <v>43</v>
      </c>
      <c r="B14" t="s">
        <v>39</v>
      </c>
      <c r="C14" t="s">
        <v>40</v>
      </c>
      <c r="D14" t="s">
        <v>19</v>
      </c>
      <c r="E14" t="s">
        <v>20</v>
      </c>
      <c r="F14" t="s">
        <v>21</v>
      </c>
      <c r="G14" t="s">
        <v>28</v>
      </c>
      <c r="H14" t="b">
        <v>1</v>
      </c>
      <c r="I14">
        <v>10</v>
      </c>
      <c r="J14">
        <v>34.799999999999997</v>
      </c>
      <c r="L14">
        <v>546.63791666666702</v>
      </c>
      <c r="M14">
        <v>0.14212585833333299</v>
      </c>
      <c r="N14">
        <v>546.63791666666702</v>
      </c>
      <c r="O14">
        <v>0.14212585833333299</v>
      </c>
    </row>
    <row r="15" spans="1:16" x14ac:dyDescent="0.25">
      <c r="A15" t="s">
        <v>44</v>
      </c>
      <c r="B15" t="s">
        <v>39</v>
      </c>
      <c r="C15" t="s">
        <v>40</v>
      </c>
      <c r="D15" t="s">
        <v>19</v>
      </c>
      <c r="E15" t="s">
        <v>20</v>
      </c>
      <c r="F15" t="s">
        <v>21</v>
      </c>
      <c r="G15" t="s">
        <v>45</v>
      </c>
      <c r="H15" t="b">
        <v>1</v>
      </c>
      <c r="I15">
        <v>10</v>
      </c>
      <c r="J15">
        <v>85</v>
      </c>
      <c r="L15">
        <v>267.03576388888899</v>
      </c>
      <c r="M15">
        <v>8.3849229861111194E-2</v>
      </c>
      <c r="N15">
        <v>267.03576388888899</v>
      </c>
      <c r="O15">
        <v>8.3849229861111194E-2</v>
      </c>
    </row>
    <row r="16" spans="1:16" x14ac:dyDescent="0.25">
      <c r="A16" t="s">
        <v>46</v>
      </c>
      <c r="B16" t="s">
        <v>39</v>
      </c>
      <c r="C16" t="s">
        <v>40</v>
      </c>
      <c r="D16" t="s">
        <v>19</v>
      </c>
      <c r="E16" t="s">
        <v>20</v>
      </c>
      <c r="F16" t="s">
        <v>21</v>
      </c>
      <c r="G16" t="s">
        <v>32</v>
      </c>
      <c r="H16" t="b">
        <v>0</v>
      </c>
      <c r="I16">
        <v>10</v>
      </c>
      <c r="J16">
        <v>16</v>
      </c>
      <c r="L16">
        <v>50.265555555555601</v>
      </c>
      <c r="M16">
        <v>1.130975E-4</v>
      </c>
      <c r="N16">
        <v>0</v>
      </c>
      <c r="O16">
        <v>0</v>
      </c>
    </row>
    <row r="17" spans="1:16" x14ac:dyDescent="0.25">
      <c r="A17" t="s">
        <v>47</v>
      </c>
      <c r="B17" t="s">
        <v>39</v>
      </c>
      <c r="C17" t="s">
        <v>40</v>
      </c>
      <c r="D17" t="s">
        <v>19</v>
      </c>
      <c r="E17" t="s">
        <v>20</v>
      </c>
      <c r="F17" t="s">
        <v>21</v>
      </c>
      <c r="G17" t="s">
        <v>26</v>
      </c>
      <c r="H17" t="b">
        <v>1</v>
      </c>
      <c r="I17">
        <v>10</v>
      </c>
      <c r="J17">
        <v>15</v>
      </c>
      <c r="L17">
        <v>188.495833333333</v>
      </c>
      <c r="M17">
        <v>6.9743458333333203E-2</v>
      </c>
      <c r="N17">
        <v>188.495833333333</v>
      </c>
      <c r="O17">
        <v>6.9743458333333203E-2</v>
      </c>
    </row>
    <row r="18" spans="1:16" x14ac:dyDescent="0.25">
      <c r="A18" t="s">
        <v>48</v>
      </c>
      <c r="B18" t="s">
        <v>39</v>
      </c>
      <c r="C18" t="s">
        <v>40</v>
      </c>
      <c r="D18" t="s">
        <v>19</v>
      </c>
      <c r="E18" t="s">
        <v>20</v>
      </c>
      <c r="F18" t="s">
        <v>21</v>
      </c>
      <c r="G18" t="s">
        <v>49</v>
      </c>
      <c r="H18" t="b">
        <v>1</v>
      </c>
      <c r="I18">
        <v>10</v>
      </c>
      <c r="J18">
        <v>6</v>
      </c>
      <c r="L18">
        <v>18.8495833333333</v>
      </c>
      <c r="M18">
        <v>1.130975E-3</v>
      </c>
      <c r="N18">
        <v>18.8495833333333</v>
      </c>
      <c r="O18">
        <v>1.130975E-3</v>
      </c>
    </row>
    <row r="19" spans="1:16" x14ac:dyDescent="0.25">
      <c r="A19" t="s">
        <v>50</v>
      </c>
      <c r="B19" t="s">
        <v>17</v>
      </c>
      <c r="C19" t="s">
        <v>51</v>
      </c>
      <c r="D19" t="s">
        <v>19</v>
      </c>
      <c r="E19" t="s">
        <v>20</v>
      </c>
      <c r="F19" t="s">
        <v>21</v>
      </c>
      <c r="G19" t="s">
        <v>22</v>
      </c>
      <c r="H19" t="b">
        <v>1</v>
      </c>
      <c r="I19">
        <v>10</v>
      </c>
      <c r="J19">
        <v>42.5</v>
      </c>
      <c r="K19">
        <v>189</v>
      </c>
      <c r="L19">
        <v>27905.237326388899</v>
      </c>
      <c r="M19">
        <v>16.0633708145625</v>
      </c>
      <c r="N19">
        <v>27905.237326388899</v>
      </c>
      <c r="O19">
        <v>16.0633708145625</v>
      </c>
    </row>
    <row r="20" spans="1:16" x14ac:dyDescent="0.25">
      <c r="A20" t="s">
        <v>52</v>
      </c>
      <c r="B20" t="s">
        <v>17</v>
      </c>
      <c r="C20" t="s">
        <v>51</v>
      </c>
      <c r="D20" t="s">
        <v>19</v>
      </c>
      <c r="E20" t="s">
        <v>20</v>
      </c>
      <c r="F20" t="s">
        <v>21</v>
      </c>
      <c r="G20" t="s">
        <v>26</v>
      </c>
      <c r="H20" t="b">
        <v>1</v>
      </c>
      <c r="I20">
        <v>10</v>
      </c>
      <c r="J20">
        <v>49.25</v>
      </c>
      <c r="L20">
        <v>618.89465277777799</v>
      </c>
      <c r="M20">
        <v>0.228991021527778</v>
      </c>
      <c r="N20">
        <v>618.89465277777799</v>
      </c>
      <c r="O20">
        <v>0.228991021527778</v>
      </c>
    </row>
    <row r="21" spans="1:16" x14ac:dyDescent="0.25">
      <c r="A21" t="s">
        <v>53</v>
      </c>
      <c r="B21" t="s">
        <v>17</v>
      </c>
      <c r="C21" t="s">
        <v>51</v>
      </c>
      <c r="D21" t="s">
        <v>19</v>
      </c>
      <c r="E21" t="s">
        <v>20</v>
      </c>
      <c r="F21" t="s">
        <v>21</v>
      </c>
      <c r="G21" t="s">
        <v>28</v>
      </c>
      <c r="H21" t="b">
        <v>1</v>
      </c>
      <c r="I21">
        <v>10</v>
      </c>
      <c r="J21">
        <v>30</v>
      </c>
      <c r="L21">
        <v>94.247916666666697</v>
      </c>
      <c r="M21">
        <v>2.4504458333333302E-2</v>
      </c>
      <c r="N21">
        <v>94.247916666666598</v>
      </c>
      <c r="O21">
        <v>2.4504458333333302E-2</v>
      </c>
    </row>
    <row r="22" spans="1:16" x14ac:dyDescent="0.25">
      <c r="A22" t="s">
        <v>54</v>
      </c>
      <c r="B22" t="s">
        <v>17</v>
      </c>
      <c r="C22" t="s">
        <v>55</v>
      </c>
      <c r="D22" t="s">
        <v>19</v>
      </c>
      <c r="E22" t="s">
        <v>20</v>
      </c>
      <c r="F22" t="s">
        <v>21</v>
      </c>
      <c r="G22" t="s">
        <v>22</v>
      </c>
      <c r="H22" t="b">
        <v>1</v>
      </c>
      <c r="I22">
        <v>10</v>
      </c>
      <c r="J22">
        <v>33.799999999999997</v>
      </c>
      <c r="K22">
        <v>77</v>
      </c>
      <c r="L22">
        <v>10300.0406527778</v>
      </c>
      <c r="M22">
        <v>5.92911540136501</v>
      </c>
      <c r="N22">
        <v>10300.0406527778</v>
      </c>
      <c r="O22">
        <v>5.92911540136501</v>
      </c>
    </row>
    <row r="23" spans="1:16" x14ac:dyDescent="0.25">
      <c r="A23" t="s">
        <v>56</v>
      </c>
      <c r="B23" t="s">
        <v>17</v>
      </c>
      <c r="C23" t="s">
        <v>55</v>
      </c>
      <c r="D23" t="s">
        <v>19</v>
      </c>
      <c r="E23" t="s">
        <v>20</v>
      </c>
      <c r="F23" t="s">
        <v>21</v>
      </c>
      <c r="G23" t="s">
        <v>26</v>
      </c>
      <c r="H23" t="b">
        <v>1</v>
      </c>
      <c r="I23">
        <v>10</v>
      </c>
      <c r="J23">
        <v>16</v>
      </c>
      <c r="L23">
        <v>100.531111111111</v>
      </c>
      <c r="M23">
        <v>3.7196511111111101E-2</v>
      </c>
      <c r="N23">
        <v>100.531111111111</v>
      </c>
      <c r="O23">
        <v>3.7196511111111101E-2</v>
      </c>
    </row>
    <row r="24" spans="1:16" x14ac:dyDescent="0.25">
      <c r="A24" t="s">
        <v>57</v>
      </c>
      <c r="B24" t="s">
        <v>17</v>
      </c>
      <c r="C24" t="s">
        <v>55</v>
      </c>
      <c r="D24" t="s">
        <v>19</v>
      </c>
      <c r="E24" t="s">
        <v>20</v>
      </c>
      <c r="F24" t="s">
        <v>21</v>
      </c>
      <c r="G24" t="s">
        <v>58</v>
      </c>
      <c r="H24" t="b">
        <v>1</v>
      </c>
      <c r="I24">
        <v>10</v>
      </c>
      <c r="J24">
        <v>38</v>
      </c>
      <c r="L24">
        <v>119.380694444444</v>
      </c>
      <c r="M24">
        <v>5.1691840694444303E-2</v>
      </c>
      <c r="N24">
        <v>119.380694444444</v>
      </c>
      <c r="O24">
        <v>5.1691840694444303E-2</v>
      </c>
    </row>
    <row r="25" spans="1:16" x14ac:dyDescent="0.25">
      <c r="A25" t="s">
        <v>59</v>
      </c>
      <c r="B25" t="s">
        <v>60</v>
      </c>
      <c r="C25" t="s">
        <v>61</v>
      </c>
      <c r="D25" t="s">
        <v>19</v>
      </c>
      <c r="E25" t="s">
        <v>20</v>
      </c>
      <c r="F25" t="s">
        <v>21</v>
      </c>
      <c r="G25" t="s">
        <v>37</v>
      </c>
      <c r="H25" t="b">
        <v>1</v>
      </c>
      <c r="I25">
        <v>10</v>
      </c>
      <c r="J25">
        <v>25.75</v>
      </c>
      <c r="K25">
        <v>56</v>
      </c>
      <c r="L25">
        <v>6148.1057638888897</v>
      </c>
      <c r="M25">
        <v>0.67629163402777803</v>
      </c>
      <c r="N25">
        <v>6148.1057638888897</v>
      </c>
      <c r="O25">
        <v>0.67629163402777803</v>
      </c>
    </row>
    <row r="26" spans="1:16" x14ac:dyDescent="0.25">
      <c r="A26" t="s">
        <v>62</v>
      </c>
      <c r="B26" t="s">
        <v>60</v>
      </c>
      <c r="C26" t="s">
        <v>61</v>
      </c>
      <c r="D26" t="s">
        <v>19</v>
      </c>
      <c r="E26" t="s">
        <v>20</v>
      </c>
      <c r="F26" t="s">
        <v>21</v>
      </c>
      <c r="G26" t="s">
        <v>26</v>
      </c>
      <c r="H26" t="b">
        <v>1</v>
      </c>
      <c r="I26">
        <v>10</v>
      </c>
      <c r="J26">
        <v>55.6</v>
      </c>
      <c r="L26">
        <v>873.36402777777801</v>
      </c>
      <c r="M26">
        <v>0.32314469027777798</v>
      </c>
      <c r="N26">
        <v>873.36402777777801</v>
      </c>
      <c r="O26">
        <v>0.32314469027777798</v>
      </c>
    </row>
    <row r="27" spans="1:16" x14ac:dyDescent="0.25">
      <c r="A27" t="s">
        <v>63</v>
      </c>
      <c r="B27" t="s">
        <v>60</v>
      </c>
      <c r="C27" t="s">
        <v>61</v>
      </c>
      <c r="D27" t="s">
        <v>19</v>
      </c>
      <c r="E27" t="s">
        <v>20</v>
      </c>
      <c r="F27" t="s">
        <v>21</v>
      </c>
      <c r="G27" t="s">
        <v>28</v>
      </c>
      <c r="H27" t="b">
        <v>1</v>
      </c>
      <c r="I27">
        <v>10</v>
      </c>
      <c r="J27">
        <v>28.3333333333333</v>
      </c>
      <c r="L27">
        <v>267.03576388888899</v>
      </c>
      <c r="M27">
        <v>6.9429298611111107E-2</v>
      </c>
      <c r="N27">
        <v>267.03576388888899</v>
      </c>
      <c r="O27">
        <v>6.9429298611111107E-2</v>
      </c>
    </row>
    <row r="28" spans="1:16" x14ac:dyDescent="0.25">
      <c r="A28" t="s">
        <v>64</v>
      </c>
      <c r="B28" t="s">
        <v>60</v>
      </c>
      <c r="C28" t="s">
        <v>61</v>
      </c>
      <c r="D28" t="s">
        <v>19</v>
      </c>
      <c r="E28" t="s">
        <v>20</v>
      </c>
      <c r="F28" t="s">
        <v>21</v>
      </c>
      <c r="G28" t="s">
        <v>22</v>
      </c>
      <c r="H28" t="b">
        <v>1</v>
      </c>
      <c r="I28">
        <v>10</v>
      </c>
      <c r="J28">
        <v>16</v>
      </c>
      <c r="L28">
        <v>100.531111111111</v>
      </c>
      <c r="M28">
        <v>5.7869728799999902E-2</v>
      </c>
      <c r="N28">
        <v>100.531111111111</v>
      </c>
      <c r="O28">
        <v>5.7869728799999902E-2</v>
      </c>
    </row>
    <row r="29" spans="1:16" ht="30" x14ac:dyDescent="0.25">
      <c r="A29" t="s">
        <v>65</v>
      </c>
      <c r="B29" t="s">
        <v>60</v>
      </c>
      <c r="C29" t="s">
        <v>61</v>
      </c>
      <c r="D29" t="s">
        <v>19</v>
      </c>
      <c r="E29" t="s">
        <v>20</v>
      </c>
      <c r="F29" t="s">
        <v>21</v>
      </c>
      <c r="G29" t="s">
        <v>66</v>
      </c>
      <c r="H29" t="b">
        <v>1</v>
      </c>
      <c r="I29">
        <v>10</v>
      </c>
      <c r="J29">
        <v>109</v>
      </c>
      <c r="L29">
        <v>342.43409722222202</v>
      </c>
      <c r="M29">
        <v>6.5175481724305498E-2</v>
      </c>
      <c r="N29">
        <v>342.43409722222202</v>
      </c>
      <c r="O29">
        <v>6.5175481724305498E-2</v>
      </c>
      <c r="P29" s="1" t="s">
        <v>67</v>
      </c>
    </row>
    <row r="30" spans="1:16" x14ac:dyDescent="0.25">
      <c r="A30" t="s">
        <v>68</v>
      </c>
      <c r="B30" t="s">
        <v>60</v>
      </c>
      <c r="C30" t="s">
        <v>69</v>
      </c>
      <c r="D30" t="s">
        <v>19</v>
      </c>
      <c r="E30" t="s">
        <v>20</v>
      </c>
      <c r="F30" t="s">
        <v>21</v>
      </c>
      <c r="G30" t="s">
        <v>22</v>
      </c>
      <c r="H30" t="b">
        <v>1</v>
      </c>
      <c r="I30">
        <v>10</v>
      </c>
      <c r="J30">
        <v>27.266666666666701</v>
      </c>
      <c r="L30">
        <v>1284.91326388889</v>
      </c>
      <c r="M30">
        <v>0.73964747122500096</v>
      </c>
      <c r="N30">
        <v>1284.91326388889</v>
      </c>
      <c r="O30">
        <v>0.73964747122500096</v>
      </c>
    </row>
    <row r="31" spans="1:16" x14ac:dyDescent="0.25">
      <c r="A31" t="s">
        <v>70</v>
      </c>
      <c r="B31" t="s">
        <v>60</v>
      </c>
      <c r="C31" t="s">
        <v>69</v>
      </c>
      <c r="D31" t="s">
        <v>19</v>
      </c>
      <c r="E31" t="s">
        <v>20</v>
      </c>
      <c r="F31" t="s">
        <v>21</v>
      </c>
      <c r="G31" t="s">
        <v>37</v>
      </c>
      <c r="H31" t="b">
        <v>1</v>
      </c>
      <c r="I31">
        <v>10</v>
      </c>
      <c r="J31">
        <v>30.75</v>
      </c>
      <c r="K31">
        <v>42</v>
      </c>
      <c r="L31">
        <v>5989.45510416667</v>
      </c>
      <c r="M31">
        <v>0.65884006145833396</v>
      </c>
      <c r="N31">
        <v>5989.45510416667</v>
      </c>
      <c r="O31">
        <v>0.65884006145833396</v>
      </c>
    </row>
    <row r="32" spans="1:16" ht="30" x14ac:dyDescent="0.25">
      <c r="A32" t="s">
        <v>71</v>
      </c>
      <c r="B32" t="s">
        <v>60</v>
      </c>
      <c r="C32" t="s">
        <v>69</v>
      </c>
      <c r="D32" t="s">
        <v>19</v>
      </c>
      <c r="E32" t="s">
        <v>20</v>
      </c>
      <c r="F32" t="s">
        <v>21</v>
      </c>
      <c r="G32" s="1" t="s">
        <v>72</v>
      </c>
      <c r="H32" t="b">
        <v>1</v>
      </c>
      <c r="I32">
        <v>10</v>
      </c>
      <c r="J32">
        <v>22</v>
      </c>
      <c r="L32">
        <v>69.115138888888893</v>
      </c>
      <c r="M32">
        <v>3.8704477777777801E-3</v>
      </c>
      <c r="N32">
        <v>69.115138888888893</v>
      </c>
      <c r="O32">
        <v>3.8704477777777801E-3</v>
      </c>
    </row>
    <row r="33" spans="1:15" x14ac:dyDescent="0.25">
      <c r="A33" t="s">
        <v>73</v>
      </c>
      <c r="B33" t="s">
        <v>60</v>
      </c>
      <c r="C33" t="s">
        <v>69</v>
      </c>
      <c r="D33" t="s">
        <v>19</v>
      </c>
      <c r="E33" t="s">
        <v>20</v>
      </c>
      <c r="F33" t="s">
        <v>21</v>
      </c>
      <c r="G33" t="s">
        <v>26</v>
      </c>
      <c r="H33" t="b">
        <v>1</v>
      </c>
      <c r="I33">
        <v>10</v>
      </c>
      <c r="J33">
        <v>13.8</v>
      </c>
      <c r="L33">
        <v>216.77020833333299</v>
      </c>
      <c r="M33">
        <v>8.0204977083333198E-2</v>
      </c>
      <c r="N33">
        <v>216.77020833333299</v>
      </c>
      <c r="O33">
        <v>8.0204977083333198E-2</v>
      </c>
    </row>
    <row r="34" spans="1:15" x14ac:dyDescent="0.25">
      <c r="A34" t="s">
        <v>74</v>
      </c>
      <c r="B34" t="s">
        <v>60</v>
      </c>
      <c r="C34" t="s">
        <v>69</v>
      </c>
      <c r="D34" t="s">
        <v>19</v>
      </c>
      <c r="E34" t="s">
        <v>20</v>
      </c>
      <c r="F34" t="s">
        <v>21</v>
      </c>
      <c r="G34" t="s">
        <v>32</v>
      </c>
      <c r="H34" t="b">
        <v>0</v>
      </c>
      <c r="I34">
        <v>10</v>
      </c>
      <c r="J34">
        <v>22</v>
      </c>
      <c r="L34">
        <v>69.115138888888893</v>
      </c>
      <c r="M34">
        <v>1.5550906250000001E-4</v>
      </c>
      <c r="N34">
        <v>0</v>
      </c>
      <c r="O34">
        <v>0</v>
      </c>
    </row>
    <row r="35" spans="1:15" x14ac:dyDescent="0.25">
      <c r="A35" t="s">
        <v>75</v>
      </c>
      <c r="B35" t="s">
        <v>60</v>
      </c>
      <c r="C35" t="s">
        <v>69</v>
      </c>
      <c r="D35" t="s">
        <v>19</v>
      </c>
      <c r="E35" t="s">
        <v>20</v>
      </c>
      <c r="F35" t="s">
        <v>21</v>
      </c>
      <c r="G35" t="s">
        <v>76</v>
      </c>
      <c r="H35" t="b">
        <v>1</v>
      </c>
      <c r="I35">
        <v>10</v>
      </c>
      <c r="J35">
        <v>10</v>
      </c>
      <c r="L35">
        <v>31.415972222222202</v>
      </c>
      <c r="M35">
        <v>2.4818618055555499E-3</v>
      </c>
      <c r="N35">
        <v>31.415972222222202</v>
      </c>
      <c r="O35">
        <v>2.4818618055555499E-3</v>
      </c>
    </row>
    <row r="36" spans="1:15" x14ac:dyDescent="0.25">
      <c r="A36" t="s">
        <v>77</v>
      </c>
      <c r="B36" t="s">
        <v>78</v>
      </c>
      <c r="C36" t="s">
        <v>79</v>
      </c>
      <c r="D36" t="s">
        <v>19</v>
      </c>
      <c r="E36" t="s">
        <v>20</v>
      </c>
      <c r="F36" t="s">
        <v>80</v>
      </c>
      <c r="G36" t="s">
        <v>22</v>
      </c>
      <c r="H36" t="b">
        <v>1</v>
      </c>
      <c r="I36">
        <v>10</v>
      </c>
      <c r="J36">
        <v>27</v>
      </c>
      <c r="K36">
        <v>74</v>
      </c>
      <c r="L36">
        <v>75043.517647058805</v>
      </c>
      <c r="M36">
        <v>43.198050498352899</v>
      </c>
      <c r="N36">
        <v>75043.517647058805</v>
      </c>
      <c r="O36">
        <v>43.198050498352899</v>
      </c>
    </row>
    <row r="37" spans="1:15" x14ac:dyDescent="0.25">
      <c r="A37" t="s">
        <v>81</v>
      </c>
      <c r="B37" t="s">
        <v>78</v>
      </c>
      <c r="C37" t="s">
        <v>79</v>
      </c>
      <c r="D37" t="s">
        <v>19</v>
      </c>
      <c r="E37" t="s">
        <v>20</v>
      </c>
      <c r="F37" t="s">
        <v>80</v>
      </c>
      <c r="G37" t="s">
        <v>26</v>
      </c>
      <c r="H37" t="b">
        <v>1</v>
      </c>
      <c r="I37">
        <v>10</v>
      </c>
      <c r="J37">
        <v>19.6666666666667</v>
      </c>
      <c r="L37">
        <v>1744.51045751634</v>
      </c>
      <c r="M37">
        <v>0.64546886928104596</v>
      </c>
      <c r="N37">
        <v>1744.51045751634</v>
      </c>
      <c r="O37">
        <v>0.64546886928104596</v>
      </c>
    </row>
    <row r="38" spans="1:15" x14ac:dyDescent="0.25">
      <c r="A38" t="s">
        <v>82</v>
      </c>
      <c r="B38" t="s">
        <v>78</v>
      </c>
      <c r="C38" t="s">
        <v>79</v>
      </c>
      <c r="D38" t="s">
        <v>19</v>
      </c>
      <c r="E38" t="s">
        <v>20</v>
      </c>
      <c r="F38" t="s">
        <v>80</v>
      </c>
      <c r="G38" t="s">
        <v>83</v>
      </c>
      <c r="H38" t="b">
        <v>1</v>
      </c>
      <c r="I38">
        <v>10</v>
      </c>
      <c r="J38">
        <v>170</v>
      </c>
      <c r="L38">
        <v>5026.5555555555502</v>
      </c>
      <c r="M38">
        <v>0</v>
      </c>
      <c r="N38">
        <v>5026.5555555555602</v>
      </c>
      <c r="O38">
        <v>0</v>
      </c>
    </row>
    <row r="39" spans="1:15" x14ac:dyDescent="0.25">
      <c r="A39" t="s">
        <v>84</v>
      </c>
      <c r="B39" t="s">
        <v>78</v>
      </c>
      <c r="C39" t="s">
        <v>79</v>
      </c>
      <c r="D39" t="s">
        <v>19</v>
      </c>
      <c r="E39" t="s">
        <v>20</v>
      </c>
      <c r="F39" t="s">
        <v>80</v>
      </c>
      <c r="G39" t="s">
        <v>28</v>
      </c>
      <c r="H39" t="b">
        <v>1</v>
      </c>
      <c r="I39">
        <v>10</v>
      </c>
      <c r="J39">
        <v>40.5</v>
      </c>
      <c r="L39">
        <v>2395.0058823529398</v>
      </c>
      <c r="M39">
        <v>0.62270152941176404</v>
      </c>
      <c r="N39">
        <v>2395.0058823529398</v>
      </c>
      <c r="O39">
        <v>0.62270152941176404</v>
      </c>
    </row>
    <row r="40" spans="1:15" x14ac:dyDescent="0.25">
      <c r="A40" t="s">
        <v>85</v>
      </c>
      <c r="B40" t="s">
        <v>86</v>
      </c>
      <c r="C40" t="s">
        <v>87</v>
      </c>
      <c r="D40" t="s">
        <v>19</v>
      </c>
      <c r="E40" t="s">
        <v>20</v>
      </c>
      <c r="F40" t="s">
        <v>21</v>
      </c>
      <c r="G40" t="s">
        <v>88</v>
      </c>
      <c r="H40" t="b">
        <v>1</v>
      </c>
      <c r="I40">
        <v>10</v>
      </c>
      <c r="J40">
        <v>22.2</v>
      </c>
      <c r="K40">
        <v>32</v>
      </c>
      <c r="L40">
        <v>3626.65983333333</v>
      </c>
      <c r="M40">
        <v>0.68906536833333298</v>
      </c>
      <c r="N40">
        <v>3626.65983333333</v>
      </c>
      <c r="O40">
        <v>0.68906536833333298</v>
      </c>
    </row>
    <row r="41" spans="1:15" x14ac:dyDescent="0.25">
      <c r="A41" t="s">
        <v>89</v>
      </c>
      <c r="B41" t="s">
        <v>86</v>
      </c>
      <c r="C41" t="s">
        <v>90</v>
      </c>
      <c r="D41" t="s">
        <v>19</v>
      </c>
      <c r="E41" t="s">
        <v>20</v>
      </c>
      <c r="F41" t="s">
        <v>91</v>
      </c>
      <c r="G41" t="s">
        <v>88</v>
      </c>
      <c r="H41" t="b">
        <v>1</v>
      </c>
      <c r="I41">
        <v>10</v>
      </c>
      <c r="J41">
        <v>21</v>
      </c>
      <c r="K41">
        <v>32</v>
      </c>
      <c r="L41">
        <v>109.2</v>
      </c>
      <c r="M41">
        <v>2.0747999999999999E-2</v>
      </c>
      <c r="N41">
        <v>109.2</v>
      </c>
      <c r="O41">
        <v>2.0747999999999999E-2</v>
      </c>
    </row>
    <row r="42" spans="1:15" x14ac:dyDescent="0.25">
      <c r="A42" t="s">
        <v>92</v>
      </c>
      <c r="B42" t="s">
        <v>86</v>
      </c>
      <c r="C42" t="s">
        <v>90</v>
      </c>
      <c r="D42" t="s">
        <v>19</v>
      </c>
      <c r="E42" t="s">
        <v>20</v>
      </c>
      <c r="F42" t="s">
        <v>91</v>
      </c>
      <c r="G42" t="s">
        <v>76</v>
      </c>
      <c r="H42" t="b">
        <v>1</v>
      </c>
      <c r="I42">
        <v>10</v>
      </c>
      <c r="J42">
        <v>9</v>
      </c>
      <c r="L42">
        <v>4.5</v>
      </c>
      <c r="M42">
        <v>3.5550000000000002E-4</v>
      </c>
      <c r="N42">
        <v>4.5</v>
      </c>
      <c r="O42">
        <v>3.5550000000000002E-4</v>
      </c>
    </row>
    <row r="43" spans="1:15" x14ac:dyDescent="0.25">
      <c r="A43" t="s">
        <v>93</v>
      </c>
      <c r="B43" t="s">
        <v>86</v>
      </c>
      <c r="C43" t="s">
        <v>90</v>
      </c>
      <c r="D43" t="s">
        <v>19</v>
      </c>
      <c r="E43" t="s">
        <v>20</v>
      </c>
      <c r="F43" t="s">
        <v>91</v>
      </c>
      <c r="G43" t="s">
        <v>32</v>
      </c>
      <c r="H43" t="b">
        <v>0</v>
      </c>
      <c r="I43">
        <v>10</v>
      </c>
      <c r="J43">
        <v>6</v>
      </c>
      <c r="L43">
        <v>0.6</v>
      </c>
      <c r="M43">
        <v>1.35E-6</v>
      </c>
      <c r="N43">
        <v>0</v>
      </c>
      <c r="O43">
        <v>0</v>
      </c>
    </row>
    <row r="44" spans="1:15" x14ac:dyDescent="0.25">
      <c r="A44" t="s">
        <v>94</v>
      </c>
      <c r="B44" t="s">
        <v>86</v>
      </c>
      <c r="C44" t="s">
        <v>90</v>
      </c>
      <c r="D44" t="s">
        <v>19</v>
      </c>
      <c r="E44" t="s">
        <v>20</v>
      </c>
      <c r="F44" t="s">
        <v>91</v>
      </c>
      <c r="G44" t="s">
        <v>26</v>
      </c>
      <c r="H44" t="b">
        <v>1</v>
      </c>
      <c r="I44">
        <v>10</v>
      </c>
      <c r="J44">
        <v>18.3333333333333</v>
      </c>
      <c r="L44">
        <v>5.5</v>
      </c>
      <c r="M44">
        <v>2.0349999999999999E-3</v>
      </c>
      <c r="N44">
        <v>5.5</v>
      </c>
      <c r="O44">
        <v>2.0349999999999999E-3</v>
      </c>
    </row>
    <row r="45" spans="1:15" x14ac:dyDescent="0.25">
      <c r="A45" t="s">
        <v>95</v>
      </c>
      <c r="B45" t="s">
        <v>60</v>
      </c>
      <c r="C45" t="s">
        <v>96</v>
      </c>
      <c r="D45" t="s">
        <v>19</v>
      </c>
      <c r="E45" t="s">
        <v>20</v>
      </c>
      <c r="F45" t="s">
        <v>91</v>
      </c>
      <c r="G45" t="s">
        <v>32</v>
      </c>
      <c r="H45" t="b">
        <v>0</v>
      </c>
      <c r="I45">
        <v>10</v>
      </c>
      <c r="J45">
        <v>12</v>
      </c>
      <c r="L45">
        <v>1.2</v>
      </c>
      <c r="M45">
        <v>2.7E-6</v>
      </c>
      <c r="N45">
        <v>0</v>
      </c>
      <c r="O45">
        <v>0</v>
      </c>
    </row>
    <row r="46" spans="1:15" x14ac:dyDescent="0.25">
      <c r="A46" t="s">
        <v>97</v>
      </c>
      <c r="B46" t="s">
        <v>60</v>
      </c>
      <c r="C46" t="s">
        <v>96</v>
      </c>
      <c r="D46" t="s">
        <v>19</v>
      </c>
      <c r="E46" t="s">
        <v>20</v>
      </c>
      <c r="F46" t="s">
        <v>91</v>
      </c>
      <c r="G46" t="s">
        <v>88</v>
      </c>
      <c r="H46" t="b">
        <v>1</v>
      </c>
      <c r="I46">
        <v>10</v>
      </c>
      <c r="J46">
        <v>26</v>
      </c>
      <c r="L46">
        <v>31.2</v>
      </c>
      <c r="M46">
        <v>5.9280000000000001E-3</v>
      </c>
      <c r="N46">
        <v>31.2</v>
      </c>
      <c r="O46">
        <v>5.9280000000000001E-3</v>
      </c>
    </row>
    <row r="47" spans="1:15" x14ac:dyDescent="0.25">
      <c r="A47" t="s">
        <v>98</v>
      </c>
      <c r="B47" t="s">
        <v>60</v>
      </c>
      <c r="C47" t="s">
        <v>96</v>
      </c>
      <c r="D47" t="s">
        <v>19</v>
      </c>
      <c r="E47" t="s">
        <v>20</v>
      </c>
      <c r="F47" t="s">
        <v>91</v>
      </c>
      <c r="G47" t="s">
        <v>26</v>
      </c>
      <c r="H47" t="b">
        <v>1</v>
      </c>
      <c r="I47">
        <v>10</v>
      </c>
      <c r="J47">
        <v>33</v>
      </c>
      <c r="L47">
        <v>9.9</v>
      </c>
      <c r="M47">
        <v>3.663E-3</v>
      </c>
      <c r="N47">
        <v>9.9</v>
      </c>
      <c r="O47">
        <v>3.663E-3</v>
      </c>
    </row>
    <row r="48" spans="1:15" x14ac:dyDescent="0.25">
      <c r="A48" t="s">
        <v>99</v>
      </c>
      <c r="B48" t="s">
        <v>60</v>
      </c>
      <c r="C48" t="s">
        <v>100</v>
      </c>
      <c r="D48" t="s">
        <v>19</v>
      </c>
      <c r="E48" t="s">
        <v>20</v>
      </c>
      <c r="F48" t="s">
        <v>91</v>
      </c>
      <c r="G48" t="s">
        <v>88</v>
      </c>
      <c r="H48" t="b">
        <v>1</v>
      </c>
      <c r="I48">
        <v>10</v>
      </c>
      <c r="J48">
        <v>25.55</v>
      </c>
      <c r="K48">
        <v>97</v>
      </c>
      <c r="L48">
        <v>298.935</v>
      </c>
      <c r="M48">
        <v>5.6797649999999998E-2</v>
      </c>
      <c r="N48">
        <v>298.935</v>
      </c>
      <c r="O48">
        <v>5.6797649999999998E-2</v>
      </c>
    </row>
    <row r="49" spans="1:16" x14ac:dyDescent="0.25">
      <c r="A49" t="s">
        <v>101</v>
      </c>
      <c r="B49" t="s">
        <v>60</v>
      </c>
      <c r="C49" t="s">
        <v>100</v>
      </c>
      <c r="D49" t="s">
        <v>19</v>
      </c>
      <c r="E49" t="s">
        <v>20</v>
      </c>
      <c r="F49" t="s">
        <v>91</v>
      </c>
      <c r="G49" t="s">
        <v>26</v>
      </c>
      <c r="H49" t="b">
        <v>1</v>
      </c>
      <c r="I49">
        <v>10</v>
      </c>
      <c r="J49">
        <v>32.25</v>
      </c>
      <c r="L49">
        <v>12.9</v>
      </c>
      <c r="M49">
        <v>4.7730000000000003E-3</v>
      </c>
      <c r="N49">
        <v>12.9</v>
      </c>
      <c r="O49">
        <v>4.7730000000000003E-3</v>
      </c>
    </row>
    <row r="50" spans="1:16" x14ac:dyDescent="0.25">
      <c r="A50" t="s">
        <v>102</v>
      </c>
      <c r="B50" t="s">
        <v>60</v>
      </c>
      <c r="C50" t="s">
        <v>100</v>
      </c>
      <c r="D50" t="s">
        <v>19</v>
      </c>
      <c r="E50" t="s">
        <v>20</v>
      </c>
      <c r="F50" t="s">
        <v>91</v>
      </c>
      <c r="G50" t="s">
        <v>32</v>
      </c>
      <c r="H50" t="b">
        <v>0</v>
      </c>
      <c r="I50">
        <v>10</v>
      </c>
      <c r="J50">
        <v>14</v>
      </c>
      <c r="L50">
        <v>5.6</v>
      </c>
      <c r="M50">
        <v>1.26E-5</v>
      </c>
      <c r="N50">
        <v>0</v>
      </c>
      <c r="O50">
        <v>0</v>
      </c>
    </row>
    <row r="51" spans="1:16" ht="30" x14ac:dyDescent="0.25">
      <c r="A51" t="s">
        <v>103</v>
      </c>
      <c r="B51" t="s">
        <v>60</v>
      </c>
      <c r="C51" t="s">
        <v>100</v>
      </c>
      <c r="D51" t="s">
        <v>19</v>
      </c>
      <c r="E51" t="s">
        <v>20</v>
      </c>
      <c r="F51" t="s">
        <v>91</v>
      </c>
      <c r="G51" t="s">
        <v>66</v>
      </c>
      <c r="H51" t="b">
        <v>1</v>
      </c>
      <c r="I51">
        <v>10</v>
      </c>
      <c r="J51">
        <v>28</v>
      </c>
      <c r="L51">
        <v>2.8</v>
      </c>
      <c r="M51">
        <v>5.3292400000000005E-4</v>
      </c>
      <c r="N51">
        <v>2.8</v>
      </c>
      <c r="O51">
        <v>5.3292400000000005E-4</v>
      </c>
      <c r="P51" s="1" t="s">
        <v>67</v>
      </c>
    </row>
    <row r="52" spans="1:16" x14ac:dyDescent="0.25">
      <c r="A52" t="s">
        <v>104</v>
      </c>
      <c r="B52" t="s">
        <v>60</v>
      </c>
      <c r="C52" t="s">
        <v>105</v>
      </c>
      <c r="D52" t="s">
        <v>19</v>
      </c>
      <c r="E52" t="s">
        <v>20</v>
      </c>
      <c r="F52" t="s">
        <v>91</v>
      </c>
      <c r="G52" t="s">
        <v>88</v>
      </c>
      <c r="H52" t="b">
        <v>1</v>
      </c>
      <c r="I52">
        <v>10</v>
      </c>
      <c r="J52">
        <v>23.8</v>
      </c>
      <c r="K52">
        <v>25</v>
      </c>
      <c r="L52">
        <v>107.1</v>
      </c>
      <c r="M52">
        <v>2.0348999999999999E-2</v>
      </c>
      <c r="N52">
        <v>107.1</v>
      </c>
      <c r="O52">
        <v>2.0348999999999999E-2</v>
      </c>
    </row>
    <row r="53" spans="1:16" x14ac:dyDescent="0.25">
      <c r="A53" t="s">
        <v>106</v>
      </c>
      <c r="B53" t="s">
        <v>60</v>
      </c>
      <c r="C53" t="s">
        <v>105</v>
      </c>
      <c r="D53" t="s">
        <v>19</v>
      </c>
      <c r="E53" t="s">
        <v>20</v>
      </c>
      <c r="F53" t="s">
        <v>91</v>
      </c>
      <c r="G53" t="s">
        <v>26</v>
      </c>
      <c r="H53" t="b">
        <v>1</v>
      </c>
      <c r="I53">
        <v>10</v>
      </c>
      <c r="J53">
        <v>42.5</v>
      </c>
      <c r="L53">
        <v>8.5</v>
      </c>
      <c r="M53">
        <v>3.1449999999999998E-3</v>
      </c>
      <c r="N53">
        <v>8.5</v>
      </c>
      <c r="O53">
        <v>3.1449999999999998E-3</v>
      </c>
    </row>
    <row r="54" spans="1:16" x14ac:dyDescent="0.25">
      <c r="A54" t="s">
        <v>107</v>
      </c>
      <c r="B54" t="s">
        <v>60</v>
      </c>
      <c r="C54" t="s">
        <v>105</v>
      </c>
      <c r="D54" t="s">
        <v>19</v>
      </c>
      <c r="E54" t="s">
        <v>20</v>
      </c>
      <c r="F54" t="s">
        <v>91</v>
      </c>
      <c r="G54" t="s">
        <v>32</v>
      </c>
      <c r="H54" t="b">
        <v>0</v>
      </c>
      <c r="I54">
        <v>10</v>
      </c>
      <c r="J54">
        <v>13</v>
      </c>
      <c r="L54">
        <v>2.6</v>
      </c>
      <c r="M54">
        <v>5.8499999999999999E-6</v>
      </c>
      <c r="N54">
        <v>0</v>
      </c>
      <c r="O54">
        <v>0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"/>
  <sheetViews>
    <sheetView tabSelected="1" workbookViewId="0"/>
  </sheetViews>
  <sheetFormatPr defaultRowHeight="15" x14ac:dyDescent="0.25"/>
  <cols>
    <col min="1" max="1" width="12.42578125" customWidth="1"/>
    <col min="2" max="2" width="11.85546875" customWidth="1"/>
    <col min="3" max="3" width="11.140625" customWidth="1"/>
    <col min="4" max="4" width="14.85546875" customWidth="1"/>
    <col min="5" max="5" width="18.5703125" customWidth="1"/>
    <col min="6" max="6" width="14.42578125" customWidth="1"/>
    <col min="7" max="7" width="22.28515625" customWidth="1"/>
    <col min="8" max="8" width="16.5703125" customWidth="1"/>
    <col min="9" max="9" width="20.7109375" customWidth="1"/>
    <col min="10" max="10" width="11.5703125" customWidth="1"/>
    <col min="11" max="11" width="20.85546875" customWidth="1"/>
    <col min="12" max="12" width="18.28515625" customWidth="1"/>
    <col min="13" max="13" width="20.42578125" customWidth="1"/>
    <col min="14" max="14" width="23.42578125" customWidth="1"/>
    <col min="15" max="15" width="27.42578125" customWidth="1"/>
    <col min="16" max="16" width="15.140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30" x14ac:dyDescent="0.25">
      <c r="A2" t="s">
        <v>65</v>
      </c>
      <c r="B2" t="s">
        <v>60</v>
      </c>
      <c r="C2" t="s">
        <v>61</v>
      </c>
      <c r="D2" t="s">
        <v>19</v>
      </c>
      <c r="E2" t="s">
        <v>20</v>
      </c>
      <c r="F2" t="s">
        <v>21</v>
      </c>
      <c r="G2" t="s">
        <v>66</v>
      </c>
      <c r="H2" t="b">
        <v>1</v>
      </c>
      <c r="I2">
        <v>10</v>
      </c>
      <c r="J2">
        <v>109</v>
      </c>
      <c r="L2">
        <v>342.43409722222202</v>
      </c>
      <c r="M2">
        <v>6.5175481724305498E-2</v>
      </c>
      <c r="N2">
        <v>342.43409722222202</v>
      </c>
      <c r="O2">
        <v>6.5175481724305498E-2</v>
      </c>
      <c r="P2" s="1" t="s">
        <v>67</v>
      </c>
    </row>
    <row r="3" spans="1:16" ht="30" x14ac:dyDescent="0.25">
      <c r="A3" t="s">
        <v>103</v>
      </c>
      <c r="B3" t="s">
        <v>60</v>
      </c>
      <c r="C3" t="s">
        <v>100</v>
      </c>
      <c r="D3" t="s">
        <v>19</v>
      </c>
      <c r="E3" t="s">
        <v>20</v>
      </c>
      <c r="F3" t="s">
        <v>91</v>
      </c>
      <c r="G3" t="s">
        <v>66</v>
      </c>
      <c r="H3" t="b">
        <v>1</v>
      </c>
      <c r="I3">
        <v>10</v>
      </c>
      <c r="J3">
        <v>28</v>
      </c>
      <c r="L3">
        <v>2.8</v>
      </c>
      <c r="M3">
        <v>5.3292400000000005E-4</v>
      </c>
      <c r="N3">
        <v>2.8</v>
      </c>
      <c r="O3">
        <v>5.3292400000000005E-4</v>
      </c>
      <c r="P3" s="1" t="s">
        <v>67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workbookViewId="0">
      <selection activeCell="H30" sqref="H30"/>
    </sheetView>
  </sheetViews>
  <sheetFormatPr defaultRowHeight="15" x14ac:dyDescent="0.25"/>
  <cols>
    <col min="1" max="1" width="24" customWidth="1"/>
    <col min="2" max="2" width="32.140625" customWidth="1"/>
    <col min="3" max="3" width="15.85546875" customWidth="1"/>
    <col min="4" max="4" width="27.42578125" customWidth="1"/>
  </cols>
  <sheetData>
    <row r="1" spans="1:4" x14ac:dyDescent="0.25">
      <c r="A1" s="2" t="s">
        <v>108</v>
      </c>
      <c r="B1" s="2" t="s">
        <v>109</v>
      </c>
    </row>
    <row r="2" spans="1:4" x14ac:dyDescent="0.25">
      <c r="A2" s="3" t="s">
        <v>110</v>
      </c>
      <c r="B2" s="3" t="s">
        <v>110</v>
      </c>
    </row>
    <row r="3" spans="1:4" x14ac:dyDescent="0.25">
      <c r="A3" s="4" t="s">
        <v>111</v>
      </c>
      <c r="B3" s="4" t="s">
        <v>112</v>
      </c>
    </row>
    <row r="4" spans="1:4" x14ac:dyDescent="0.25">
      <c r="A4" s="5" t="s">
        <v>113</v>
      </c>
      <c r="B4" s="5" t="s">
        <v>114</v>
      </c>
    </row>
    <row r="8" spans="1:4" x14ac:dyDescent="0.25">
      <c r="C8" s="6" t="s">
        <v>128</v>
      </c>
      <c r="D8" s="6" t="s">
        <v>129</v>
      </c>
    </row>
    <row r="9" spans="1:4" x14ac:dyDescent="0.25">
      <c r="C9" t="s">
        <v>19</v>
      </c>
    </row>
    <row r="10" spans="1:4" x14ac:dyDescent="0.25">
      <c r="A10" s="6" t="s">
        <v>1</v>
      </c>
      <c r="B10" s="6" t="s">
        <v>2</v>
      </c>
      <c r="C10" t="s">
        <v>12</v>
      </c>
      <c r="D10" t="s">
        <v>14</v>
      </c>
    </row>
    <row r="11" spans="1:4" x14ac:dyDescent="0.25">
      <c r="A11" t="s">
        <v>17</v>
      </c>
      <c r="B11" t="s">
        <v>18</v>
      </c>
      <c r="C11" s="7">
        <v>16.696544944061667</v>
      </c>
      <c r="D11" s="7">
        <v>16.696544944061667</v>
      </c>
    </row>
    <row r="12" spans="1:4" x14ac:dyDescent="0.25">
      <c r="B12" t="s">
        <v>30</v>
      </c>
      <c r="C12" s="7">
        <v>17.976608807062362</v>
      </c>
      <c r="D12" s="7">
        <v>17.976149348468613</v>
      </c>
    </row>
    <row r="13" spans="1:4" x14ac:dyDescent="0.25">
      <c r="B13" t="s">
        <v>51</v>
      </c>
      <c r="C13" s="7">
        <v>16.316866294423612</v>
      </c>
      <c r="D13" s="7">
        <v>16.316866294423612</v>
      </c>
    </row>
    <row r="14" spans="1:4" x14ac:dyDescent="0.25">
      <c r="B14" t="s">
        <v>55</v>
      </c>
      <c r="C14" s="8">
        <v>6.0180037531705661</v>
      </c>
      <c r="D14" s="7">
        <v>6.0180037531705661</v>
      </c>
    </row>
    <row r="15" spans="1:4" x14ac:dyDescent="0.25">
      <c r="A15" t="s">
        <v>39</v>
      </c>
      <c r="B15" t="s">
        <v>40</v>
      </c>
      <c r="C15" s="8">
        <v>3.6866439827277775</v>
      </c>
      <c r="D15" s="7">
        <v>3.6865308852277776</v>
      </c>
    </row>
    <row r="16" spans="1:4" x14ac:dyDescent="0.25">
      <c r="A16" t="s">
        <v>60</v>
      </c>
      <c r="B16" t="s">
        <v>61</v>
      </c>
      <c r="C16" s="8">
        <v>1.1919108334409725</v>
      </c>
      <c r="D16" s="8">
        <v>1.1919108334409725</v>
      </c>
    </row>
    <row r="17" spans="1:4" x14ac:dyDescent="0.25">
      <c r="B17" t="s">
        <v>69</v>
      </c>
      <c r="C17" s="8">
        <v>1.4852003284125017</v>
      </c>
      <c r="D17" s="8">
        <v>1.4850448193500017</v>
      </c>
    </row>
    <row r="18" spans="1:4" x14ac:dyDescent="0.25">
      <c r="B18" t="s">
        <v>96</v>
      </c>
      <c r="C18" s="9">
        <v>9.5937000000000001E-3</v>
      </c>
      <c r="D18" s="9">
        <v>9.5910000000000006E-3</v>
      </c>
    </row>
    <row r="19" spans="1:4" x14ac:dyDescent="0.25">
      <c r="B19" t="s">
        <v>100</v>
      </c>
      <c r="C19" s="9">
        <v>6.2116173999999996E-2</v>
      </c>
      <c r="D19" s="9">
        <v>6.2103573999999995E-2</v>
      </c>
    </row>
    <row r="20" spans="1:4" x14ac:dyDescent="0.25">
      <c r="B20" t="s">
        <v>105</v>
      </c>
      <c r="C20" s="9">
        <v>2.3499849999999999E-2</v>
      </c>
      <c r="D20" s="9">
        <v>2.3493999999999998E-2</v>
      </c>
    </row>
    <row r="21" spans="1:4" x14ac:dyDescent="0.25">
      <c r="A21" t="s">
        <v>78</v>
      </c>
      <c r="B21" t="s">
        <v>79</v>
      </c>
      <c r="C21" s="7">
        <v>44.466220897045709</v>
      </c>
      <c r="D21" s="7">
        <v>44.466220897045709</v>
      </c>
    </row>
    <row r="22" spans="1:4" x14ac:dyDescent="0.25">
      <c r="A22" t="s">
        <v>86</v>
      </c>
      <c r="B22" t="s">
        <v>87</v>
      </c>
      <c r="C22" s="9">
        <v>0.68906536833333298</v>
      </c>
      <c r="D22" s="9">
        <v>0.68906536833333298</v>
      </c>
    </row>
    <row r="23" spans="1:4" x14ac:dyDescent="0.25">
      <c r="B23" t="s">
        <v>90</v>
      </c>
      <c r="C23" s="9">
        <v>2.313985E-2</v>
      </c>
      <c r="D23" s="9">
        <v>2.3138499999999999E-2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1"/>
  <sheetViews>
    <sheetView workbookViewId="0">
      <selection activeCell="K15" sqref="K15"/>
    </sheetView>
  </sheetViews>
  <sheetFormatPr defaultRowHeight="15" x14ac:dyDescent="0.25"/>
  <cols>
    <col min="1" max="1" width="24.5703125" customWidth="1"/>
    <col min="2" max="2" width="33.7109375" customWidth="1"/>
    <col min="3" max="3" width="31.42578125" customWidth="1"/>
    <col min="4" max="4" width="29.5703125" customWidth="1"/>
  </cols>
  <sheetData>
    <row r="1" spans="1:4" x14ac:dyDescent="0.25">
      <c r="A1" s="2" t="s">
        <v>115</v>
      </c>
      <c r="B1" s="2" t="s">
        <v>116</v>
      </c>
      <c r="C1" s="2" t="s">
        <v>117</v>
      </c>
      <c r="D1" s="2" t="s">
        <v>118</v>
      </c>
    </row>
    <row r="2" spans="1:4" x14ac:dyDescent="0.25">
      <c r="A2" s="3" t="s">
        <v>119</v>
      </c>
      <c r="B2" s="3" t="s">
        <v>119</v>
      </c>
      <c r="C2" s="3" t="s">
        <v>119</v>
      </c>
      <c r="D2" s="3" t="s">
        <v>119</v>
      </c>
    </row>
    <row r="3" spans="1:4" x14ac:dyDescent="0.25">
      <c r="A3" s="4" t="s">
        <v>120</v>
      </c>
      <c r="B3" s="4" t="s">
        <v>121</v>
      </c>
      <c r="C3" s="4" t="s">
        <v>122</v>
      </c>
      <c r="D3" s="4" t="s">
        <v>123</v>
      </c>
    </row>
    <row r="4" spans="1:4" x14ac:dyDescent="0.25">
      <c r="A4" s="5" t="s">
        <v>124</v>
      </c>
      <c r="B4" s="5" t="s">
        <v>125</v>
      </c>
      <c r="C4" s="5" t="s">
        <v>126</v>
      </c>
      <c r="D4" s="5" t="s">
        <v>127</v>
      </c>
    </row>
    <row r="8" spans="1:4" x14ac:dyDescent="0.25">
      <c r="A8" s="6" t="s">
        <v>11</v>
      </c>
      <c r="C8" s="6" t="s">
        <v>128</v>
      </c>
      <c r="D8" s="6" t="s">
        <v>15</v>
      </c>
    </row>
    <row r="9" spans="1:4" x14ac:dyDescent="0.25">
      <c r="C9" t="s">
        <v>19</v>
      </c>
    </row>
    <row r="10" spans="1:4" x14ac:dyDescent="0.25">
      <c r="A10" s="6" t="s">
        <v>1</v>
      </c>
      <c r="B10" s="6" t="s">
        <v>2</v>
      </c>
      <c r="C10" t="s">
        <v>67</v>
      </c>
    </row>
    <row r="11" spans="1:4" x14ac:dyDescent="0.25">
      <c r="A11" t="s">
        <v>60</v>
      </c>
      <c r="B11" t="s">
        <v>61</v>
      </c>
      <c r="C11" s="10">
        <v>342.43409722222202</v>
      </c>
      <c r="D11" s="10"/>
    </row>
    <row r="12" spans="1:4" x14ac:dyDescent="0.25">
      <c r="B12" t="s">
        <v>100</v>
      </c>
      <c r="C12" s="10">
        <v>2.8</v>
      </c>
      <c r="D12" s="10"/>
    </row>
    <row r="30" spans="1:1" x14ac:dyDescent="0.25">
      <c r="A30" s="2" t="s">
        <v>108</v>
      </c>
    </row>
    <row r="31" spans="1:1" x14ac:dyDescent="0.25">
      <c r="A31" s="3" t="s">
        <v>110</v>
      </c>
    </row>
    <row r="32" spans="1:1" x14ac:dyDescent="0.25">
      <c r="A32" s="4" t="s">
        <v>111</v>
      </c>
    </row>
    <row r="33" spans="1:3" x14ac:dyDescent="0.25">
      <c r="A33" s="5" t="s">
        <v>113</v>
      </c>
    </row>
    <row r="37" spans="1:3" x14ac:dyDescent="0.25">
      <c r="A37" s="6" t="s">
        <v>12</v>
      </c>
      <c r="C37" s="6" t="s">
        <v>128</v>
      </c>
    </row>
    <row r="38" spans="1:3" x14ac:dyDescent="0.25">
      <c r="A38" s="6" t="s">
        <v>1</v>
      </c>
      <c r="B38" s="6" t="s">
        <v>2</v>
      </c>
      <c r="C38" t="s">
        <v>19</v>
      </c>
    </row>
    <row r="39" spans="1:3" x14ac:dyDescent="0.25">
      <c r="A39" t="s">
        <v>17</v>
      </c>
      <c r="B39" t="s">
        <v>18</v>
      </c>
      <c r="C39">
        <v>16.696544944061667</v>
      </c>
    </row>
    <row r="40" spans="1:3" x14ac:dyDescent="0.25">
      <c r="B40" t="s">
        <v>30</v>
      </c>
      <c r="C40">
        <v>17.976608807062362</v>
      </c>
    </row>
    <row r="41" spans="1:3" x14ac:dyDescent="0.25">
      <c r="B41" t="s">
        <v>51</v>
      </c>
      <c r="C41">
        <v>16.316866294423612</v>
      </c>
    </row>
    <row r="42" spans="1:3" x14ac:dyDescent="0.25">
      <c r="B42" t="s">
        <v>55</v>
      </c>
      <c r="C42">
        <v>6.0180037531705661</v>
      </c>
    </row>
    <row r="43" spans="1:3" x14ac:dyDescent="0.25">
      <c r="A43" t="s">
        <v>39</v>
      </c>
      <c r="B43" t="s">
        <v>40</v>
      </c>
      <c r="C43">
        <v>3.6866439827277775</v>
      </c>
    </row>
    <row r="44" spans="1:3" x14ac:dyDescent="0.25">
      <c r="A44" t="s">
        <v>60</v>
      </c>
      <c r="B44" t="s">
        <v>61</v>
      </c>
      <c r="C44">
        <v>1.1919108334409725</v>
      </c>
    </row>
    <row r="45" spans="1:3" x14ac:dyDescent="0.25">
      <c r="B45" t="s">
        <v>69</v>
      </c>
      <c r="C45">
        <v>1.4852003284125017</v>
      </c>
    </row>
    <row r="46" spans="1:3" x14ac:dyDescent="0.25">
      <c r="B46" t="s">
        <v>96</v>
      </c>
      <c r="C46">
        <v>9.5937000000000001E-3</v>
      </c>
    </row>
    <row r="47" spans="1:3" x14ac:dyDescent="0.25">
      <c r="B47" t="s">
        <v>100</v>
      </c>
      <c r="C47">
        <v>6.2116173999999996E-2</v>
      </c>
    </row>
    <row r="48" spans="1:3" x14ac:dyDescent="0.25">
      <c r="B48" t="s">
        <v>105</v>
      </c>
      <c r="C48">
        <v>2.3499849999999999E-2</v>
      </c>
    </row>
    <row r="49" spans="1:3" x14ac:dyDescent="0.25">
      <c r="A49" t="s">
        <v>78</v>
      </c>
      <c r="B49" t="s">
        <v>79</v>
      </c>
      <c r="C49">
        <v>44.466220897045709</v>
      </c>
    </row>
    <row r="50" spans="1:3" x14ac:dyDescent="0.25">
      <c r="A50" t="s">
        <v>86</v>
      </c>
      <c r="B50" t="s">
        <v>87</v>
      </c>
      <c r="C50">
        <v>0.68906536833333298</v>
      </c>
    </row>
    <row r="51" spans="1:3" x14ac:dyDescent="0.25">
      <c r="B51" t="s">
        <v>90</v>
      </c>
      <c r="C51">
        <v>2.313985E-2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Lakes Data</vt:lpstr>
      <vt:lpstr>Toxin Data</vt:lpstr>
      <vt:lpstr>Warnings</vt:lpstr>
      <vt:lpstr>Warnings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 Sutherland</dc:creator>
  <cp:lastModifiedBy>Amber Sutherland</cp:lastModifiedBy>
  <dcterms:created xsi:type="dcterms:W3CDTF">2025-11-26T21:34:59Z</dcterms:created>
  <dcterms:modified xsi:type="dcterms:W3CDTF">2025-11-26T22:31:09Z</dcterms:modified>
</cp:coreProperties>
</file>